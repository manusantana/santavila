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ergio/Personal/19 - IA/00-Google Antigravity/12 - ULP Santavila/"/>
    </mc:Choice>
  </mc:AlternateContent>
  <xr:revisionPtr revIDLastSave="0" documentId="13_ncr:1_{E9A4F251-4DAF-A143-8284-F1E3F24737C2}" xr6:coauthVersionLast="47" xr6:coauthVersionMax="47" xr10:uidLastSave="{00000000-0000-0000-0000-000000000000}"/>
  <bookViews>
    <workbookView xWindow="-35260" yWindow="1480" windowWidth="32060" windowHeight="19060" firstSheet="1" activeTab="2" xr2:uid="{00000000-000D-0000-FFFF-FFFF00000000}"/>
  </bookViews>
  <sheets>
    <sheet name="00_SUPUESTOS" sheetId="1" r:id="rId1"/>
    <sheet name="20260508 -Todos " sheetId="2" r:id="rId2"/>
    <sheet name="Todos" sheetId="3" r:id="rId3"/>
    <sheet name="Hevea" sheetId="4" r:id="rId4"/>
    <sheet name="Balliu" sheetId="5" r:id="rId5"/>
    <sheet name="Hevea Histórico" sheetId="6" r:id="rId6"/>
    <sheet name="Hevea Seguimiento" sheetId="7" r:id="rId7"/>
    <sheet name="Balliu Histórico" sheetId="8" r:id="rId8"/>
    <sheet name="Balliu Seguimiento" sheetId="9" r:id="rId9"/>
    <sheet name="01_PNL_SANTAVILA" sheetId="10" r:id="rId10"/>
    <sheet name="02_UNIT_ECONOMICS_SKU" sheetId="11" r:id="rId11"/>
    <sheet name="03_ESCENARIOS_MARKETING" sheetId="12" r:id="rId12"/>
    <sheet name="04_PRODUCTOS_PRIORIDAD" sheetId="13" r:id="rId13"/>
    <sheet name="05_DASHBOARD" sheetId="14" r:id="rId14"/>
  </sheets>
  <definedNames>
    <definedName name="_xlnm._FilterDatabase" localSheetId="10" hidden="1">'02_UNIT_ECONOMICS_SKU'!$A$4:$Q$285</definedName>
    <definedName name="_xlnm._FilterDatabase" localSheetId="7" hidden="1">'Balliu Histórico'!$A$1:$J$331</definedName>
    <definedName name="_xlnm._FilterDatabase" localSheetId="8" hidden="1">'Balliu Seguimiento'!$A$5:$Q$170</definedName>
    <definedName name="_xlnm._FilterDatabase" localSheetId="5" hidden="1">'Hevea Histórico'!$A$1:$N$349</definedName>
    <definedName name="_xlnm._FilterDatabase" localSheetId="6" hidden="1">'Hevea Seguimiento'!$A$5:$Q$151</definedName>
    <definedName name="AOV">'00_SUPUESTOS'!$C$29</definedName>
    <definedName name="Apps">'00_SUPUESTOS'!$C$8</definedName>
    <definedName name="Balliu_coste_envio">'00_SUPUESTOS'!$C$16</definedName>
    <definedName name="Comision_pago_fija">'00_SUPUESTOS'!$C$12</definedName>
    <definedName name="Comision_pago_pct">'00_SUPUESTOS'!$C$11</definedName>
    <definedName name="Coste_devolucion">'00_SUPUESTOS'!$C$20</definedName>
    <definedName name="Coste_incidencia">'00_SUPUESTOS'!$C$22</definedName>
    <definedName name="Coste_medio_envio_pedido">'00_SUPUESTOS'!$C$17</definedName>
    <definedName name="Dominio">'00_SUPUESTOS'!$C$7</definedName>
    <definedName name="Hevea_coste_envio_bajo">'00_SUPUESTOS'!$C$15</definedName>
    <definedName name="Hevea_umbral_envio_gratis">'00_SUPUESTOS'!$C$14</definedName>
    <definedName name="IVA">'00_SUPUESTOS'!$C$35</definedName>
    <definedName name="Margen_bruto_medio">'00_SUPUESTOS'!$C$37</definedName>
    <definedName name="Pedidos_mes_base">'00_SUPUESTOS'!$C$32</definedName>
    <definedName name="Pedidos_mes_conservador">'00_SUPUESTOS'!$C$31</definedName>
    <definedName name="Pedidos_mes_optimista">'00_SUPUESTOS'!$C$33</definedName>
    <definedName name="Personal_fijo">'00_SUPUESTOS'!$C$9</definedName>
    <definedName name="ROAS_base">'00_SUPUESTOS'!$C$25</definedName>
    <definedName name="ROAS_conservador">'00_SUPUESTOS'!$C$24</definedName>
    <definedName name="ROAS_optimista">'00_SUPUESTOS'!$C$26</definedName>
    <definedName name="Shopify_plan">'00_SUPUESTOS'!$C$6</definedName>
    <definedName name="Tasa_conversion">'00_SUPUESTOS'!$C$28</definedName>
    <definedName name="Tasa_devolucion">'00_SUPUESTOS'!$C$19</definedName>
    <definedName name="Tasa_incidencia">'00_SUPUESTOS'!$C$21</definedName>
    <definedName name="TOTAL_FIJOS_MES">'00_SUPUESTOS'!$C$45</definedName>
    <definedName name="Umbral_NEUTRAL_pct">'00_SUPUESTOS'!$C$41</definedName>
    <definedName name="Umbral_PUSH_eur">'00_SUPUESTOS'!$C$40</definedName>
    <definedName name="Umbral_PUSH_pct">'00_SUPUESTOS'!$C$39</definedName>
    <definedName name="Umbral_WATCH_pct">'00_SUPUESTOS'!$C$42</definedName>
    <definedName name="VAR_COST_PER_ORDER">'00_SUPUESTOS'!$C$46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4" l="1"/>
  <c r="F6" i="14"/>
  <c r="C5" i="14"/>
  <c r="E22" i="12"/>
  <c r="D22" i="12"/>
  <c r="C22" i="12"/>
  <c r="B22" i="12"/>
  <c r="E13" i="12"/>
  <c r="D13" i="12"/>
  <c r="C13" i="12"/>
  <c r="B13" i="12"/>
  <c r="E8" i="12"/>
  <c r="E9" i="12" s="1"/>
  <c r="B8" i="12"/>
  <c r="B9" i="12" s="1"/>
  <c r="E7" i="12"/>
  <c r="D7" i="12"/>
  <c r="D8" i="12" s="1"/>
  <c r="D9" i="12" s="1"/>
  <c r="C7" i="12"/>
  <c r="C8" i="12" s="1"/>
  <c r="C9" i="12" s="1"/>
  <c r="B7" i="12"/>
  <c r="E286" i="11"/>
  <c r="D286" i="11"/>
  <c r="L285" i="11"/>
  <c r="K285" i="11"/>
  <c r="J285" i="11"/>
  <c r="I285" i="11"/>
  <c r="G285" i="11"/>
  <c r="H285" i="11" s="1"/>
  <c r="F285" i="11"/>
  <c r="L284" i="11"/>
  <c r="K284" i="11"/>
  <c r="J284" i="11"/>
  <c r="G284" i="11"/>
  <c r="H284" i="11" s="1"/>
  <c r="F284" i="11"/>
  <c r="L283" i="11"/>
  <c r="K283" i="11"/>
  <c r="J283" i="11"/>
  <c r="G283" i="11"/>
  <c r="H283" i="11" s="1"/>
  <c r="F283" i="11"/>
  <c r="L282" i="11"/>
  <c r="K282" i="11"/>
  <c r="J282" i="11"/>
  <c r="I282" i="11"/>
  <c r="G282" i="11"/>
  <c r="H282" i="11" s="1"/>
  <c r="F282" i="11"/>
  <c r="L281" i="11"/>
  <c r="K281" i="11"/>
  <c r="J281" i="11"/>
  <c r="G281" i="11"/>
  <c r="H281" i="11" s="1"/>
  <c r="F281" i="11"/>
  <c r="I281" i="11" s="1"/>
  <c r="M280" i="11"/>
  <c r="L280" i="11"/>
  <c r="K280" i="11"/>
  <c r="J280" i="11"/>
  <c r="I280" i="11"/>
  <c r="G280" i="11"/>
  <c r="H280" i="11" s="1"/>
  <c r="F280" i="11"/>
  <c r="L279" i="11"/>
  <c r="K279" i="11"/>
  <c r="J279" i="11"/>
  <c r="G279" i="11"/>
  <c r="H279" i="11" s="1"/>
  <c r="F279" i="11"/>
  <c r="L278" i="11"/>
  <c r="K278" i="11"/>
  <c r="J278" i="11"/>
  <c r="I278" i="11"/>
  <c r="M278" i="11" s="1"/>
  <c r="G278" i="11"/>
  <c r="H278" i="11" s="1"/>
  <c r="F278" i="11"/>
  <c r="L277" i="11"/>
  <c r="K277" i="11"/>
  <c r="J277" i="11"/>
  <c r="G277" i="11"/>
  <c r="H277" i="11" s="1"/>
  <c r="F277" i="11"/>
  <c r="I277" i="11" s="1"/>
  <c r="M276" i="11"/>
  <c r="L276" i="11"/>
  <c r="K276" i="11"/>
  <c r="J276" i="11"/>
  <c r="I276" i="11"/>
  <c r="G276" i="11"/>
  <c r="H276" i="11" s="1"/>
  <c r="F276" i="11"/>
  <c r="L275" i="11"/>
  <c r="K275" i="11"/>
  <c r="J275" i="11"/>
  <c r="G275" i="11"/>
  <c r="H275" i="11" s="1"/>
  <c r="F275" i="11"/>
  <c r="M274" i="11"/>
  <c r="L274" i="11"/>
  <c r="K274" i="11"/>
  <c r="J274" i="11"/>
  <c r="I274" i="11"/>
  <c r="G274" i="11"/>
  <c r="H274" i="11" s="1"/>
  <c r="F274" i="11"/>
  <c r="L273" i="11"/>
  <c r="K273" i="11"/>
  <c r="J273" i="11"/>
  <c r="G273" i="11"/>
  <c r="H273" i="11" s="1"/>
  <c r="F273" i="11"/>
  <c r="M272" i="11"/>
  <c r="L272" i="11"/>
  <c r="K272" i="11"/>
  <c r="J272" i="11"/>
  <c r="I272" i="11"/>
  <c r="G272" i="11"/>
  <c r="H272" i="11" s="1"/>
  <c r="F272" i="11"/>
  <c r="L271" i="11"/>
  <c r="K271" i="11"/>
  <c r="J271" i="11"/>
  <c r="G271" i="11"/>
  <c r="H271" i="11" s="1"/>
  <c r="F271" i="11"/>
  <c r="L270" i="11"/>
  <c r="K270" i="11"/>
  <c r="J270" i="11"/>
  <c r="I270" i="11"/>
  <c r="M270" i="11" s="1"/>
  <c r="G270" i="11"/>
  <c r="H270" i="11" s="1"/>
  <c r="F270" i="11"/>
  <c r="L269" i="11"/>
  <c r="K269" i="11"/>
  <c r="J269" i="11"/>
  <c r="G269" i="11"/>
  <c r="H269" i="11" s="1"/>
  <c r="F269" i="11"/>
  <c r="L268" i="11"/>
  <c r="K268" i="11"/>
  <c r="J268" i="11"/>
  <c r="I268" i="11"/>
  <c r="M268" i="11" s="1"/>
  <c r="G268" i="11"/>
  <c r="H268" i="11" s="1"/>
  <c r="F268" i="11"/>
  <c r="L267" i="11"/>
  <c r="K267" i="11"/>
  <c r="J267" i="11"/>
  <c r="G267" i="11"/>
  <c r="H267" i="11" s="1"/>
  <c r="F267" i="11"/>
  <c r="L266" i="11"/>
  <c r="K266" i="11"/>
  <c r="J266" i="11"/>
  <c r="I266" i="11"/>
  <c r="M266" i="11" s="1"/>
  <c r="G266" i="11"/>
  <c r="H266" i="11" s="1"/>
  <c r="F266" i="11"/>
  <c r="L265" i="11"/>
  <c r="K265" i="11"/>
  <c r="J265" i="11"/>
  <c r="G265" i="11"/>
  <c r="H265" i="11" s="1"/>
  <c r="F265" i="11"/>
  <c r="L264" i="11"/>
  <c r="K264" i="11"/>
  <c r="J264" i="11"/>
  <c r="I264" i="11"/>
  <c r="M264" i="11" s="1"/>
  <c r="G264" i="11"/>
  <c r="H264" i="11" s="1"/>
  <c r="F264" i="11"/>
  <c r="L263" i="11"/>
  <c r="K263" i="11"/>
  <c r="J263" i="11"/>
  <c r="G263" i="11"/>
  <c r="H263" i="11" s="1"/>
  <c r="F263" i="11"/>
  <c r="M262" i="11"/>
  <c r="L262" i="11"/>
  <c r="K262" i="11"/>
  <c r="J262" i="11"/>
  <c r="I262" i="11"/>
  <c r="G262" i="11"/>
  <c r="H262" i="11" s="1"/>
  <c r="F262" i="11"/>
  <c r="L261" i="11"/>
  <c r="K261" i="11"/>
  <c r="J261" i="11"/>
  <c r="G261" i="11"/>
  <c r="H261" i="11" s="1"/>
  <c r="F261" i="11"/>
  <c r="M260" i="11"/>
  <c r="L260" i="11"/>
  <c r="K260" i="11"/>
  <c r="J260" i="11"/>
  <c r="I260" i="11"/>
  <c r="G260" i="11"/>
  <c r="H260" i="11" s="1"/>
  <c r="F260" i="11"/>
  <c r="L259" i="11"/>
  <c r="K259" i="11"/>
  <c r="J259" i="11"/>
  <c r="G259" i="11"/>
  <c r="H259" i="11" s="1"/>
  <c r="F259" i="11"/>
  <c r="M258" i="11"/>
  <c r="L258" i="11"/>
  <c r="K258" i="11"/>
  <c r="J258" i="11"/>
  <c r="I258" i="11"/>
  <c r="G258" i="11"/>
  <c r="H258" i="11" s="1"/>
  <c r="F258" i="11"/>
  <c r="L257" i="11"/>
  <c r="K257" i="11"/>
  <c r="J257" i="11"/>
  <c r="G257" i="11"/>
  <c r="H257" i="11" s="1"/>
  <c r="F257" i="11"/>
  <c r="M256" i="11"/>
  <c r="L256" i="11"/>
  <c r="K256" i="11"/>
  <c r="J256" i="11"/>
  <c r="I256" i="11"/>
  <c r="G256" i="11"/>
  <c r="H256" i="11" s="1"/>
  <c r="F256" i="11"/>
  <c r="L255" i="11"/>
  <c r="K255" i="11"/>
  <c r="J255" i="11"/>
  <c r="G255" i="11"/>
  <c r="H255" i="11" s="1"/>
  <c r="F255" i="11"/>
  <c r="L254" i="11"/>
  <c r="K254" i="11"/>
  <c r="J254" i="11"/>
  <c r="I254" i="11"/>
  <c r="M254" i="11" s="1"/>
  <c r="G254" i="11"/>
  <c r="H254" i="11" s="1"/>
  <c r="F254" i="11"/>
  <c r="L253" i="11"/>
  <c r="K253" i="11"/>
  <c r="J253" i="11"/>
  <c r="G253" i="11"/>
  <c r="H253" i="11" s="1"/>
  <c r="F253" i="11"/>
  <c r="L252" i="11"/>
  <c r="K252" i="11"/>
  <c r="J252" i="11"/>
  <c r="I252" i="11"/>
  <c r="M252" i="11" s="1"/>
  <c r="G252" i="11"/>
  <c r="H252" i="11" s="1"/>
  <c r="F252" i="11"/>
  <c r="L251" i="11"/>
  <c r="K251" i="11"/>
  <c r="J251" i="11"/>
  <c r="G251" i="11"/>
  <c r="H251" i="11" s="1"/>
  <c r="F251" i="11"/>
  <c r="L250" i="11"/>
  <c r="K250" i="11"/>
  <c r="J250" i="11"/>
  <c r="H250" i="11"/>
  <c r="G250" i="11"/>
  <c r="F250" i="11"/>
  <c r="L249" i="11"/>
  <c r="K249" i="11"/>
  <c r="J249" i="11"/>
  <c r="I249" i="11"/>
  <c r="M249" i="11" s="1"/>
  <c r="G249" i="11"/>
  <c r="H249" i="11" s="1"/>
  <c r="F249" i="11"/>
  <c r="L248" i="11"/>
  <c r="K248" i="11"/>
  <c r="J248" i="11"/>
  <c r="H248" i="11"/>
  <c r="G248" i="11"/>
  <c r="M248" i="11" s="1"/>
  <c r="F248" i="11"/>
  <c r="I248" i="11" s="1"/>
  <c r="L247" i="11"/>
  <c r="K247" i="11"/>
  <c r="J247" i="11"/>
  <c r="G247" i="11"/>
  <c r="H247" i="11" s="1"/>
  <c r="F247" i="11"/>
  <c r="L246" i="11"/>
  <c r="K246" i="11"/>
  <c r="J246" i="11"/>
  <c r="H246" i="11"/>
  <c r="G246" i="11"/>
  <c r="F246" i="11"/>
  <c r="M245" i="11"/>
  <c r="L245" i="11"/>
  <c r="K245" i="11"/>
  <c r="J245" i="11"/>
  <c r="I245" i="11"/>
  <c r="G245" i="11"/>
  <c r="H245" i="11" s="1"/>
  <c r="F245" i="11"/>
  <c r="L244" i="11"/>
  <c r="K244" i="11"/>
  <c r="J244" i="11"/>
  <c r="G244" i="11"/>
  <c r="F244" i="11"/>
  <c r="I244" i="11" s="1"/>
  <c r="L243" i="11"/>
  <c r="K243" i="11"/>
  <c r="J243" i="11"/>
  <c r="G243" i="11"/>
  <c r="H243" i="11" s="1"/>
  <c r="F243" i="11"/>
  <c r="L242" i="11"/>
  <c r="K242" i="11"/>
  <c r="J242" i="11"/>
  <c r="H242" i="11"/>
  <c r="G242" i="11"/>
  <c r="F242" i="11"/>
  <c r="L241" i="11"/>
  <c r="K241" i="11"/>
  <c r="J241" i="11"/>
  <c r="G241" i="11"/>
  <c r="H241" i="11" s="1"/>
  <c r="F241" i="11"/>
  <c r="L240" i="11"/>
  <c r="K240" i="11"/>
  <c r="J240" i="11"/>
  <c r="H240" i="11"/>
  <c r="G240" i="11"/>
  <c r="M240" i="11" s="1"/>
  <c r="O240" i="11" s="1"/>
  <c r="F240" i="11"/>
  <c r="I240" i="11" s="1"/>
  <c r="L239" i="11"/>
  <c r="K239" i="11"/>
  <c r="J239" i="11"/>
  <c r="H239" i="11"/>
  <c r="G239" i="11"/>
  <c r="M239" i="11" s="1"/>
  <c r="O239" i="11" s="1"/>
  <c r="F239" i="11"/>
  <c r="I239" i="11" s="1"/>
  <c r="L238" i="11"/>
  <c r="K238" i="11"/>
  <c r="J238" i="11"/>
  <c r="H238" i="11"/>
  <c r="G238" i="11"/>
  <c r="M238" i="11" s="1"/>
  <c r="O238" i="11" s="1"/>
  <c r="F238" i="11"/>
  <c r="I238" i="11" s="1"/>
  <c r="L237" i="11"/>
  <c r="K237" i="11"/>
  <c r="J237" i="11"/>
  <c r="H237" i="11"/>
  <c r="G237" i="11"/>
  <c r="F237" i="11"/>
  <c r="I237" i="11" s="1"/>
  <c r="L236" i="11"/>
  <c r="K236" i="11"/>
  <c r="J236" i="11"/>
  <c r="G236" i="11"/>
  <c r="F236" i="11"/>
  <c r="I236" i="11" s="1"/>
  <c r="L235" i="11"/>
  <c r="K235" i="11"/>
  <c r="J235" i="11"/>
  <c r="G235" i="11"/>
  <c r="F235" i="11"/>
  <c r="I235" i="11" s="1"/>
  <c r="L234" i="11"/>
  <c r="K234" i="11"/>
  <c r="J234" i="11"/>
  <c r="H234" i="11"/>
  <c r="G234" i="11"/>
  <c r="F234" i="11"/>
  <c r="I234" i="11" s="1"/>
  <c r="L233" i="11"/>
  <c r="K233" i="11"/>
  <c r="J233" i="11"/>
  <c r="G233" i="11"/>
  <c r="F233" i="11"/>
  <c r="I233" i="11" s="1"/>
  <c r="L232" i="11"/>
  <c r="K232" i="11"/>
  <c r="J232" i="11"/>
  <c r="H232" i="11"/>
  <c r="G232" i="11"/>
  <c r="F232" i="11"/>
  <c r="I232" i="11" s="1"/>
  <c r="L231" i="11"/>
  <c r="K231" i="11"/>
  <c r="J231" i="11"/>
  <c r="G231" i="11"/>
  <c r="M231" i="11" s="1"/>
  <c r="O231" i="11" s="1"/>
  <c r="F231" i="11"/>
  <c r="I231" i="11" s="1"/>
  <c r="L230" i="11"/>
  <c r="K230" i="11"/>
  <c r="J230" i="11"/>
  <c r="H230" i="11"/>
  <c r="G230" i="11"/>
  <c r="M230" i="11" s="1"/>
  <c r="O230" i="11" s="1"/>
  <c r="F230" i="11"/>
  <c r="I230" i="11" s="1"/>
  <c r="L229" i="11"/>
  <c r="K229" i="11"/>
  <c r="J229" i="11"/>
  <c r="H229" i="11"/>
  <c r="G229" i="11"/>
  <c r="F229" i="11"/>
  <c r="I229" i="11" s="1"/>
  <c r="L228" i="11"/>
  <c r="K228" i="11"/>
  <c r="J228" i="11"/>
  <c r="H228" i="11"/>
  <c r="G228" i="11"/>
  <c r="F228" i="11"/>
  <c r="I228" i="11" s="1"/>
  <c r="L227" i="11"/>
  <c r="K227" i="11"/>
  <c r="J227" i="11"/>
  <c r="G227" i="11"/>
  <c r="F227" i="11"/>
  <c r="I227" i="11" s="1"/>
  <c r="L226" i="11"/>
  <c r="K226" i="11"/>
  <c r="J226" i="11"/>
  <c r="G226" i="11"/>
  <c r="F226" i="11"/>
  <c r="I226" i="11" s="1"/>
  <c r="L225" i="11"/>
  <c r="K225" i="11"/>
  <c r="J225" i="11"/>
  <c r="H225" i="11"/>
  <c r="G225" i="11"/>
  <c r="F225" i="11"/>
  <c r="I225" i="11" s="1"/>
  <c r="L224" i="11"/>
  <c r="K224" i="11"/>
  <c r="J224" i="11"/>
  <c r="H224" i="11"/>
  <c r="G224" i="11"/>
  <c r="F224" i="11"/>
  <c r="I224" i="11" s="1"/>
  <c r="L223" i="11"/>
  <c r="K223" i="11"/>
  <c r="J223" i="11"/>
  <c r="G223" i="11"/>
  <c r="F223" i="11"/>
  <c r="I223" i="11" s="1"/>
  <c r="L222" i="11"/>
  <c r="K222" i="11"/>
  <c r="J222" i="11"/>
  <c r="G222" i="11"/>
  <c r="M222" i="11" s="1"/>
  <c r="O222" i="11" s="1"/>
  <c r="F222" i="11"/>
  <c r="I222" i="11" s="1"/>
  <c r="L221" i="11"/>
  <c r="K221" i="11"/>
  <c r="J221" i="11"/>
  <c r="H221" i="11"/>
  <c r="G221" i="11"/>
  <c r="F221" i="11"/>
  <c r="I221" i="11" s="1"/>
  <c r="L220" i="11"/>
  <c r="K220" i="11"/>
  <c r="J220" i="11"/>
  <c r="H220" i="11"/>
  <c r="G220" i="11"/>
  <c r="F220" i="11"/>
  <c r="I220" i="11" s="1"/>
  <c r="L219" i="11"/>
  <c r="K219" i="11"/>
  <c r="J219" i="11"/>
  <c r="G219" i="11"/>
  <c r="F219" i="11"/>
  <c r="I219" i="11" s="1"/>
  <c r="L218" i="11"/>
  <c r="K218" i="11"/>
  <c r="J218" i="11"/>
  <c r="G218" i="11"/>
  <c r="F218" i="11"/>
  <c r="I218" i="11" s="1"/>
  <c r="O217" i="11"/>
  <c r="N217" i="11"/>
  <c r="Q217" i="11" s="1"/>
  <c r="L217" i="11"/>
  <c r="K217" i="11"/>
  <c r="J217" i="11"/>
  <c r="G217" i="11"/>
  <c r="M217" i="11" s="1"/>
  <c r="F217" i="11"/>
  <c r="I217" i="11" s="1"/>
  <c r="L216" i="11"/>
  <c r="K216" i="11"/>
  <c r="J216" i="11"/>
  <c r="H216" i="11"/>
  <c r="G216" i="11"/>
  <c r="F216" i="11"/>
  <c r="I216" i="11" s="1"/>
  <c r="L215" i="11"/>
  <c r="K215" i="11"/>
  <c r="J215" i="11"/>
  <c r="G215" i="11"/>
  <c r="F215" i="11"/>
  <c r="I215" i="11" s="1"/>
  <c r="L214" i="11"/>
  <c r="K214" i="11"/>
  <c r="J214" i="11"/>
  <c r="I214" i="11"/>
  <c r="H214" i="11"/>
  <c r="G214" i="11"/>
  <c r="F214" i="11"/>
  <c r="L213" i="11"/>
  <c r="K213" i="11"/>
  <c r="J213" i="11"/>
  <c r="G213" i="11"/>
  <c r="F213" i="11"/>
  <c r="I213" i="11" s="1"/>
  <c r="L212" i="11"/>
  <c r="K212" i="11"/>
  <c r="J212" i="11"/>
  <c r="H212" i="11"/>
  <c r="G212" i="11"/>
  <c r="F212" i="11"/>
  <c r="L211" i="11"/>
  <c r="K211" i="11"/>
  <c r="J211" i="11"/>
  <c r="G211" i="11"/>
  <c r="F211" i="11"/>
  <c r="I211" i="11" s="1"/>
  <c r="L210" i="11"/>
  <c r="K210" i="11"/>
  <c r="J210" i="11"/>
  <c r="G210" i="11"/>
  <c r="F210" i="11"/>
  <c r="I210" i="11" s="1"/>
  <c r="L209" i="11"/>
  <c r="K209" i="11"/>
  <c r="J209" i="11"/>
  <c r="G209" i="11"/>
  <c r="H209" i="11" s="1"/>
  <c r="F209" i="11"/>
  <c r="L208" i="11"/>
  <c r="K208" i="11"/>
  <c r="J208" i="11"/>
  <c r="G208" i="11"/>
  <c r="H208" i="11" s="1"/>
  <c r="F208" i="11"/>
  <c r="I208" i="11" s="1"/>
  <c r="M208" i="11" s="1"/>
  <c r="L207" i="11"/>
  <c r="K207" i="11"/>
  <c r="J207" i="11"/>
  <c r="G207" i="11"/>
  <c r="F207" i="11"/>
  <c r="L206" i="11"/>
  <c r="K206" i="11"/>
  <c r="J206" i="11"/>
  <c r="G206" i="11"/>
  <c r="H206" i="11" s="1"/>
  <c r="F206" i="11"/>
  <c r="I206" i="11" s="1"/>
  <c r="L205" i="11"/>
  <c r="K205" i="11"/>
  <c r="J205" i="11"/>
  <c r="G205" i="11"/>
  <c r="F205" i="11"/>
  <c r="L204" i="11"/>
  <c r="K204" i="11"/>
  <c r="J204" i="11"/>
  <c r="G204" i="11"/>
  <c r="H204" i="11" s="1"/>
  <c r="F204" i="11"/>
  <c r="I204" i="11" s="1"/>
  <c r="L203" i="11"/>
  <c r="K203" i="11"/>
  <c r="J203" i="11"/>
  <c r="G203" i="11"/>
  <c r="F203" i="11"/>
  <c r="L202" i="11"/>
  <c r="K202" i="11"/>
  <c r="J202" i="11"/>
  <c r="G202" i="11"/>
  <c r="H202" i="11" s="1"/>
  <c r="F202" i="11"/>
  <c r="L201" i="11"/>
  <c r="K201" i="11"/>
  <c r="J201" i="11"/>
  <c r="G201" i="11"/>
  <c r="F201" i="11"/>
  <c r="L200" i="11"/>
  <c r="K200" i="11"/>
  <c r="J200" i="11"/>
  <c r="G200" i="11"/>
  <c r="H200" i="11" s="1"/>
  <c r="F200" i="11"/>
  <c r="L199" i="11"/>
  <c r="K199" i="11"/>
  <c r="J199" i="11"/>
  <c r="G199" i="11"/>
  <c r="F199" i="11"/>
  <c r="L198" i="11"/>
  <c r="K198" i="11"/>
  <c r="J198" i="11"/>
  <c r="G198" i="11"/>
  <c r="H198" i="11" s="1"/>
  <c r="F198" i="11"/>
  <c r="L197" i="11"/>
  <c r="K197" i="11"/>
  <c r="J197" i="11"/>
  <c r="G197" i="11"/>
  <c r="F197" i="11"/>
  <c r="L196" i="11"/>
  <c r="K196" i="11"/>
  <c r="J196" i="11"/>
  <c r="G196" i="11"/>
  <c r="F196" i="11"/>
  <c r="L195" i="11"/>
  <c r="K195" i="11"/>
  <c r="J195" i="11"/>
  <c r="G195" i="11"/>
  <c r="F195" i="11"/>
  <c r="L194" i="11"/>
  <c r="K194" i="11"/>
  <c r="J194" i="11"/>
  <c r="G194" i="11"/>
  <c r="F194" i="11"/>
  <c r="L193" i="11"/>
  <c r="K193" i="11"/>
  <c r="J193" i="11"/>
  <c r="G193" i="11"/>
  <c r="F193" i="11"/>
  <c r="L192" i="11"/>
  <c r="K192" i="11"/>
  <c r="J192" i="11"/>
  <c r="G192" i="11"/>
  <c r="F192" i="11"/>
  <c r="L191" i="11"/>
  <c r="K191" i="11"/>
  <c r="J191" i="11"/>
  <c r="G191" i="11"/>
  <c r="F191" i="11"/>
  <c r="L190" i="11"/>
  <c r="K190" i="11"/>
  <c r="J190" i="11"/>
  <c r="G190" i="11"/>
  <c r="F190" i="11"/>
  <c r="L189" i="11"/>
  <c r="K189" i="11"/>
  <c r="J189" i="11"/>
  <c r="G189" i="11"/>
  <c r="F189" i="11"/>
  <c r="L188" i="11"/>
  <c r="K188" i="11"/>
  <c r="J188" i="11"/>
  <c r="G188" i="11"/>
  <c r="F188" i="11"/>
  <c r="L187" i="11"/>
  <c r="K187" i="11"/>
  <c r="J187" i="11"/>
  <c r="G187" i="11"/>
  <c r="F187" i="11"/>
  <c r="L186" i="11"/>
  <c r="K186" i="11"/>
  <c r="J186" i="11"/>
  <c r="G186" i="11"/>
  <c r="F186" i="11"/>
  <c r="L185" i="11"/>
  <c r="K185" i="11"/>
  <c r="J185" i="11"/>
  <c r="G185" i="11"/>
  <c r="F185" i="11"/>
  <c r="L184" i="11"/>
  <c r="K184" i="11"/>
  <c r="J184" i="11"/>
  <c r="G184" i="11"/>
  <c r="F184" i="11"/>
  <c r="L183" i="11"/>
  <c r="K183" i="11"/>
  <c r="J183" i="11"/>
  <c r="I183" i="11"/>
  <c r="G183" i="11"/>
  <c r="F183" i="11"/>
  <c r="L182" i="11"/>
  <c r="K182" i="11"/>
  <c r="J182" i="11"/>
  <c r="G182" i="11"/>
  <c r="M182" i="11" s="1"/>
  <c r="F182" i="11"/>
  <c r="I182" i="11" s="1"/>
  <c r="L181" i="11"/>
  <c r="K181" i="11"/>
  <c r="J181" i="11"/>
  <c r="I181" i="11"/>
  <c r="G181" i="11"/>
  <c r="F181" i="11"/>
  <c r="L180" i="11"/>
  <c r="K180" i="11"/>
  <c r="J180" i="11"/>
  <c r="M180" i="11" s="1"/>
  <c r="G180" i="11"/>
  <c r="H180" i="11" s="1"/>
  <c r="F180" i="11"/>
  <c r="I180" i="11" s="1"/>
  <c r="L179" i="11"/>
  <c r="K179" i="11"/>
  <c r="J179" i="11"/>
  <c r="G179" i="11"/>
  <c r="F179" i="11"/>
  <c r="L178" i="11"/>
  <c r="K178" i="11"/>
  <c r="J178" i="11"/>
  <c r="H178" i="11"/>
  <c r="G178" i="11"/>
  <c r="F178" i="11"/>
  <c r="I178" i="11" s="1"/>
  <c r="M178" i="11" s="1"/>
  <c r="L177" i="11"/>
  <c r="K177" i="11"/>
  <c r="J177" i="11"/>
  <c r="G177" i="11"/>
  <c r="F177" i="11"/>
  <c r="L176" i="11"/>
  <c r="K176" i="11"/>
  <c r="J176" i="11"/>
  <c r="H176" i="11"/>
  <c r="G176" i="11"/>
  <c r="M176" i="11" s="1"/>
  <c r="F176" i="11"/>
  <c r="I176" i="11" s="1"/>
  <c r="L175" i="11"/>
  <c r="K175" i="11"/>
  <c r="J175" i="11"/>
  <c r="I175" i="11"/>
  <c r="G175" i="11"/>
  <c r="F175" i="11"/>
  <c r="L174" i="11"/>
  <c r="K174" i="11"/>
  <c r="J174" i="11"/>
  <c r="G174" i="11"/>
  <c r="H174" i="11" s="1"/>
  <c r="F174" i="11"/>
  <c r="I174" i="11" s="1"/>
  <c r="M174" i="11" s="1"/>
  <c r="L173" i="11"/>
  <c r="K173" i="11"/>
  <c r="J173" i="11"/>
  <c r="G173" i="11"/>
  <c r="F173" i="11"/>
  <c r="L172" i="11"/>
  <c r="K172" i="11"/>
  <c r="J172" i="11"/>
  <c r="G172" i="11"/>
  <c r="M172" i="11" s="1"/>
  <c r="F172" i="11"/>
  <c r="I172" i="11" s="1"/>
  <c r="L171" i="11"/>
  <c r="K171" i="11"/>
  <c r="J171" i="11"/>
  <c r="G171" i="11"/>
  <c r="F171" i="11"/>
  <c r="L170" i="11"/>
  <c r="K170" i="11"/>
  <c r="J170" i="11"/>
  <c r="M170" i="11" s="1"/>
  <c r="H170" i="11"/>
  <c r="G170" i="11"/>
  <c r="F170" i="11"/>
  <c r="I170" i="11" s="1"/>
  <c r="L169" i="11"/>
  <c r="K169" i="11"/>
  <c r="J169" i="11"/>
  <c r="G169" i="11"/>
  <c r="H169" i="11" s="1"/>
  <c r="F169" i="11"/>
  <c r="L168" i="11"/>
  <c r="K168" i="11"/>
  <c r="J168" i="11"/>
  <c r="G168" i="11"/>
  <c r="F168" i="11"/>
  <c r="I168" i="11" s="1"/>
  <c r="L167" i="11"/>
  <c r="K167" i="11"/>
  <c r="J167" i="11"/>
  <c r="M167" i="11" s="1"/>
  <c r="I167" i="11"/>
  <c r="G167" i="11"/>
  <c r="H167" i="11" s="1"/>
  <c r="F167" i="11"/>
  <c r="L166" i="11"/>
  <c r="K166" i="11"/>
  <c r="J166" i="11"/>
  <c r="H166" i="11"/>
  <c r="G166" i="11"/>
  <c r="F166" i="11"/>
  <c r="I166" i="11" s="1"/>
  <c r="M166" i="11" s="1"/>
  <c r="L165" i="11"/>
  <c r="K165" i="11"/>
  <c r="J165" i="11"/>
  <c r="G165" i="11"/>
  <c r="H165" i="11" s="1"/>
  <c r="F165" i="11"/>
  <c r="L164" i="11"/>
  <c r="K164" i="11"/>
  <c r="J164" i="11"/>
  <c r="G164" i="11"/>
  <c r="H164" i="11" s="1"/>
  <c r="F164" i="11"/>
  <c r="I164" i="11" s="1"/>
  <c r="M164" i="11" s="1"/>
  <c r="L163" i="11"/>
  <c r="K163" i="11"/>
  <c r="J163" i="11"/>
  <c r="G163" i="11"/>
  <c r="F163" i="11"/>
  <c r="I163" i="11" s="1"/>
  <c r="L162" i="11"/>
  <c r="K162" i="11"/>
  <c r="J162" i="11"/>
  <c r="G162" i="11"/>
  <c r="H162" i="11" s="1"/>
  <c r="F162" i="11"/>
  <c r="L161" i="11"/>
  <c r="K161" i="11"/>
  <c r="J161" i="11"/>
  <c r="G161" i="11"/>
  <c r="F161" i="11"/>
  <c r="I161" i="11" s="1"/>
  <c r="L160" i="11"/>
  <c r="K160" i="11"/>
  <c r="J160" i="11"/>
  <c r="G160" i="11"/>
  <c r="H160" i="11" s="1"/>
  <c r="F160" i="11"/>
  <c r="L159" i="11"/>
  <c r="K159" i="11"/>
  <c r="J159" i="11"/>
  <c r="G159" i="11"/>
  <c r="F159" i="11"/>
  <c r="L158" i="11"/>
  <c r="K158" i="11"/>
  <c r="J158" i="11"/>
  <c r="G158" i="11"/>
  <c r="H158" i="11" s="1"/>
  <c r="F158" i="11"/>
  <c r="L157" i="11"/>
  <c r="K157" i="11"/>
  <c r="J157" i="11"/>
  <c r="G157" i="11"/>
  <c r="F157" i="11"/>
  <c r="L156" i="11"/>
  <c r="K156" i="11"/>
  <c r="J156" i="11"/>
  <c r="G156" i="11"/>
  <c r="H156" i="11" s="1"/>
  <c r="F156" i="11"/>
  <c r="L155" i="11"/>
  <c r="K155" i="11"/>
  <c r="J155" i="11"/>
  <c r="G155" i="11"/>
  <c r="F155" i="11"/>
  <c r="L154" i="11"/>
  <c r="K154" i="11"/>
  <c r="J154" i="11"/>
  <c r="G154" i="11"/>
  <c r="H154" i="11" s="1"/>
  <c r="F154" i="11"/>
  <c r="L153" i="11"/>
  <c r="K153" i="11"/>
  <c r="J153" i="11"/>
  <c r="G153" i="11"/>
  <c r="F153" i="11"/>
  <c r="L152" i="11"/>
  <c r="K152" i="11"/>
  <c r="J152" i="11"/>
  <c r="G152" i="11"/>
  <c r="H152" i="11" s="1"/>
  <c r="F152" i="11"/>
  <c r="L151" i="11"/>
  <c r="K151" i="11"/>
  <c r="J151" i="11"/>
  <c r="G151" i="11"/>
  <c r="F151" i="11"/>
  <c r="L150" i="11"/>
  <c r="K150" i="11"/>
  <c r="J150" i="11"/>
  <c r="G150" i="11"/>
  <c r="H150" i="11" s="1"/>
  <c r="F150" i="11"/>
  <c r="L149" i="11"/>
  <c r="K149" i="11"/>
  <c r="J149" i="11"/>
  <c r="G149" i="11"/>
  <c r="F149" i="11"/>
  <c r="L148" i="11"/>
  <c r="K148" i="11"/>
  <c r="J148" i="11"/>
  <c r="G148" i="11"/>
  <c r="H148" i="11" s="1"/>
  <c r="F148" i="11"/>
  <c r="L147" i="11"/>
  <c r="K147" i="11"/>
  <c r="J147" i="11"/>
  <c r="G147" i="11"/>
  <c r="M147" i="11" s="1"/>
  <c r="N147" i="11" s="1"/>
  <c r="Q147" i="11" s="1"/>
  <c r="F147" i="11"/>
  <c r="I147" i="11" s="1"/>
  <c r="L146" i="11"/>
  <c r="K146" i="11"/>
  <c r="J146" i="11"/>
  <c r="G146" i="11"/>
  <c r="F146" i="11"/>
  <c r="L145" i="11"/>
  <c r="K145" i="11"/>
  <c r="J145" i="11"/>
  <c r="G145" i="11"/>
  <c r="M145" i="11" s="1"/>
  <c r="N145" i="11" s="1"/>
  <c r="Q145" i="11" s="1"/>
  <c r="F145" i="11"/>
  <c r="I145" i="11" s="1"/>
  <c r="L144" i="11"/>
  <c r="K144" i="11"/>
  <c r="J144" i="11"/>
  <c r="G144" i="11"/>
  <c r="F144" i="11"/>
  <c r="L143" i="11"/>
  <c r="K143" i="11"/>
  <c r="J143" i="11"/>
  <c r="G143" i="11"/>
  <c r="M143" i="11" s="1"/>
  <c r="N143" i="11" s="1"/>
  <c r="Q143" i="11" s="1"/>
  <c r="F143" i="11"/>
  <c r="I143" i="11" s="1"/>
  <c r="L142" i="11"/>
  <c r="K142" i="11"/>
  <c r="J142" i="11"/>
  <c r="G142" i="11"/>
  <c r="F142" i="11"/>
  <c r="L141" i="11"/>
  <c r="K141" i="11"/>
  <c r="J141" i="11"/>
  <c r="G141" i="11"/>
  <c r="M141" i="11" s="1"/>
  <c r="N141" i="11" s="1"/>
  <c r="Q141" i="11" s="1"/>
  <c r="F141" i="11"/>
  <c r="I141" i="11" s="1"/>
  <c r="L140" i="11"/>
  <c r="K140" i="11"/>
  <c r="J140" i="11"/>
  <c r="G140" i="11"/>
  <c r="F140" i="11"/>
  <c r="L139" i="11"/>
  <c r="K139" i="11"/>
  <c r="J139" i="11"/>
  <c r="G139" i="11"/>
  <c r="M139" i="11" s="1"/>
  <c r="N139" i="11" s="1"/>
  <c r="Q139" i="11" s="1"/>
  <c r="F139" i="11"/>
  <c r="I139" i="11" s="1"/>
  <c r="L138" i="11"/>
  <c r="K138" i="11"/>
  <c r="J138" i="11"/>
  <c r="G138" i="11"/>
  <c r="F138" i="11"/>
  <c r="L137" i="11"/>
  <c r="K137" i="11"/>
  <c r="J137" i="11"/>
  <c r="G137" i="11"/>
  <c r="M137" i="11" s="1"/>
  <c r="N137" i="11" s="1"/>
  <c r="Q137" i="11" s="1"/>
  <c r="F137" i="11"/>
  <c r="I137" i="11" s="1"/>
  <c r="L136" i="11"/>
  <c r="K136" i="11"/>
  <c r="J136" i="11"/>
  <c r="H136" i="11"/>
  <c r="G136" i="11"/>
  <c r="M136" i="11" s="1"/>
  <c r="O136" i="11" s="1"/>
  <c r="F136" i="11"/>
  <c r="I136" i="11" s="1"/>
  <c r="L135" i="11"/>
  <c r="K135" i="11"/>
  <c r="J135" i="11"/>
  <c r="H135" i="11"/>
  <c r="G135" i="11"/>
  <c r="F135" i="11"/>
  <c r="I135" i="11" s="1"/>
  <c r="L134" i="11"/>
  <c r="K134" i="11"/>
  <c r="J134" i="11"/>
  <c r="H134" i="11"/>
  <c r="G134" i="11"/>
  <c r="F134" i="11"/>
  <c r="I134" i="11" s="1"/>
  <c r="L133" i="11"/>
  <c r="K133" i="11"/>
  <c r="J133" i="11"/>
  <c r="G133" i="11"/>
  <c r="F133" i="11"/>
  <c r="I133" i="11" s="1"/>
  <c r="L132" i="11"/>
  <c r="K132" i="11"/>
  <c r="J132" i="11"/>
  <c r="G132" i="11"/>
  <c r="F132" i="11"/>
  <c r="I132" i="11" s="1"/>
  <c r="O131" i="11"/>
  <c r="N131" i="11"/>
  <c r="Q131" i="11" s="1"/>
  <c r="L131" i="11"/>
  <c r="K131" i="11"/>
  <c r="J131" i="11"/>
  <c r="G131" i="11"/>
  <c r="M131" i="11" s="1"/>
  <c r="F131" i="11"/>
  <c r="I131" i="11" s="1"/>
  <c r="L130" i="11"/>
  <c r="K130" i="11"/>
  <c r="J130" i="11"/>
  <c r="H130" i="11"/>
  <c r="G130" i="11"/>
  <c r="F130" i="11"/>
  <c r="I130" i="11" s="1"/>
  <c r="L129" i="11"/>
  <c r="K129" i="11"/>
  <c r="J129" i="11"/>
  <c r="G129" i="11"/>
  <c r="M129" i="11" s="1"/>
  <c r="N129" i="11" s="1"/>
  <c r="Q129" i="11" s="1"/>
  <c r="F129" i="11"/>
  <c r="I129" i="11" s="1"/>
  <c r="L128" i="11"/>
  <c r="K128" i="11"/>
  <c r="J128" i="11"/>
  <c r="H128" i="11"/>
  <c r="G128" i="11"/>
  <c r="M128" i="11" s="1"/>
  <c r="O128" i="11" s="1"/>
  <c r="F128" i="11"/>
  <c r="I128" i="11" s="1"/>
  <c r="L127" i="11"/>
  <c r="K127" i="11"/>
  <c r="J127" i="11"/>
  <c r="H127" i="11"/>
  <c r="G127" i="11"/>
  <c r="F127" i="11"/>
  <c r="I127" i="11" s="1"/>
  <c r="L126" i="11"/>
  <c r="K126" i="11"/>
  <c r="J126" i="11"/>
  <c r="H126" i="11"/>
  <c r="G126" i="11"/>
  <c r="F126" i="11"/>
  <c r="I126" i="11" s="1"/>
  <c r="L125" i="11"/>
  <c r="K125" i="11"/>
  <c r="J125" i="11"/>
  <c r="G125" i="11"/>
  <c r="F125" i="11"/>
  <c r="I125" i="11" s="1"/>
  <c r="L124" i="11"/>
  <c r="K124" i="11"/>
  <c r="J124" i="11"/>
  <c r="H124" i="11"/>
  <c r="G124" i="11"/>
  <c r="F124" i="11"/>
  <c r="I124" i="11" s="1"/>
  <c r="O123" i="11"/>
  <c r="N123" i="11"/>
  <c r="Q123" i="11" s="1"/>
  <c r="L123" i="11"/>
  <c r="K123" i="11"/>
  <c r="J123" i="11"/>
  <c r="G123" i="11"/>
  <c r="M123" i="11" s="1"/>
  <c r="F123" i="11"/>
  <c r="I123" i="11" s="1"/>
  <c r="L122" i="11"/>
  <c r="K122" i="11"/>
  <c r="J122" i="11"/>
  <c r="H122" i="11"/>
  <c r="G122" i="11"/>
  <c r="F122" i="11"/>
  <c r="I122" i="11" s="1"/>
  <c r="L121" i="11"/>
  <c r="K121" i="11"/>
  <c r="J121" i="11"/>
  <c r="H121" i="11"/>
  <c r="G121" i="11"/>
  <c r="F121" i="11"/>
  <c r="I121" i="11" s="1"/>
  <c r="L120" i="11"/>
  <c r="K120" i="11"/>
  <c r="J120" i="11"/>
  <c r="M120" i="11" s="1"/>
  <c r="H120" i="11"/>
  <c r="G120" i="11"/>
  <c r="F120" i="11"/>
  <c r="I120" i="11" s="1"/>
  <c r="L119" i="11"/>
  <c r="K119" i="11"/>
  <c r="I119" i="11"/>
  <c r="G119" i="11"/>
  <c r="F119" i="11"/>
  <c r="J119" i="11" s="1"/>
  <c r="L118" i="11"/>
  <c r="K118" i="11"/>
  <c r="G118" i="11"/>
  <c r="F118" i="11"/>
  <c r="I118" i="11" s="1"/>
  <c r="L117" i="11"/>
  <c r="K117" i="11"/>
  <c r="J117" i="11"/>
  <c r="I117" i="11"/>
  <c r="H117" i="11"/>
  <c r="G117" i="11"/>
  <c r="F117" i="11"/>
  <c r="L116" i="11"/>
  <c r="K116" i="11"/>
  <c r="H116" i="11"/>
  <c r="G116" i="11"/>
  <c r="F116" i="11"/>
  <c r="I116" i="11" s="1"/>
  <c r="L115" i="11"/>
  <c r="K115" i="11"/>
  <c r="G115" i="11"/>
  <c r="F115" i="11"/>
  <c r="J115" i="11" s="1"/>
  <c r="L114" i="11"/>
  <c r="K114" i="11"/>
  <c r="J114" i="11"/>
  <c r="H114" i="11"/>
  <c r="G114" i="11"/>
  <c r="M114" i="11" s="1"/>
  <c r="F114" i="11"/>
  <c r="I114" i="11" s="1"/>
  <c r="L113" i="11"/>
  <c r="K113" i="11"/>
  <c r="H113" i="11"/>
  <c r="G113" i="11"/>
  <c r="F113" i="11"/>
  <c r="I113" i="11" s="1"/>
  <c r="L112" i="11"/>
  <c r="K112" i="11"/>
  <c r="H112" i="11"/>
  <c r="G112" i="11"/>
  <c r="F112" i="11"/>
  <c r="I112" i="11" s="1"/>
  <c r="L111" i="11"/>
  <c r="K111" i="11"/>
  <c r="I111" i="11"/>
  <c r="H111" i="11"/>
  <c r="G111" i="11"/>
  <c r="F111" i="11"/>
  <c r="J111" i="11" s="1"/>
  <c r="L110" i="11"/>
  <c r="K110" i="11"/>
  <c r="J110" i="11"/>
  <c r="G110" i="11"/>
  <c r="H110" i="11" s="1"/>
  <c r="F110" i="11"/>
  <c r="I110" i="11" s="1"/>
  <c r="L109" i="11"/>
  <c r="K109" i="11"/>
  <c r="H109" i="11"/>
  <c r="G109" i="11"/>
  <c r="F109" i="11"/>
  <c r="J109" i="11" s="1"/>
  <c r="L108" i="11"/>
  <c r="K108" i="11"/>
  <c r="G108" i="11"/>
  <c r="F108" i="11"/>
  <c r="I108" i="11" s="1"/>
  <c r="L107" i="11"/>
  <c r="K107" i="11"/>
  <c r="J107" i="11"/>
  <c r="I107" i="11"/>
  <c r="G107" i="11"/>
  <c r="F107" i="11"/>
  <c r="M106" i="11"/>
  <c r="O106" i="11" s="1"/>
  <c r="P106" i="11" s="1"/>
  <c r="L106" i="11"/>
  <c r="K106" i="11"/>
  <c r="J106" i="11"/>
  <c r="G106" i="11"/>
  <c r="H106" i="11" s="1"/>
  <c r="F106" i="11"/>
  <c r="I106" i="11" s="1"/>
  <c r="L105" i="11"/>
  <c r="K105" i="11"/>
  <c r="J105" i="11"/>
  <c r="G105" i="11"/>
  <c r="F105" i="11"/>
  <c r="I105" i="11" s="1"/>
  <c r="L104" i="11"/>
  <c r="K104" i="11"/>
  <c r="J104" i="11"/>
  <c r="M104" i="11" s="1"/>
  <c r="H104" i="11"/>
  <c r="G104" i="11"/>
  <c r="F104" i="11"/>
  <c r="I104" i="11" s="1"/>
  <c r="L103" i="11"/>
  <c r="K103" i="11"/>
  <c r="I103" i="11"/>
  <c r="G103" i="11"/>
  <c r="F103" i="11"/>
  <c r="J103" i="11" s="1"/>
  <c r="L102" i="11"/>
  <c r="K102" i="11"/>
  <c r="G102" i="11"/>
  <c r="F102" i="11"/>
  <c r="I102" i="11" s="1"/>
  <c r="L101" i="11"/>
  <c r="K101" i="11"/>
  <c r="J101" i="11"/>
  <c r="I101" i="11"/>
  <c r="H101" i="11"/>
  <c r="G101" i="11"/>
  <c r="F101" i="11"/>
  <c r="L100" i="11"/>
  <c r="K100" i="11"/>
  <c r="H100" i="11"/>
  <c r="G100" i="11"/>
  <c r="F100" i="11"/>
  <c r="I100" i="11" s="1"/>
  <c r="L99" i="11"/>
  <c r="K99" i="11"/>
  <c r="G99" i="11"/>
  <c r="F99" i="11"/>
  <c r="J99" i="11" s="1"/>
  <c r="L98" i="11"/>
  <c r="K98" i="11"/>
  <c r="J98" i="11"/>
  <c r="H98" i="11"/>
  <c r="G98" i="11"/>
  <c r="M98" i="11" s="1"/>
  <c r="F98" i="11"/>
  <c r="I98" i="11" s="1"/>
  <c r="L97" i="11"/>
  <c r="K97" i="11"/>
  <c r="H97" i="11"/>
  <c r="G97" i="11"/>
  <c r="F97" i="11"/>
  <c r="I97" i="11" s="1"/>
  <c r="L96" i="11"/>
  <c r="K96" i="11"/>
  <c r="H96" i="11"/>
  <c r="G96" i="11"/>
  <c r="F96" i="11"/>
  <c r="I96" i="11" s="1"/>
  <c r="L95" i="11"/>
  <c r="K95" i="11"/>
  <c r="I95" i="11"/>
  <c r="H95" i="11"/>
  <c r="G95" i="11"/>
  <c r="F95" i="11"/>
  <c r="J95" i="11" s="1"/>
  <c r="L94" i="11"/>
  <c r="K94" i="11"/>
  <c r="J94" i="11"/>
  <c r="G94" i="11"/>
  <c r="H94" i="11" s="1"/>
  <c r="F94" i="11"/>
  <c r="I94" i="11" s="1"/>
  <c r="L93" i="11"/>
  <c r="K93" i="11"/>
  <c r="H93" i="11"/>
  <c r="G93" i="11"/>
  <c r="F93" i="11"/>
  <c r="J93" i="11" s="1"/>
  <c r="L92" i="11"/>
  <c r="K92" i="11"/>
  <c r="G92" i="11"/>
  <c r="F92" i="11"/>
  <c r="I92" i="11" s="1"/>
  <c r="L91" i="11"/>
  <c r="K91" i="11"/>
  <c r="J91" i="11"/>
  <c r="I91" i="11"/>
  <c r="G91" i="11"/>
  <c r="F91" i="11"/>
  <c r="M90" i="11"/>
  <c r="L90" i="11"/>
  <c r="K90" i="11"/>
  <c r="J90" i="11"/>
  <c r="G90" i="11"/>
  <c r="H90" i="11" s="1"/>
  <c r="F90" i="11"/>
  <c r="I90" i="11" s="1"/>
  <c r="L89" i="11"/>
  <c r="K89" i="11"/>
  <c r="J89" i="11"/>
  <c r="G89" i="11"/>
  <c r="F89" i="11"/>
  <c r="I89" i="11" s="1"/>
  <c r="L88" i="11"/>
  <c r="K88" i="11"/>
  <c r="J88" i="11"/>
  <c r="M88" i="11" s="1"/>
  <c r="H88" i="11"/>
  <c r="G88" i="11"/>
  <c r="F88" i="11"/>
  <c r="I88" i="11" s="1"/>
  <c r="L87" i="11"/>
  <c r="K87" i="11"/>
  <c r="I87" i="11"/>
  <c r="G87" i="11"/>
  <c r="F87" i="11"/>
  <c r="J87" i="11" s="1"/>
  <c r="L86" i="11"/>
  <c r="K86" i="11"/>
  <c r="G86" i="11"/>
  <c r="F86" i="11"/>
  <c r="L85" i="11"/>
  <c r="K85" i="11"/>
  <c r="J85" i="11"/>
  <c r="I85" i="11"/>
  <c r="H85" i="11"/>
  <c r="G85" i="11"/>
  <c r="F85" i="11"/>
  <c r="L84" i="11"/>
  <c r="K84" i="11"/>
  <c r="H84" i="11"/>
  <c r="G84" i="11"/>
  <c r="F84" i="11"/>
  <c r="I84" i="11" s="1"/>
  <c r="L83" i="11"/>
  <c r="K83" i="11"/>
  <c r="G83" i="11"/>
  <c r="F83" i="11"/>
  <c r="L82" i="11"/>
  <c r="K82" i="11"/>
  <c r="J82" i="11"/>
  <c r="H82" i="11"/>
  <c r="G82" i="11"/>
  <c r="F82" i="11"/>
  <c r="I82" i="11" s="1"/>
  <c r="L81" i="11"/>
  <c r="K81" i="11"/>
  <c r="H81" i="11"/>
  <c r="G81" i="11"/>
  <c r="F81" i="11"/>
  <c r="I81" i="11" s="1"/>
  <c r="L80" i="11"/>
  <c r="K80" i="11"/>
  <c r="H80" i="11"/>
  <c r="G80" i="11"/>
  <c r="F80" i="11"/>
  <c r="L79" i="11"/>
  <c r="K79" i="11"/>
  <c r="I79" i="11"/>
  <c r="H79" i="11"/>
  <c r="G79" i="11"/>
  <c r="F79" i="11"/>
  <c r="J79" i="11" s="1"/>
  <c r="L78" i="11"/>
  <c r="K78" i="11"/>
  <c r="J78" i="11"/>
  <c r="G78" i="11"/>
  <c r="H78" i="11" s="1"/>
  <c r="F78" i="11"/>
  <c r="I78" i="11" s="1"/>
  <c r="L77" i="11"/>
  <c r="K77" i="11"/>
  <c r="H77" i="11"/>
  <c r="G77" i="11"/>
  <c r="F77" i="11"/>
  <c r="L76" i="11"/>
  <c r="K76" i="11"/>
  <c r="G76" i="11"/>
  <c r="F76" i="11"/>
  <c r="I76" i="11" s="1"/>
  <c r="L75" i="11"/>
  <c r="K75" i="11"/>
  <c r="J75" i="11"/>
  <c r="I75" i="11"/>
  <c r="G75" i="11"/>
  <c r="F75" i="11"/>
  <c r="M74" i="11"/>
  <c r="O74" i="11" s="1"/>
  <c r="P74" i="11" s="1"/>
  <c r="L74" i="11"/>
  <c r="K74" i="11"/>
  <c r="J74" i="11"/>
  <c r="G74" i="11"/>
  <c r="H74" i="11" s="1"/>
  <c r="F74" i="11"/>
  <c r="I74" i="11" s="1"/>
  <c r="L73" i="11"/>
  <c r="K73" i="11"/>
  <c r="J73" i="11"/>
  <c r="G73" i="11"/>
  <c r="M73" i="11" s="1"/>
  <c r="F73" i="11"/>
  <c r="I73" i="11" s="1"/>
  <c r="L72" i="11"/>
  <c r="K72" i="11"/>
  <c r="J72" i="11"/>
  <c r="M72" i="11" s="1"/>
  <c r="H72" i="11"/>
  <c r="G72" i="11"/>
  <c r="F72" i="11"/>
  <c r="I72" i="11" s="1"/>
  <c r="L71" i="11"/>
  <c r="K71" i="11"/>
  <c r="J71" i="11"/>
  <c r="I71" i="11"/>
  <c r="G71" i="11"/>
  <c r="F71" i="11"/>
  <c r="L70" i="11"/>
  <c r="K70" i="11"/>
  <c r="G70" i="11"/>
  <c r="F70" i="11"/>
  <c r="I70" i="11" s="1"/>
  <c r="L69" i="11"/>
  <c r="K69" i="11"/>
  <c r="J69" i="11"/>
  <c r="I69" i="11"/>
  <c r="H69" i="11"/>
  <c r="G69" i="11"/>
  <c r="F69" i="11"/>
  <c r="M68" i="11"/>
  <c r="N68" i="11" s="1"/>
  <c r="Q68" i="11" s="1"/>
  <c r="L68" i="11"/>
  <c r="K68" i="11"/>
  <c r="J68" i="11"/>
  <c r="I68" i="11"/>
  <c r="G68" i="11"/>
  <c r="H68" i="11" s="1"/>
  <c r="F68" i="11"/>
  <c r="L67" i="11"/>
  <c r="K67" i="11"/>
  <c r="I67" i="11"/>
  <c r="H67" i="11"/>
  <c r="G67" i="11"/>
  <c r="F67" i="11"/>
  <c r="J67" i="11" s="1"/>
  <c r="L66" i="11"/>
  <c r="K66" i="11"/>
  <c r="J66" i="11"/>
  <c r="I66" i="11"/>
  <c r="G66" i="11"/>
  <c r="H66" i="11" s="1"/>
  <c r="F66" i="11"/>
  <c r="L65" i="11"/>
  <c r="K65" i="11"/>
  <c r="I65" i="11"/>
  <c r="G65" i="11"/>
  <c r="M65" i="11" s="1"/>
  <c r="F65" i="11"/>
  <c r="J65" i="11" s="1"/>
  <c r="L64" i="11"/>
  <c r="K64" i="11"/>
  <c r="J64" i="11"/>
  <c r="I64" i="11"/>
  <c r="M64" i="11" s="1"/>
  <c r="G64" i="11"/>
  <c r="H64" i="11" s="1"/>
  <c r="F64" i="11"/>
  <c r="L63" i="11"/>
  <c r="K63" i="11"/>
  <c r="M63" i="11" s="1"/>
  <c r="I63" i="11"/>
  <c r="G63" i="11"/>
  <c r="H63" i="11" s="1"/>
  <c r="F63" i="11"/>
  <c r="J63" i="11" s="1"/>
  <c r="L62" i="11"/>
  <c r="K62" i="11"/>
  <c r="J62" i="11"/>
  <c r="I62" i="11"/>
  <c r="G62" i="11"/>
  <c r="H62" i="11" s="1"/>
  <c r="F62" i="11"/>
  <c r="L61" i="11"/>
  <c r="K61" i="11"/>
  <c r="I61" i="11"/>
  <c r="G61" i="11"/>
  <c r="M61" i="11" s="1"/>
  <c r="F61" i="11"/>
  <c r="J61" i="11" s="1"/>
  <c r="L60" i="11"/>
  <c r="K60" i="11"/>
  <c r="J60" i="11"/>
  <c r="I60" i="11"/>
  <c r="G60" i="11"/>
  <c r="H60" i="11" s="1"/>
  <c r="F60" i="11"/>
  <c r="L59" i="11"/>
  <c r="K59" i="11"/>
  <c r="M59" i="11" s="1"/>
  <c r="I59" i="11"/>
  <c r="H59" i="11"/>
  <c r="G59" i="11"/>
  <c r="F59" i="11"/>
  <c r="J59" i="11" s="1"/>
  <c r="L58" i="11"/>
  <c r="K58" i="11"/>
  <c r="M58" i="11" s="1"/>
  <c r="J58" i="11"/>
  <c r="I58" i="11"/>
  <c r="G58" i="11"/>
  <c r="H58" i="11" s="1"/>
  <c r="F58" i="11"/>
  <c r="L57" i="11"/>
  <c r="K57" i="11"/>
  <c r="I57" i="11"/>
  <c r="G57" i="11"/>
  <c r="H57" i="11" s="1"/>
  <c r="F57" i="11"/>
  <c r="J57" i="11" s="1"/>
  <c r="M56" i="11"/>
  <c r="N56" i="11" s="1"/>
  <c r="Q56" i="11" s="1"/>
  <c r="L56" i="11"/>
  <c r="K56" i="11"/>
  <c r="J56" i="11"/>
  <c r="I56" i="11"/>
  <c r="G56" i="11"/>
  <c r="H56" i="11" s="1"/>
  <c r="F56" i="11"/>
  <c r="L55" i="11"/>
  <c r="K55" i="11"/>
  <c r="I55" i="11"/>
  <c r="H55" i="11"/>
  <c r="G55" i="11"/>
  <c r="M55" i="11" s="1"/>
  <c r="F55" i="11"/>
  <c r="J55" i="11" s="1"/>
  <c r="L54" i="11"/>
  <c r="K54" i="11"/>
  <c r="J54" i="11"/>
  <c r="I54" i="11"/>
  <c r="G54" i="11"/>
  <c r="H54" i="11" s="1"/>
  <c r="F54" i="11"/>
  <c r="L53" i="11"/>
  <c r="K53" i="11"/>
  <c r="G53" i="11"/>
  <c r="H53" i="11" s="1"/>
  <c r="F53" i="11"/>
  <c r="J53" i="11" s="1"/>
  <c r="L52" i="11"/>
  <c r="K52" i="11"/>
  <c r="J52" i="11"/>
  <c r="I52" i="11"/>
  <c r="G52" i="11"/>
  <c r="H52" i="11" s="1"/>
  <c r="F52" i="11"/>
  <c r="L51" i="11"/>
  <c r="K51" i="11"/>
  <c r="H51" i="11"/>
  <c r="G51" i="11"/>
  <c r="F51" i="11"/>
  <c r="J51" i="11" s="1"/>
  <c r="L50" i="11"/>
  <c r="K50" i="11"/>
  <c r="J50" i="11"/>
  <c r="I50" i="11"/>
  <c r="G50" i="11"/>
  <c r="H50" i="11" s="1"/>
  <c r="F50" i="11"/>
  <c r="L49" i="11"/>
  <c r="K49" i="11"/>
  <c r="G49" i="11"/>
  <c r="H49" i="11" s="1"/>
  <c r="F49" i="11"/>
  <c r="J49" i="11" s="1"/>
  <c r="L48" i="11"/>
  <c r="K48" i="11"/>
  <c r="J48" i="11"/>
  <c r="I48" i="11"/>
  <c r="G48" i="11"/>
  <c r="H48" i="11" s="1"/>
  <c r="F48" i="11"/>
  <c r="L47" i="11"/>
  <c r="K47" i="11"/>
  <c r="H47" i="11"/>
  <c r="G47" i="11"/>
  <c r="F47" i="11"/>
  <c r="J47" i="11" s="1"/>
  <c r="L46" i="11"/>
  <c r="K46" i="11"/>
  <c r="J46" i="11"/>
  <c r="I46" i="11"/>
  <c r="G46" i="11"/>
  <c r="H46" i="11" s="1"/>
  <c r="F46" i="11"/>
  <c r="L45" i="11"/>
  <c r="K45" i="11"/>
  <c r="G45" i="11"/>
  <c r="H45" i="11" s="1"/>
  <c r="F45" i="11"/>
  <c r="J45" i="11" s="1"/>
  <c r="L44" i="11"/>
  <c r="K44" i="11"/>
  <c r="J44" i="11"/>
  <c r="I44" i="11"/>
  <c r="H44" i="11"/>
  <c r="G44" i="11"/>
  <c r="M44" i="11" s="1"/>
  <c r="F44" i="11"/>
  <c r="L43" i="11"/>
  <c r="K43" i="11"/>
  <c r="I43" i="11"/>
  <c r="G43" i="11"/>
  <c r="M43" i="11" s="1"/>
  <c r="F43" i="11"/>
  <c r="J43" i="11" s="1"/>
  <c r="L42" i="11"/>
  <c r="K42" i="11"/>
  <c r="J42" i="11"/>
  <c r="G42" i="11"/>
  <c r="H42" i="11" s="1"/>
  <c r="F42" i="11"/>
  <c r="I42" i="11" s="1"/>
  <c r="M42" i="11" s="1"/>
  <c r="L41" i="11"/>
  <c r="K41" i="11"/>
  <c r="H41" i="11"/>
  <c r="G41" i="11"/>
  <c r="F41" i="11"/>
  <c r="J41" i="11" s="1"/>
  <c r="L40" i="11"/>
  <c r="K40" i="11"/>
  <c r="J40" i="11"/>
  <c r="G40" i="11"/>
  <c r="H40" i="11" s="1"/>
  <c r="F40" i="11"/>
  <c r="I40" i="11" s="1"/>
  <c r="M40" i="11" s="1"/>
  <c r="L39" i="11"/>
  <c r="K39" i="11"/>
  <c r="H39" i="11"/>
  <c r="G39" i="11"/>
  <c r="F39" i="11"/>
  <c r="J39" i="11" s="1"/>
  <c r="L38" i="11"/>
  <c r="K38" i="11"/>
  <c r="G38" i="11"/>
  <c r="H38" i="11" s="1"/>
  <c r="F38" i="11"/>
  <c r="I38" i="11" s="1"/>
  <c r="L37" i="11"/>
  <c r="K37" i="11"/>
  <c r="J37" i="11"/>
  <c r="H37" i="11"/>
  <c r="G37" i="11"/>
  <c r="F37" i="11"/>
  <c r="I37" i="11" s="1"/>
  <c r="L36" i="11"/>
  <c r="K36" i="11"/>
  <c r="G36" i="11"/>
  <c r="H36" i="11" s="1"/>
  <c r="F36" i="11"/>
  <c r="I36" i="11" s="1"/>
  <c r="L35" i="11"/>
  <c r="K35" i="11"/>
  <c r="J35" i="11"/>
  <c r="H35" i="11"/>
  <c r="G35" i="11"/>
  <c r="F35" i="11"/>
  <c r="I35" i="11" s="1"/>
  <c r="L34" i="11"/>
  <c r="K34" i="11"/>
  <c r="G34" i="11"/>
  <c r="H34" i="11" s="1"/>
  <c r="F34" i="11"/>
  <c r="I34" i="11" s="1"/>
  <c r="L33" i="11"/>
  <c r="K33" i="11"/>
  <c r="J33" i="11"/>
  <c r="H33" i="11"/>
  <c r="G33" i="11"/>
  <c r="F33" i="11"/>
  <c r="I33" i="11" s="1"/>
  <c r="L32" i="11"/>
  <c r="K32" i="11"/>
  <c r="G32" i="11"/>
  <c r="H32" i="11" s="1"/>
  <c r="F32" i="11"/>
  <c r="I32" i="11" s="1"/>
  <c r="L31" i="11"/>
  <c r="K31" i="11"/>
  <c r="J31" i="11"/>
  <c r="H31" i="11"/>
  <c r="G31" i="11"/>
  <c r="F31" i="11"/>
  <c r="I31" i="11" s="1"/>
  <c r="L30" i="11"/>
  <c r="K30" i="11"/>
  <c r="G30" i="11"/>
  <c r="H30" i="11" s="1"/>
  <c r="F30" i="11"/>
  <c r="I30" i="11" s="1"/>
  <c r="L29" i="11"/>
  <c r="K29" i="11"/>
  <c r="J29" i="11"/>
  <c r="H29" i="11"/>
  <c r="G29" i="11"/>
  <c r="F29" i="11"/>
  <c r="I29" i="11" s="1"/>
  <c r="L28" i="11"/>
  <c r="K28" i="11"/>
  <c r="G28" i="11"/>
  <c r="H28" i="11" s="1"/>
  <c r="F28" i="11"/>
  <c r="I28" i="11" s="1"/>
  <c r="L27" i="11"/>
  <c r="K27" i="11"/>
  <c r="J27" i="11"/>
  <c r="H27" i="11"/>
  <c r="G27" i="11"/>
  <c r="F27" i="11"/>
  <c r="I27" i="11" s="1"/>
  <c r="L26" i="11"/>
  <c r="K26" i="11"/>
  <c r="G26" i="11"/>
  <c r="H26" i="11" s="1"/>
  <c r="F26" i="11"/>
  <c r="I26" i="11" s="1"/>
  <c r="L25" i="11"/>
  <c r="K25" i="11"/>
  <c r="J25" i="11"/>
  <c r="H25" i="11"/>
  <c r="G25" i="11"/>
  <c r="F25" i="11"/>
  <c r="I25" i="11" s="1"/>
  <c r="L24" i="11"/>
  <c r="K24" i="11"/>
  <c r="G24" i="11"/>
  <c r="H24" i="11" s="1"/>
  <c r="F24" i="11"/>
  <c r="I24" i="11" s="1"/>
  <c r="L23" i="11"/>
  <c r="K23" i="11"/>
  <c r="J23" i="11"/>
  <c r="H23" i="11"/>
  <c r="G23" i="11"/>
  <c r="F23" i="11"/>
  <c r="I23" i="11" s="1"/>
  <c r="L22" i="11"/>
  <c r="K22" i="11"/>
  <c r="G22" i="11"/>
  <c r="H22" i="11" s="1"/>
  <c r="F22" i="11"/>
  <c r="I22" i="11" s="1"/>
  <c r="L21" i="11"/>
  <c r="K21" i="11"/>
  <c r="J21" i="11"/>
  <c r="H21" i="11"/>
  <c r="G21" i="11"/>
  <c r="F21" i="11"/>
  <c r="I21" i="11" s="1"/>
  <c r="L20" i="11"/>
  <c r="K20" i="11"/>
  <c r="G20" i="11"/>
  <c r="H20" i="11" s="1"/>
  <c r="F20" i="11"/>
  <c r="I20" i="11" s="1"/>
  <c r="L19" i="11"/>
  <c r="K19" i="11"/>
  <c r="J19" i="11"/>
  <c r="H19" i="11"/>
  <c r="G19" i="11"/>
  <c r="F19" i="11"/>
  <c r="I19" i="11" s="1"/>
  <c r="L18" i="11"/>
  <c r="K18" i="11"/>
  <c r="G18" i="11"/>
  <c r="H18" i="11" s="1"/>
  <c r="F18" i="11"/>
  <c r="I18" i="11" s="1"/>
  <c r="L17" i="11"/>
  <c r="K17" i="11"/>
  <c r="J17" i="11"/>
  <c r="H17" i="11"/>
  <c r="G17" i="11"/>
  <c r="F17" i="11"/>
  <c r="I17" i="11" s="1"/>
  <c r="L16" i="11"/>
  <c r="K16" i="11"/>
  <c r="G16" i="11"/>
  <c r="H16" i="11" s="1"/>
  <c r="F16" i="11"/>
  <c r="L15" i="11"/>
  <c r="K15" i="11"/>
  <c r="J15" i="11"/>
  <c r="H15" i="11"/>
  <c r="G15" i="11"/>
  <c r="F15" i="11"/>
  <c r="I15" i="11" s="1"/>
  <c r="L14" i="11"/>
  <c r="K14" i="11"/>
  <c r="G14" i="11"/>
  <c r="H14" i="11" s="1"/>
  <c r="F14" i="11"/>
  <c r="L13" i="11"/>
  <c r="K13" i="11"/>
  <c r="J13" i="11"/>
  <c r="H13" i="11"/>
  <c r="G13" i="11"/>
  <c r="F13" i="11"/>
  <c r="I13" i="11" s="1"/>
  <c r="L12" i="11"/>
  <c r="K12" i="11"/>
  <c r="G12" i="11"/>
  <c r="H12" i="11" s="1"/>
  <c r="F12" i="11"/>
  <c r="L11" i="11"/>
  <c r="K11" i="11"/>
  <c r="J11" i="11"/>
  <c r="H11" i="11"/>
  <c r="G11" i="11"/>
  <c r="M11" i="11" s="1"/>
  <c r="F11" i="11"/>
  <c r="I11" i="11" s="1"/>
  <c r="L10" i="11"/>
  <c r="K10" i="11"/>
  <c r="G10" i="11"/>
  <c r="H10" i="11" s="1"/>
  <c r="F10" i="11"/>
  <c r="L9" i="11"/>
  <c r="K9" i="11"/>
  <c r="J9" i="11"/>
  <c r="H9" i="11"/>
  <c r="G9" i="11"/>
  <c r="F9" i="11"/>
  <c r="I9" i="11" s="1"/>
  <c r="L8" i="11"/>
  <c r="K8" i="11"/>
  <c r="G8" i="11"/>
  <c r="H8" i="11" s="1"/>
  <c r="F8" i="11"/>
  <c r="L7" i="11"/>
  <c r="K7" i="11"/>
  <c r="J7" i="11"/>
  <c r="H7" i="11"/>
  <c r="G7" i="11"/>
  <c r="F7" i="11"/>
  <c r="I7" i="11" s="1"/>
  <c r="L6" i="11"/>
  <c r="K6" i="11"/>
  <c r="G6" i="11"/>
  <c r="H6" i="11" s="1"/>
  <c r="F6" i="11"/>
  <c r="L5" i="11"/>
  <c r="K5" i="11"/>
  <c r="J5" i="11"/>
  <c r="H5" i="11"/>
  <c r="G5" i="11"/>
  <c r="F5" i="11"/>
  <c r="D29" i="10"/>
  <c r="C29" i="10"/>
  <c r="B29" i="10"/>
  <c r="C23" i="10"/>
  <c r="C22" i="10"/>
  <c r="B22" i="10"/>
  <c r="D15" i="10"/>
  <c r="C15" i="10"/>
  <c r="B15" i="10"/>
  <c r="C11" i="10"/>
  <c r="C10" i="10"/>
  <c r="F5" i="14" s="1"/>
  <c r="B10" i="10"/>
  <c r="D7" i="10"/>
  <c r="C7" i="10"/>
  <c r="B7" i="10"/>
  <c r="D6" i="10"/>
  <c r="C6" i="10"/>
  <c r="C24" i="10" s="1"/>
  <c r="B6" i="10"/>
  <c r="B24" i="10" s="1"/>
  <c r="M171" i="9"/>
  <c r="L171" i="9"/>
  <c r="K171" i="9"/>
  <c r="I171" i="9"/>
  <c r="H171" i="9"/>
  <c r="F171" i="9"/>
  <c r="P152" i="7"/>
  <c r="O152" i="7"/>
  <c r="N152" i="7"/>
  <c r="M152" i="7"/>
  <c r="L152" i="7"/>
  <c r="K152" i="7"/>
  <c r="J152" i="7"/>
  <c r="I152" i="7"/>
  <c r="H152" i="7"/>
  <c r="H167" i="5"/>
  <c r="G167" i="5"/>
  <c r="F167" i="5"/>
  <c r="E167" i="5"/>
  <c r="H118" i="4"/>
  <c r="G118" i="4"/>
  <c r="F118" i="4"/>
  <c r="E118" i="4"/>
  <c r="H284" i="3"/>
  <c r="G284" i="3"/>
  <c r="K284" i="3" s="1"/>
  <c r="L284" i="3" s="1"/>
  <c r="F284" i="3"/>
  <c r="M284" i="3" s="1"/>
  <c r="N284" i="3" s="1"/>
  <c r="E284" i="3"/>
  <c r="M283" i="3"/>
  <c r="N283" i="3" s="1"/>
  <c r="L283" i="3"/>
  <c r="K283" i="3"/>
  <c r="L282" i="3"/>
  <c r="K282" i="3"/>
  <c r="M282" i="3" s="1"/>
  <c r="N282" i="3" s="1"/>
  <c r="M281" i="3"/>
  <c r="N281" i="3" s="1"/>
  <c r="L281" i="3"/>
  <c r="K281" i="3"/>
  <c r="L280" i="3"/>
  <c r="K280" i="3"/>
  <c r="M280" i="3" s="1"/>
  <c r="N280" i="3" s="1"/>
  <c r="M279" i="3"/>
  <c r="N279" i="3" s="1"/>
  <c r="L279" i="3"/>
  <c r="K279" i="3"/>
  <c r="L278" i="3"/>
  <c r="K278" i="3"/>
  <c r="M278" i="3" s="1"/>
  <c r="N278" i="3" s="1"/>
  <c r="M277" i="3"/>
  <c r="N277" i="3" s="1"/>
  <c r="L277" i="3"/>
  <c r="K277" i="3"/>
  <c r="L276" i="3"/>
  <c r="K276" i="3"/>
  <c r="M276" i="3" s="1"/>
  <c r="N276" i="3" s="1"/>
  <c r="M275" i="3"/>
  <c r="N275" i="3" s="1"/>
  <c r="L275" i="3"/>
  <c r="K275" i="3"/>
  <c r="L274" i="3"/>
  <c r="K274" i="3"/>
  <c r="M274" i="3" s="1"/>
  <c r="N274" i="3" s="1"/>
  <c r="M273" i="3"/>
  <c r="N273" i="3" s="1"/>
  <c r="L273" i="3"/>
  <c r="K273" i="3"/>
  <c r="K272" i="3"/>
  <c r="M272" i="3" s="1"/>
  <c r="N272" i="3" s="1"/>
  <c r="M271" i="3"/>
  <c r="N271" i="3" s="1"/>
  <c r="L271" i="3"/>
  <c r="K271" i="3"/>
  <c r="L270" i="3"/>
  <c r="K270" i="3"/>
  <c r="M270" i="3" s="1"/>
  <c r="N270" i="3" s="1"/>
  <c r="M269" i="3"/>
  <c r="N269" i="3" s="1"/>
  <c r="L269" i="3"/>
  <c r="K269" i="3"/>
  <c r="K268" i="3"/>
  <c r="M268" i="3" s="1"/>
  <c r="N268" i="3" s="1"/>
  <c r="M267" i="3"/>
  <c r="N267" i="3" s="1"/>
  <c r="L267" i="3"/>
  <c r="K267" i="3"/>
  <c r="K266" i="3"/>
  <c r="M266" i="3" s="1"/>
  <c r="N266" i="3" s="1"/>
  <c r="M265" i="3"/>
  <c r="N265" i="3" s="1"/>
  <c r="L265" i="3"/>
  <c r="K265" i="3"/>
  <c r="L264" i="3"/>
  <c r="K264" i="3"/>
  <c r="M264" i="3" s="1"/>
  <c r="N264" i="3" s="1"/>
  <c r="M263" i="3"/>
  <c r="N263" i="3" s="1"/>
  <c r="L263" i="3"/>
  <c r="K263" i="3"/>
  <c r="L262" i="3"/>
  <c r="K262" i="3"/>
  <c r="M262" i="3" s="1"/>
  <c r="N262" i="3" s="1"/>
  <c r="M261" i="3"/>
  <c r="N261" i="3" s="1"/>
  <c r="L261" i="3"/>
  <c r="K261" i="3"/>
  <c r="K260" i="3"/>
  <c r="M260" i="3" s="1"/>
  <c r="N260" i="3" s="1"/>
  <c r="M259" i="3"/>
  <c r="N259" i="3" s="1"/>
  <c r="L259" i="3"/>
  <c r="K259" i="3"/>
  <c r="K258" i="3"/>
  <c r="M258" i="3" s="1"/>
  <c r="N258" i="3" s="1"/>
  <c r="M257" i="3"/>
  <c r="N257" i="3" s="1"/>
  <c r="L257" i="3"/>
  <c r="K257" i="3"/>
  <c r="K256" i="3"/>
  <c r="M256" i="3" s="1"/>
  <c r="N256" i="3" s="1"/>
  <c r="M255" i="3"/>
  <c r="N255" i="3" s="1"/>
  <c r="L255" i="3"/>
  <c r="K255" i="3"/>
  <c r="L254" i="3"/>
  <c r="K254" i="3"/>
  <c r="M254" i="3" s="1"/>
  <c r="N254" i="3" s="1"/>
  <c r="M253" i="3"/>
  <c r="N253" i="3" s="1"/>
  <c r="L253" i="3"/>
  <c r="K253" i="3"/>
  <c r="K252" i="3"/>
  <c r="M252" i="3" s="1"/>
  <c r="N252" i="3" s="1"/>
  <c r="M251" i="3"/>
  <c r="N251" i="3" s="1"/>
  <c r="L251" i="3"/>
  <c r="K251" i="3"/>
  <c r="K250" i="3"/>
  <c r="M250" i="3" s="1"/>
  <c r="N250" i="3" s="1"/>
  <c r="M249" i="3"/>
  <c r="N249" i="3" s="1"/>
  <c r="L249" i="3"/>
  <c r="K249" i="3"/>
  <c r="L248" i="3"/>
  <c r="K248" i="3"/>
  <c r="M248" i="3" s="1"/>
  <c r="N248" i="3" s="1"/>
  <c r="M247" i="3"/>
  <c r="N247" i="3" s="1"/>
  <c r="L247" i="3"/>
  <c r="K247" i="3"/>
  <c r="L246" i="3"/>
  <c r="K246" i="3"/>
  <c r="M246" i="3" s="1"/>
  <c r="N246" i="3" s="1"/>
  <c r="M245" i="3"/>
  <c r="N245" i="3" s="1"/>
  <c r="L245" i="3"/>
  <c r="K245" i="3"/>
  <c r="L244" i="3"/>
  <c r="K244" i="3"/>
  <c r="M244" i="3" s="1"/>
  <c r="N244" i="3" s="1"/>
  <c r="M243" i="3"/>
  <c r="N243" i="3" s="1"/>
  <c r="L243" i="3"/>
  <c r="K243" i="3"/>
  <c r="K242" i="3"/>
  <c r="M242" i="3" s="1"/>
  <c r="N242" i="3" s="1"/>
  <c r="M241" i="3"/>
  <c r="N241" i="3" s="1"/>
  <c r="K241" i="3"/>
  <c r="L241" i="3" s="1"/>
  <c r="K240" i="3"/>
  <c r="M240" i="3" s="1"/>
  <c r="N240" i="3" s="1"/>
  <c r="K239" i="3"/>
  <c r="M239" i="3" s="1"/>
  <c r="N239" i="3" s="1"/>
  <c r="L238" i="3"/>
  <c r="K238" i="3"/>
  <c r="M238" i="3" s="1"/>
  <c r="N238" i="3" s="1"/>
  <c r="K237" i="3"/>
  <c r="M237" i="3" s="1"/>
  <c r="N237" i="3" s="1"/>
  <c r="K236" i="3"/>
  <c r="M236" i="3" s="1"/>
  <c r="N236" i="3" s="1"/>
  <c r="M235" i="3"/>
  <c r="N235" i="3" s="1"/>
  <c r="K235" i="3"/>
  <c r="L235" i="3" s="1"/>
  <c r="K234" i="3"/>
  <c r="M234" i="3" s="1"/>
  <c r="N234" i="3" s="1"/>
  <c r="M233" i="3"/>
  <c r="N233" i="3" s="1"/>
  <c r="K233" i="3"/>
  <c r="L233" i="3" s="1"/>
  <c r="L232" i="3"/>
  <c r="K232" i="3"/>
  <c r="M232" i="3" s="1"/>
  <c r="N232" i="3" s="1"/>
  <c r="K231" i="3"/>
  <c r="M231" i="3" s="1"/>
  <c r="N231" i="3" s="1"/>
  <c r="L230" i="3"/>
  <c r="K230" i="3"/>
  <c r="M230" i="3" s="1"/>
  <c r="N230" i="3" s="1"/>
  <c r="M229" i="3"/>
  <c r="N229" i="3" s="1"/>
  <c r="L229" i="3"/>
  <c r="K229" i="3"/>
  <c r="L228" i="3"/>
  <c r="K228" i="3"/>
  <c r="M228" i="3" s="1"/>
  <c r="N228" i="3" s="1"/>
  <c r="M227" i="3"/>
  <c r="N227" i="3" s="1"/>
  <c r="L227" i="3"/>
  <c r="K227" i="3"/>
  <c r="K226" i="3"/>
  <c r="M226" i="3" s="1"/>
  <c r="N226" i="3" s="1"/>
  <c r="M225" i="3"/>
  <c r="N225" i="3" s="1"/>
  <c r="L225" i="3"/>
  <c r="K225" i="3"/>
  <c r="K224" i="3"/>
  <c r="M224" i="3" s="1"/>
  <c r="N224" i="3" s="1"/>
  <c r="K223" i="3"/>
  <c r="M223" i="3" s="1"/>
  <c r="N223" i="3" s="1"/>
  <c r="K222" i="3"/>
  <c r="M222" i="3" s="1"/>
  <c r="N222" i="3" s="1"/>
  <c r="K221" i="3"/>
  <c r="M221" i="3" s="1"/>
  <c r="N221" i="3" s="1"/>
  <c r="K220" i="3"/>
  <c r="M220" i="3" s="1"/>
  <c r="N220" i="3" s="1"/>
  <c r="M219" i="3"/>
  <c r="N219" i="3" s="1"/>
  <c r="L219" i="3"/>
  <c r="K219" i="3"/>
  <c r="M218" i="3"/>
  <c r="N218" i="3" s="1"/>
  <c r="K218" i="3"/>
  <c r="L218" i="3" s="1"/>
  <c r="M217" i="3"/>
  <c r="N217" i="3" s="1"/>
  <c r="L217" i="3"/>
  <c r="K217" i="3"/>
  <c r="M216" i="3"/>
  <c r="N216" i="3" s="1"/>
  <c r="L216" i="3"/>
  <c r="K216" i="3"/>
  <c r="K215" i="3"/>
  <c r="M215" i="3" s="1"/>
  <c r="N215" i="3" s="1"/>
  <c r="K214" i="3"/>
  <c r="M214" i="3" s="1"/>
  <c r="N214" i="3" s="1"/>
  <c r="K213" i="3"/>
  <c r="M213" i="3" s="1"/>
  <c r="N213" i="3" s="1"/>
  <c r="N212" i="3"/>
  <c r="M212" i="3"/>
  <c r="K212" i="3"/>
  <c r="L212" i="3" s="1"/>
  <c r="M211" i="3"/>
  <c r="N211" i="3" s="1"/>
  <c r="K211" i="3"/>
  <c r="L211" i="3" s="1"/>
  <c r="M210" i="3"/>
  <c r="N210" i="3" s="1"/>
  <c r="L210" i="3"/>
  <c r="K210" i="3"/>
  <c r="M209" i="3"/>
  <c r="N209" i="3" s="1"/>
  <c r="L209" i="3"/>
  <c r="K209" i="3"/>
  <c r="M208" i="3"/>
  <c r="N208" i="3" s="1"/>
  <c r="L208" i="3"/>
  <c r="K208" i="3"/>
  <c r="M207" i="3"/>
  <c r="N207" i="3" s="1"/>
  <c r="L207" i="3"/>
  <c r="K207" i="3"/>
  <c r="M206" i="3"/>
  <c r="N206" i="3" s="1"/>
  <c r="L206" i="3"/>
  <c r="K206" i="3"/>
  <c r="M205" i="3"/>
  <c r="N205" i="3" s="1"/>
  <c r="L205" i="3"/>
  <c r="K205" i="3"/>
  <c r="M204" i="3"/>
  <c r="N204" i="3" s="1"/>
  <c r="L204" i="3"/>
  <c r="K204" i="3"/>
  <c r="M203" i="3"/>
  <c r="N203" i="3" s="1"/>
  <c r="L203" i="3"/>
  <c r="K203" i="3"/>
  <c r="M202" i="3"/>
  <c r="N202" i="3" s="1"/>
  <c r="L202" i="3"/>
  <c r="K202" i="3"/>
  <c r="M201" i="3"/>
  <c r="N201" i="3" s="1"/>
  <c r="L201" i="3"/>
  <c r="K201" i="3"/>
  <c r="M200" i="3"/>
  <c r="N200" i="3" s="1"/>
  <c r="L200" i="3"/>
  <c r="K200" i="3"/>
  <c r="M199" i="3"/>
  <c r="N199" i="3" s="1"/>
  <c r="L199" i="3"/>
  <c r="K199" i="3"/>
  <c r="M198" i="3"/>
  <c r="N198" i="3" s="1"/>
  <c r="L198" i="3"/>
  <c r="K198" i="3"/>
  <c r="M197" i="3"/>
  <c r="N197" i="3" s="1"/>
  <c r="L197" i="3"/>
  <c r="K197" i="3"/>
  <c r="M196" i="3"/>
  <c r="N196" i="3" s="1"/>
  <c r="L196" i="3"/>
  <c r="K196" i="3"/>
  <c r="M195" i="3"/>
  <c r="N195" i="3" s="1"/>
  <c r="L195" i="3"/>
  <c r="K195" i="3"/>
  <c r="M194" i="3"/>
  <c r="N194" i="3" s="1"/>
  <c r="L194" i="3"/>
  <c r="K194" i="3"/>
  <c r="M193" i="3"/>
  <c r="N193" i="3" s="1"/>
  <c r="L193" i="3"/>
  <c r="K193" i="3"/>
  <c r="M192" i="3"/>
  <c r="N192" i="3" s="1"/>
  <c r="L192" i="3"/>
  <c r="K192" i="3"/>
  <c r="M191" i="3"/>
  <c r="N191" i="3" s="1"/>
  <c r="L191" i="3"/>
  <c r="K191" i="3"/>
  <c r="M190" i="3"/>
  <c r="N190" i="3" s="1"/>
  <c r="L190" i="3"/>
  <c r="K190" i="3"/>
  <c r="M189" i="3"/>
  <c r="N189" i="3" s="1"/>
  <c r="L189" i="3"/>
  <c r="K189" i="3"/>
  <c r="M188" i="3"/>
  <c r="N188" i="3" s="1"/>
  <c r="L188" i="3"/>
  <c r="K188" i="3"/>
  <c r="M187" i="3"/>
  <c r="N187" i="3" s="1"/>
  <c r="L187" i="3"/>
  <c r="K187" i="3"/>
  <c r="M186" i="3"/>
  <c r="N186" i="3" s="1"/>
  <c r="L186" i="3"/>
  <c r="K186" i="3"/>
  <c r="M185" i="3"/>
  <c r="N185" i="3" s="1"/>
  <c r="L185" i="3"/>
  <c r="K185" i="3"/>
  <c r="M184" i="3"/>
  <c r="N184" i="3" s="1"/>
  <c r="L184" i="3"/>
  <c r="K184" i="3"/>
  <c r="M183" i="3"/>
  <c r="N183" i="3" s="1"/>
  <c r="L183" i="3"/>
  <c r="K183" i="3"/>
  <c r="M182" i="3"/>
  <c r="N182" i="3" s="1"/>
  <c r="L182" i="3"/>
  <c r="K182" i="3"/>
  <c r="M181" i="3"/>
  <c r="N181" i="3" s="1"/>
  <c r="L181" i="3"/>
  <c r="K181" i="3"/>
  <c r="M180" i="3"/>
  <c r="N180" i="3" s="1"/>
  <c r="L180" i="3"/>
  <c r="K180" i="3"/>
  <c r="M179" i="3"/>
  <c r="N179" i="3" s="1"/>
  <c r="L179" i="3"/>
  <c r="K179" i="3"/>
  <c r="M178" i="3"/>
  <c r="N178" i="3" s="1"/>
  <c r="L178" i="3"/>
  <c r="K178" i="3"/>
  <c r="M177" i="3"/>
  <c r="N177" i="3" s="1"/>
  <c r="L177" i="3"/>
  <c r="K177" i="3"/>
  <c r="M176" i="3"/>
  <c r="N176" i="3" s="1"/>
  <c r="L176" i="3"/>
  <c r="K176" i="3"/>
  <c r="M175" i="3"/>
  <c r="N175" i="3" s="1"/>
  <c r="L175" i="3"/>
  <c r="K175" i="3"/>
  <c r="M174" i="3"/>
  <c r="N174" i="3" s="1"/>
  <c r="L174" i="3"/>
  <c r="K174" i="3"/>
  <c r="M173" i="3"/>
  <c r="N173" i="3" s="1"/>
  <c r="L173" i="3"/>
  <c r="K173" i="3"/>
  <c r="M172" i="3"/>
  <c r="N172" i="3" s="1"/>
  <c r="L172" i="3"/>
  <c r="K172" i="3"/>
  <c r="M171" i="3"/>
  <c r="N171" i="3" s="1"/>
  <c r="L171" i="3"/>
  <c r="K171" i="3"/>
  <c r="M170" i="3"/>
  <c r="N170" i="3" s="1"/>
  <c r="L170" i="3"/>
  <c r="K170" i="3"/>
  <c r="M169" i="3"/>
  <c r="N169" i="3" s="1"/>
  <c r="L169" i="3"/>
  <c r="K169" i="3"/>
  <c r="M168" i="3"/>
  <c r="N168" i="3" s="1"/>
  <c r="L168" i="3"/>
  <c r="K168" i="3"/>
  <c r="M167" i="3"/>
  <c r="N167" i="3" s="1"/>
  <c r="L167" i="3"/>
  <c r="K167" i="3"/>
  <c r="M166" i="3"/>
  <c r="N166" i="3" s="1"/>
  <c r="L166" i="3"/>
  <c r="K166" i="3"/>
  <c r="M165" i="3"/>
  <c r="N165" i="3" s="1"/>
  <c r="L165" i="3"/>
  <c r="K165" i="3"/>
  <c r="M164" i="3"/>
  <c r="N164" i="3" s="1"/>
  <c r="L164" i="3"/>
  <c r="K164" i="3"/>
  <c r="M163" i="3"/>
  <c r="N163" i="3" s="1"/>
  <c r="L163" i="3"/>
  <c r="K163" i="3"/>
  <c r="M162" i="3"/>
  <c r="N162" i="3" s="1"/>
  <c r="L162" i="3"/>
  <c r="K162" i="3"/>
  <c r="M161" i="3"/>
  <c r="N161" i="3" s="1"/>
  <c r="L161" i="3"/>
  <c r="K161" i="3"/>
  <c r="M160" i="3"/>
  <c r="N160" i="3" s="1"/>
  <c r="L160" i="3"/>
  <c r="K160" i="3"/>
  <c r="M159" i="3"/>
  <c r="N159" i="3" s="1"/>
  <c r="L159" i="3"/>
  <c r="K159" i="3"/>
  <c r="M158" i="3"/>
  <c r="N158" i="3" s="1"/>
  <c r="L158" i="3"/>
  <c r="K158" i="3"/>
  <c r="M157" i="3"/>
  <c r="N157" i="3" s="1"/>
  <c r="L157" i="3"/>
  <c r="K157" i="3"/>
  <c r="M156" i="3"/>
  <c r="N156" i="3" s="1"/>
  <c r="L156" i="3"/>
  <c r="K156" i="3"/>
  <c r="M155" i="3"/>
  <c r="N155" i="3" s="1"/>
  <c r="L155" i="3"/>
  <c r="K155" i="3"/>
  <c r="M154" i="3"/>
  <c r="N154" i="3" s="1"/>
  <c r="L154" i="3"/>
  <c r="K154" i="3"/>
  <c r="M153" i="3"/>
  <c r="N153" i="3" s="1"/>
  <c r="L153" i="3"/>
  <c r="K153" i="3"/>
  <c r="M152" i="3"/>
  <c r="N152" i="3" s="1"/>
  <c r="L152" i="3"/>
  <c r="K152" i="3"/>
  <c r="M151" i="3"/>
  <c r="N151" i="3" s="1"/>
  <c r="L151" i="3"/>
  <c r="K151" i="3"/>
  <c r="M150" i="3"/>
  <c r="N150" i="3" s="1"/>
  <c r="L150" i="3"/>
  <c r="K150" i="3"/>
  <c r="M149" i="3"/>
  <c r="N149" i="3" s="1"/>
  <c r="L149" i="3"/>
  <c r="K149" i="3"/>
  <c r="M148" i="3"/>
  <c r="N148" i="3" s="1"/>
  <c r="L148" i="3"/>
  <c r="K148" i="3"/>
  <c r="M147" i="3"/>
  <c r="N147" i="3" s="1"/>
  <c r="L147" i="3"/>
  <c r="K147" i="3"/>
  <c r="K146" i="3"/>
  <c r="M146" i="3" s="1"/>
  <c r="N146" i="3" s="1"/>
  <c r="M145" i="3"/>
  <c r="N145" i="3" s="1"/>
  <c r="L145" i="3"/>
  <c r="K145" i="3"/>
  <c r="K144" i="3"/>
  <c r="M144" i="3" s="1"/>
  <c r="N144" i="3" s="1"/>
  <c r="M143" i="3"/>
  <c r="N143" i="3" s="1"/>
  <c r="L143" i="3"/>
  <c r="K143" i="3"/>
  <c r="M142" i="3"/>
  <c r="N142" i="3" s="1"/>
  <c r="K142" i="3"/>
  <c r="L142" i="3" s="1"/>
  <c r="M141" i="3"/>
  <c r="N141" i="3" s="1"/>
  <c r="L141" i="3"/>
  <c r="K141" i="3"/>
  <c r="K140" i="3"/>
  <c r="M140" i="3" s="1"/>
  <c r="N140" i="3" s="1"/>
  <c r="M139" i="3"/>
  <c r="N139" i="3" s="1"/>
  <c r="L139" i="3"/>
  <c r="K139" i="3"/>
  <c r="L138" i="3"/>
  <c r="K138" i="3"/>
  <c r="M138" i="3" s="1"/>
  <c r="N138" i="3" s="1"/>
  <c r="M137" i="3"/>
  <c r="N137" i="3" s="1"/>
  <c r="L137" i="3"/>
  <c r="K137" i="3"/>
  <c r="K136" i="3"/>
  <c r="M136" i="3" s="1"/>
  <c r="N136" i="3" s="1"/>
  <c r="M135" i="3"/>
  <c r="N135" i="3" s="1"/>
  <c r="L135" i="3"/>
  <c r="K135" i="3"/>
  <c r="M134" i="3"/>
  <c r="N134" i="3" s="1"/>
  <c r="K134" i="3"/>
  <c r="L134" i="3" s="1"/>
  <c r="M133" i="3"/>
  <c r="N133" i="3" s="1"/>
  <c r="L133" i="3"/>
  <c r="K133" i="3"/>
  <c r="K132" i="3"/>
  <c r="M132" i="3" s="1"/>
  <c r="N132" i="3" s="1"/>
  <c r="M131" i="3"/>
  <c r="N131" i="3" s="1"/>
  <c r="L131" i="3"/>
  <c r="K131" i="3"/>
  <c r="L130" i="3"/>
  <c r="K130" i="3"/>
  <c r="M130" i="3" s="1"/>
  <c r="N130" i="3" s="1"/>
  <c r="M129" i="3"/>
  <c r="N129" i="3" s="1"/>
  <c r="L129" i="3"/>
  <c r="K129" i="3"/>
  <c r="M128" i="3"/>
  <c r="N128" i="3" s="1"/>
  <c r="K128" i="3"/>
  <c r="L128" i="3" s="1"/>
  <c r="M127" i="3"/>
  <c r="N127" i="3" s="1"/>
  <c r="L127" i="3"/>
  <c r="K127" i="3"/>
  <c r="M126" i="3"/>
  <c r="N126" i="3" s="1"/>
  <c r="K126" i="3"/>
  <c r="L126" i="3" s="1"/>
  <c r="K125" i="3"/>
  <c r="M125" i="3" s="1"/>
  <c r="N125" i="3" s="1"/>
  <c r="K124" i="3"/>
  <c r="M124" i="3" s="1"/>
  <c r="N124" i="3" s="1"/>
  <c r="L123" i="3"/>
  <c r="K123" i="3"/>
  <c r="M123" i="3" s="1"/>
  <c r="N123" i="3" s="1"/>
  <c r="L122" i="3"/>
  <c r="K122" i="3"/>
  <c r="M122" i="3" s="1"/>
  <c r="N122" i="3" s="1"/>
  <c r="M121" i="3"/>
  <c r="N121" i="3" s="1"/>
  <c r="L121" i="3"/>
  <c r="K121" i="3"/>
  <c r="M120" i="3"/>
  <c r="N120" i="3" s="1"/>
  <c r="K120" i="3"/>
  <c r="L120" i="3" s="1"/>
  <c r="M119" i="3"/>
  <c r="N119" i="3" s="1"/>
  <c r="K119" i="3"/>
  <c r="L119" i="3" s="1"/>
  <c r="M118" i="3"/>
  <c r="N118" i="3" s="1"/>
  <c r="K118" i="3"/>
  <c r="L118" i="3" s="1"/>
  <c r="K117" i="3"/>
  <c r="M117" i="3" s="1"/>
  <c r="N117" i="3" s="1"/>
  <c r="K116" i="3"/>
  <c r="M116" i="3" s="1"/>
  <c r="N116" i="3" s="1"/>
  <c r="L115" i="3"/>
  <c r="K115" i="3"/>
  <c r="M115" i="3" s="1"/>
  <c r="N115" i="3" s="1"/>
  <c r="L114" i="3"/>
  <c r="K114" i="3"/>
  <c r="M114" i="3" s="1"/>
  <c r="N114" i="3" s="1"/>
  <c r="M113" i="3"/>
  <c r="N113" i="3" s="1"/>
  <c r="L113" i="3"/>
  <c r="K113" i="3"/>
  <c r="M112" i="3"/>
  <c r="N112" i="3" s="1"/>
  <c r="K112" i="3"/>
  <c r="L112" i="3" s="1"/>
  <c r="M111" i="3"/>
  <c r="N111" i="3" s="1"/>
  <c r="K111" i="3"/>
  <c r="L111" i="3" s="1"/>
  <c r="M110" i="3"/>
  <c r="N110" i="3" s="1"/>
  <c r="K110" i="3"/>
  <c r="L110" i="3" s="1"/>
  <c r="K109" i="3"/>
  <c r="M109" i="3" s="1"/>
  <c r="N109" i="3" s="1"/>
  <c r="K108" i="3"/>
  <c r="M108" i="3" s="1"/>
  <c r="N108" i="3" s="1"/>
  <c r="L107" i="3"/>
  <c r="K107" i="3"/>
  <c r="M107" i="3" s="1"/>
  <c r="N107" i="3" s="1"/>
  <c r="L106" i="3"/>
  <c r="K106" i="3"/>
  <c r="M106" i="3" s="1"/>
  <c r="N106" i="3" s="1"/>
  <c r="M105" i="3"/>
  <c r="N105" i="3" s="1"/>
  <c r="L105" i="3"/>
  <c r="K105" i="3"/>
  <c r="M104" i="3"/>
  <c r="N104" i="3" s="1"/>
  <c r="L104" i="3"/>
  <c r="K104" i="3"/>
  <c r="M103" i="3"/>
  <c r="N103" i="3" s="1"/>
  <c r="K103" i="3"/>
  <c r="L103" i="3" s="1"/>
  <c r="M102" i="3"/>
  <c r="N102" i="3" s="1"/>
  <c r="K102" i="3"/>
  <c r="L102" i="3" s="1"/>
  <c r="K101" i="3"/>
  <c r="M101" i="3" s="1"/>
  <c r="N101" i="3" s="1"/>
  <c r="K100" i="3"/>
  <c r="M100" i="3" s="1"/>
  <c r="N100" i="3" s="1"/>
  <c r="L99" i="3"/>
  <c r="K99" i="3"/>
  <c r="M99" i="3" s="1"/>
  <c r="N99" i="3" s="1"/>
  <c r="L98" i="3"/>
  <c r="K98" i="3"/>
  <c r="M98" i="3" s="1"/>
  <c r="N98" i="3" s="1"/>
  <c r="M97" i="3"/>
  <c r="N97" i="3" s="1"/>
  <c r="L97" i="3"/>
  <c r="K97" i="3"/>
  <c r="M96" i="3"/>
  <c r="N96" i="3" s="1"/>
  <c r="L96" i="3"/>
  <c r="K96" i="3"/>
  <c r="M95" i="3"/>
  <c r="N95" i="3" s="1"/>
  <c r="K95" i="3"/>
  <c r="L95" i="3" s="1"/>
  <c r="M94" i="3"/>
  <c r="N94" i="3" s="1"/>
  <c r="K94" i="3"/>
  <c r="L94" i="3" s="1"/>
  <c r="K93" i="3"/>
  <c r="M93" i="3" s="1"/>
  <c r="N93" i="3" s="1"/>
  <c r="K92" i="3"/>
  <c r="M92" i="3" s="1"/>
  <c r="N92" i="3" s="1"/>
  <c r="L91" i="3"/>
  <c r="K91" i="3"/>
  <c r="M91" i="3" s="1"/>
  <c r="N91" i="3" s="1"/>
  <c r="L90" i="3"/>
  <c r="K90" i="3"/>
  <c r="M90" i="3" s="1"/>
  <c r="N90" i="3" s="1"/>
  <c r="M89" i="3"/>
  <c r="N89" i="3" s="1"/>
  <c r="L89" i="3"/>
  <c r="K89" i="3"/>
  <c r="M88" i="3"/>
  <c r="N88" i="3" s="1"/>
  <c r="L88" i="3"/>
  <c r="K88" i="3"/>
  <c r="M87" i="3"/>
  <c r="N87" i="3" s="1"/>
  <c r="K87" i="3"/>
  <c r="L87" i="3" s="1"/>
  <c r="M86" i="3"/>
  <c r="N86" i="3" s="1"/>
  <c r="K86" i="3"/>
  <c r="L86" i="3" s="1"/>
  <c r="K85" i="3"/>
  <c r="M85" i="3" s="1"/>
  <c r="N85" i="3" s="1"/>
  <c r="K84" i="3"/>
  <c r="M84" i="3" s="1"/>
  <c r="N84" i="3" s="1"/>
  <c r="L83" i="3"/>
  <c r="K83" i="3"/>
  <c r="M83" i="3" s="1"/>
  <c r="N83" i="3" s="1"/>
  <c r="L82" i="3"/>
  <c r="K82" i="3"/>
  <c r="M82" i="3" s="1"/>
  <c r="N82" i="3" s="1"/>
  <c r="M81" i="3"/>
  <c r="N81" i="3" s="1"/>
  <c r="L81" i="3"/>
  <c r="K81" i="3"/>
  <c r="M80" i="3"/>
  <c r="N80" i="3" s="1"/>
  <c r="L80" i="3"/>
  <c r="K80" i="3"/>
  <c r="M79" i="3"/>
  <c r="N79" i="3" s="1"/>
  <c r="K79" i="3"/>
  <c r="L79" i="3" s="1"/>
  <c r="M78" i="3"/>
  <c r="N78" i="3" s="1"/>
  <c r="K78" i="3"/>
  <c r="L78" i="3" s="1"/>
  <c r="K77" i="3"/>
  <c r="M77" i="3" s="1"/>
  <c r="N77" i="3" s="1"/>
  <c r="K76" i="3"/>
  <c r="M76" i="3" s="1"/>
  <c r="N76" i="3" s="1"/>
  <c r="L75" i="3"/>
  <c r="K75" i="3"/>
  <c r="M75" i="3" s="1"/>
  <c r="N75" i="3" s="1"/>
  <c r="L74" i="3"/>
  <c r="K74" i="3"/>
  <c r="M74" i="3" s="1"/>
  <c r="N74" i="3" s="1"/>
  <c r="M73" i="3"/>
  <c r="N73" i="3" s="1"/>
  <c r="L73" i="3"/>
  <c r="K73" i="3"/>
  <c r="M72" i="3"/>
  <c r="N72" i="3" s="1"/>
  <c r="L72" i="3"/>
  <c r="K72" i="3"/>
  <c r="M71" i="3"/>
  <c r="N71" i="3" s="1"/>
  <c r="K71" i="3"/>
  <c r="L71" i="3" s="1"/>
  <c r="M70" i="3"/>
  <c r="N70" i="3" s="1"/>
  <c r="K70" i="3"/>
  <c r="L70" i="3" s="1"/>
  <c r="K69" i="3"/>
  <c r="M69" i="3" s="1"/>
  <c r="N69" i="3" s="1"/>
  <c r="K68" i="3"/>
  <c r="M68" i="3" s="1"/>
  <c r="N68" i="3" s="1"/>
  <c r="L67" i="3"/>
  <c r="K67" i="3"/>
  <c r="M67" i="3" s="1"/>
  <c r="N67" i="3" s="1"/>
  <c r="L66" i="3"/>
  <c r="K66" i="3"/>
  <c r="M66" i="3" s="1"/>
  <c r="N66" i="3" s="1"/>
  <c r="M65" i="3"/>
  <c r="N65" i="3" s="1"/>
  <c r="L65" i="3"/>
  <c r="K65" i="3"/>
  <c r="M64" i="3"/>
  <c r="N64" i="3" s="1"/>
  <c r="L64" i="3"/>
  <c r="K64" i="3"/>
  <c r="M63" i="3"/>
  <c r="N63" i="3" s="1"/>
  <c r="K63" i="3"/>
  <c r="L63" i="3" s="1"/>
  <c r="M62" i="3"/>
  <c r="N62" i="3" s="1"/>
  <c r="K62" i="3"/>
  <c r="L62" i="3" s="1"/>
  <c r="K61" i="3"/>
  <c r="M61" i="3" s="1"/>
  <c r="N61" i="3" s="1"/>
  <c r="K60" i="3"/>
  <c r="M60" i="3" s="1"/>
  <c r="N60" i="3" s="1"/>
  <c r="L59" i="3"/>
  <c r="K59" i="3"/>
  <c r="M59" i="3" s="1"/>
  <c r="N59" i="3" s="1"/>
  <c r="L58" i="3"/>
  <c r="K58" i="3"/>
  <c r="M58" i="3" s="1"/>
  <c r="N58" i="3" s="1"/>
  <c r="M57" i="3"/>
  <c r="N57" i="3" s="1"/>
  <c r="L57" i="3"/>
  <c r="K57" i="3"/>
  <c r="M56" i="3"/>
  <c r="N56" i="3" s="1"/>
  <c r="L56" i="3"/>
  <c r="K56" i="3"/>
  <c r="M55" i="3"/>
  <c r="N55" i="3" s="1"/>
  <c r="K55" i="3"/>
  <c r="L55" i="3" s="1"/>
  <c r="M54" i="3"/>
  <c r="N54" i="3" s="1"/>
  <c r="K54" i="3"/>
  <c r="L54" i="3" s="1"/>
  <c r="K53" i="3"/>
  <c r="M53" i="3" s="1"/>
  <c r="N53" i="3" s="1"/>
  <c r="K52" i="3"/>
  <c r="M52" i="3" s="1"/>
  <c r="N52" i="3" s="1"/>
  <c r="L51" i="3"/>
  <c r="K51" i="3"/>
  <c r="M51" i="3" s="1"/>
  <c r="N51" i="3" s="1"/>
  <c r="L50" i="3"/>
  <c r="K50" i="3"/>
  <c r="M50" i="3" s="1"/>
  <c r="N50" i="3" s="1"/>
  <c r="M49" i="3"/>
  <c r="N49" i="3" s="1"/>
  <c r="L49" i="3"/>
  <c r="K49" i="3"/>
  <c r="M48" i="3"/>
  <c r="N48" i="3" s="1"/>
  <c r="L48" i="3"/>
  <c r="K48" i="3"/>
  <c r="M47" i="3"/>
  <c r="N47" i="3" s="1"/>
  <c r="K47" i="3"/>
  <c r="L47" i="3" s="1"/>
  <c r="M46" i="3"/>
  <c r="N46" i="3" s="1"/>
  <c r="K46" i="3"/>
  <c r="L46" i="3" s="1"/>
  <c r="K45" i="3"/>
  <c r="M45" i="3" s="1"/>
  <c r="N45" i="3" s="1"/>
  <c r="K44" i="3"/>
  <c r="L43" i="3"/>
  <c r="K43" i="3"/>
  <c r="M43" i="3" s="1"/>
  <c r="N43" i="3" s="1"/>
  <c r="L42" i="3"/>
  <c r="K42" i="3"/>
  <c r="M42" i="3" s="1"/>
  <c r="N42" i="3" s="1"/>
  <c r="M41" i="3"/>
  <c r="N41" i="3" s="1"/>
  <c r="L41" i="3"/>
  <c r="K41" i="3"/>
  <c r="M40" i="3"/>
  <c r="N40" i="3" s="1"/>
  <c r="L40" i="3"/>
  <c r="K40" i="3"/>
  <c r="M39" i="3"/>
  <c r="N39" i="3" s="1"/>
  <c r="K39" i="3"/>
  <c r="L39" i="3" s="1"/>
  <c r="M38" i="3"/>
  <c r="N38" i="3" s="1"/>
  <c r="K38" i="3"/>
  <c r="L38" i="3" s="1"/>
  <c r="K37" i="3"/>
  <c r="M37" i="3" s="1"/>
  <c r="N37" i="3" s="1"/>
  <c r="K36" i="3"/>
  <c r="L35" i="3"/>
  <c r="K35" i="3"/>
  <c r="M35" i="3" s="1"/>
  <c r="N35" i="3" s="1"/>
  <c r="L34" i="3"/>
  <c r="K34" i="3"/>
  <c r="M34" i="3" s="1"/>
  <c r="N34" i="3" s="1"/>
  <c r="M33" i="3"/>
  <c r="N33" i="3" s="1"/>
  <c r="L33" i="3"/>
  <c r="K33" i="3"/>
  <c r="M32" i="3"/>
  <c r="N32" i="3" s="1"/>
  <c r="L32" i="3"/>
  <c r="K32" i="3"/>
  <c r="M31" i="3"/>
  <c r="N31" i="3" s="1"/>
  <c r="K31" i="3"/>
  <c r="L31" i="3" s="1"/>
  <c r="M30" i="3"/>
  <c r="N30" i="3" s="1"/>
  <c r="K30" i="3"/>
  <c r="L30" i="3" s="1"/>
  <c r="K29" i="3"/>
  <c r="M29" i="3" s="1"/>
  <c r="N29" i="3" s="1"/>
  <c r="K28" i="3"/>
  <c r="L27" i="3"/>
  <c r="K27" i="3"/>
  <c r="M27" i="3" s="1"/>
  <c r="N27" i="3" s="1"/>
  <c r="L26" i="3"/>
  <c r="K26" i="3"/>
  <c r="M26" i="3" s="1"/>
  <c r="N26" i="3" s="1"/>
  <c r="M25" i="3"/>
  <c r="N25" i="3" s="1"/>
  <c r="L25" i="3"/>
  <c r="K25" i="3"/>
  <c r="M24" i="3"/>
  <c r="N24" i="3" s="1"/>
  <c r="L24" i="3"/>
  <c r="K24" i="3"/>
  <c r="M23" i="3"/>
  <c r="N23" i="3" s="1"/>
  <c r="K23" i="3"/>
  <c r="L23" i="3" s="1"/>
  <c r="K22" i="3"/>
  <c r="L22" i="3" s="1"/>
  <c r="K21" i="3"/>
  <c r="M21" i="3" s="1"/>
  <c r="N21" i="3" s="1"/>
  <c r="K20" i="3"/>
  <c r="L19" i="3"/>
  <c r="K19" i="3"/>
  <c r="M19" i="3" s="1"/>
  <c r="N19" i="3" s="1"/>
  <c r="L18" i="3"/>
  <c r="K18" i="3"/>
  <c r="M18" i="3" s="1"/>
  <c r="N18" i="3" s="1"/>
  <c r="M17" i="3"/>
  <c r="N17" i="3" s="1"/>
  <c r="L17" i="3"/>
  <c r="K17" i="3"/>
  <c r="M16" i="3"/>
  <c r="N16" i="3" s="1"/>
  <c r="L16" i="3"/>
  <c r="K16" i="3"/>
  <c r="M15" i="3"/>
  <c r="N15" i="3" s="1"/>
  <c r="K15" i="3"/>
  <c r="L15" i="3" s="1"/>
  <c r="K14" i="3"/>
  <c r="L14" i="3" s="1"/>
  <c r="K13" i="3"/>
  <c r="M13" i="3" s="1"/>
  <c r="N13" i="3" s="1"/>
  <c r="K12" i="3"/>
  <c r="L11" i="3"/>
  <c r="K11" i="3"/>
  <c r="M11" i="3" s="1"/>
  <c r="N11" i="3" s="1"/>
  <c r="L10" i="3"/>
  <c r="K10" i="3"/>
  <c r="M10" i="3" s="1"/>
  <c r="N10" i="3" s="1"/>
  <c r="M9" i="3"/>
  <c r="N9" i="3" s="1"/>
  <c r="L9" i="3"/>
  <c r="K9" i="3"/>
  <c r="M8" i="3"/>
  <c r="N8" i="3" s="1"/>
  <c r="L8" i="3"/>
  <c r="K8" i="3"/>
  <c r="M7" i="3"/>
  <c r="N7" i="3" s="1"/>
  <c r="K7" i="3"/>
  <c r="L7" i="3" s="1"/>
  <c r="K6" i="3"/>
  <c r="L6" i="3" s="1"/>
  <c r="K5" i="3"/>
  <c r="M5" i="3" s="1"/>
  <c r="N5" i="3" s="1"/>
  <c r="K4" i="3"/>
  <c r="L3" i="3"/>
  <c r="K3" i="3"/>
  <c r="M3" i="3" s="1"/>
  <c r="N3" i="3" s="1"/>
  <c r="H284" i="2"/>
  <c r="G284" i="2"/>
  <c r="K284" i="2" s="1"/>
  <c r="L284" i="2" s="1"/>
  <c r="F284" i="2"/>
  <c r="E284" i="2"/>
  <c r="K283" i="2"/>
  <c r="M283" i="2" s="1"/>
  <c r="N283" i="2" s="1"/>
  <c r="K282" i="2"/>
  <c r="L281" i="2"/>
  <c r="K281" i="2"/>
  <c r="M281" i="2" s="1"/>
  <c r="N281" i="2" s="1"/>
  <c r="L280" i="2"/>
  <c r="K280" i="2"/>
  <c r="M280" i="2" s="1"/>
  <c r="N280" i="2" s="1"/>
  <c r="M279" i="2"/>
  <c r="N279" i="2" s="1"/>
  <c r="L279" i="2"/>
  <c r="K279" i="2"/>
  <c r="N278" i="2"/>
  <c r="K278" i="2"/>
  <c r="M278" i="2" s="1"/>
  <c r="K277" i="2"/>
  <c r="M276" i="2"/>
  <c r="N276" i="2" s="1"/>
  <c r="L276" i="2"/>
  <c r="K276" i="2"/>
  <c r="M275" i="2"/>
  <c r="N275" i="2" s="1"/>
  <c r="K275" i="2"/>
  <c r="L275" i="2" s="1"/>
  <c r="N274" i="2"/>
  <c r="L274" i="2"/>
  <c r="K274" i="2"/>
  <c r="M274" i="2" s="1"/>
  <c r="L273" i="2"/>
  <c r="K273" i="2"/>
  <c r="M273" i="2" s="1"/>
  <c r="N273" i="2" s="1"/>
  <c r="K272" i="2"/>
  <c r="L272" i="2" s="1"/>
  <c r="K271" i="2"/>
  <c r="M271" i="2" s="1"/>
  <c r="N271" i="2" s="1"/>
  <c r="M270" i="2"/>
  <c r="N270" i="2" s="1"/>
  <c r="L270" i="2"/>
  <c r="K270" i="2"/>
  <c r="M269" i="2"/>
  <c r="N269" i="2" s="1"/>
  <c r="L269" i="2"/>
  <c r="K269" i="2"/>
  <c r="K268" i="2"/>
  <c r="L267" i="2"/>
  <c r="K267" i="2"/>
  <c r="M267" i="2" s="1"/>
  <c r="N267" i="2" s="1"/>
  <c r="M266" i="2"/>
  <c r="N266" i="2" s="1"/>
  <c r="K266" i="2"/>
  <c r="L266" i="2" s="1"/>
  <c r="K265" i="2"/>
  <c r="L265" i="2" s="1"/>
  <c r="L264" i="2"/>
  <c r="K264" i="2"/>
  <c r="M264" i="2" s="1"/>
  <c r="N264" i="2" s="1"/>
  <c r="M263" i="2"/>
  <c r="N263" i="2" s="1"/>
  <c r="L263" i="2"/>
  <c r="K263" i="2"/>
  <c r="N262" i="2"/>
  <c r="K262" i="2"/>
  <c r="M262" i="2" s="1"/>
  <c r="K261" i="2"/>
  <c r="M260" i="2"/>
  <c r="N260" i="2" s="1"/>
  <c r="L260" i="2"/>
  <c r="K260" i="2"/>
  <c r="M259" i="2"/>
  <c r="N259" i="2" s="1"/>
  <c r="K259" i="2"/>
  <c r="L259" i="2" s="1"/>
  <c r="L258" i="2"/>
  <c r="K258" i="2"/>
  <c r="M258" i="2" s="1"/>
  <c r="N258" i="2" s="1"/>
  <c r="L257" i="2"/>
  <c r="K257" i="2"/>
  <c r="M257" i="2" s="1"/>
  <c r="N257" i="2" s="1"/>
  <c r="K256" i="2"/>
  <c r="L256" i="2" s="1"/>
  <c r="K255" i="2"/>
  <c r="M254" i="2"/>
  <c r="N254" i="2" s="1"/>
  <c r="L254" i="2"/>
  <c r="K254" i="2"/>
  <c r="M253" i="2"/>
  <c r="N253" i="2" s="1"/>
  <c r="L253" i="2"/>
  <c r="K253" i="2"/>
  <c r="K252" i="2"/>
  <c r="L251" i="2"/>
  <c r="K251" i="2"/>
  <c r="M251" i="2" s="1"/>
  <c r="N251" i="2" s="1"/>
  <c r="M250" i="2"/>
  <c r="N250" i="2" s="1"/>
  <c r="K250" i="2"/>
  <c r="L250" i="2" s="1"/>
  <c r="M249" i="2"/>
  <c r="N249" i="2" s="1"/>
  <c r="K249" i="2"/>
  <c r="L249" i="2" s="1"/>
  <c r="L248" i="2"/>
  <c r="K248" i="2"/>
  <c r="M248" i="2" s="1"/>
  <c r="N248" i="2" s="1"/>
  <c r="M247" i="2"/>
  <c r="N247" i="2" s="1"/>
  <c r="L247" i="2"/>
  <c r="K247" i="2"/>
  <c r="K246" i="2"/>
  <c r="K245" i="2"/>
  <c r="M244" i="2"/>
  <c r="N244" i="2" s="1"/>
  <c r="L244" i="2"/>
  <c r="K244" i="2"/>
  <c r="M243" i="2"/>
  <c r="N243" i="2" s="1"/>
  <c r="K243" i="2"/>
  <c r="L243" i="2" s="1"/>
  <c r="L242" i="2"/>
  <c r="K242" i="2"/>
  <c r="M242" i="2" s="1"/>
  <c r="N242" i="2" s="1"/>
  <c r="L241" i="2"/>
  <c r="K241" i="2"/>
  <c r="M241" i="2" s="1"/>
  <c r="N241" i="2" s="1"/>
  <c r="M240" i="2"/>
  <c r="N240" i="2" s="1"/>
  <c r="K240" i="2"/>
  <c r="L240" i="2" s="1"/>
  <c r="K239" i="2"/>
  <c r="M238" i="2"/>
  <c r="N238" i="2" s="1"/>
  <c r="L238" i="2"/>
  <c r="K238" i="2"/>
  <c r="M237" i="2"/>
  <c r="N237" i="2" s="1"/>
  <c r="L237" i="2"/>
  <c r="K237" i="2"/>
  <c r="K236" i="2"/>
  <c r="L235" i="2"/>
  <c r="K235" i="2"/>
  <c r="M235" i="2" s="1"/>
  <c r="N235" i="2" s="1"/>
  <c r="M234" i="2"/>
  <c r="N234" i="2" s="1"/>
  <c r="K234" i="2"/>
  <c r="L234" i="2" s="1"/>
  <c r="K233" i="2"/>
  <c r="L233" i="2" s="1"/>
  <c r="L232" i="2"/>
  <c r="K232" i="2"/>
  <c r="M232" i="2" s="1"/>
  <c r="N232" i="2" s="1"/>
  <c r="M231" i="2"/>
  <c r="N231" i="2" s="1"/>
  <c r="L231" i="2"/>
  <c r="K231" i="2"/>
  <c r="K230" i="2"/>
  <c r="K229" i="2"/>
  <c r="M228" i="2"/>
  <c r="N228" i="2" s="1"/>
  <c r="L228" i="2"/>
  <c r="K228" i="2"/>
  <c r="M227" i="2"/>
  <c r="N227" i="2" s="1"/>
  <c r="K227" i="2"/>
  <c r="L227" i="2" s="1"/>
  <c r="N226" i="2"/>
  <c r="L226" i="2"/>
  <c r="K226" i="2"/>
  <c r="M226" i="2" s="1"/>
  <c r="L225" i="2"/>
  <c r="K225" i="2"/>
  <c r="M225" i="2" s="1"/>
  <c r="N225" i="2" s="1"/>
  <c r="K224" i="2"/>
  <c r="L224" i="2" s="1"/>
  <c r="K223" i="2"/>
  <c r="M222" i="2"/>
  <c r="N222" i="2" s="1"/>
  <c r="L222" i="2"/>
  <c r="K222" i="2"/>
  <c r="M221" i="2"/>
  <c r="N221" i="2" s="1"/>
  <c r="L221" i="2"/>
  <c r="K221" i="2"/>
  <c r="K220" i="2"/>
  <c r="L219" i="2"/>
  <c r="K219" i="2"/>
  <c r="M219" i="2" s="1"/>
  <c r="N219" i="2" s="1"/>
  <c r="M218" i="2"/>
  <c r="N218" i="2" s="1"/>
  <c r="K218" i="2"/>
  <c r="L218" i="2" s="1"/>
  <c r="M217" i="2"/>
  <c r="N217" i="2" s="1"/>
  <c r="K217" i="2"/>
  <c r="L217" i="2" s="1"/>
  <c r="L216" i="2"/>
  <c r="K216" i="2"/>
  <c r="M216" i="2" s="1"/>
  <c r="N216" i="2" s="1"/>
  <c r="M215" i="2"/>
  <c r="N215" i="2" s="1"/>
  <c r="L215" i="2"/>
  <c r="K215" i="2"/>
  <c r="K214" i="2"/>
  <c r="K213" i="2"/>
  <c r="M212" i="2"/>
  <c r="N212" i="2" s="1"/>
  <c r="L212" i="2"/>
  <c r="K212" i="2"/>
  <c r="M211" i="2"/>
  <c r="N211" i="2" s="1"/>
  <c r="K211" i="2"/>
  <c r="L211" i="2" s="1"/>
  <c r="N210" i="2"/>
  <c r="L210" i="2"/>
  <c r="K210" i="2"/>
  <c r="M210" i="2" s="1"/>
  <c r="L209" i="2"/>
  <c r="K209" i="2"/>
  <c r="M209" i="2" s="1"/>
  <c r="N209" i="2" s="1"/>
  <c r="M208" i="2"/>
  <c r="N208" i="2" s="1"/>
  <c r="K208" i="2"/>
  <c r="L208" i="2" s="1"/>
  <c r="K207" i="2"/>
  <c r="M206" i="2"/>
  <c r="N206" i="2" s="1"/>
  <c r="L206" i="2"/>
  <c r="K206" i="2"/>
  <c r="M205" i="2"/>
  <c r="N205" i="2" s="1"/>
  <c r="L205" i="2"/>
  <c r="K205" i="2"/>
  <c r="K204" i="2"/>
  <c r="L203" i="2"/>
  <c r="K203" i="2"/>
  <c r="M203" i="2" s="1"/>
  <c r="N203" i="2" s="1"/>
  <c r="M202" i="2"/>
  <c r="N202" i="2" s="1"/>
  <c r="K202" i="2"/>
  <c r="L202" i="2" s="1"/>
  <c r="K201" i="2"/>
  <c r="L201" i="2" s="1"/>
  <c r="L200" i="2"/>
  <c r="K200" i="2"/>
  <c r="M200" i="2" s="1"/>
  <c r="N200" i="2" s="1"/>
  <c r="M199" i="2"/>
  <c r="N199" i="2" s="1"/>
  <c r="L199" i="2"/>
  <c r="K199" i="2"/>
  <c r="K198" i="2"/>
  <c r="K197" i="2"/>
  <c r="M196" i="2"/>
  <c r="N196" i="2" s="1"/>
  <c r="L196" i="2"/>
  <c r="K196" i="2"/>
  <c r="M195" i="2"/>
  <c r="N195" i="2" s="1"/>
  <c r="K195" i="2"/>
  <c r="L195" i="2" s="1"/>
  <c r="L194" i="2"/>
  <c r="K194" i="2"/>
  <c r="M194" i="2" s="1"/>
  <c r="N194" i="2" s="1"/>
  <c r="L193" i="2"/>
  <c r="K193" i="2"/>
  <c r="M193" i="2" s="1"/>
  <c r="N193" i="2" s="1"/>
  <c r="K192" i="2"/>
  <c r="L192" i="2" s="1"/>
  <c r="K191" i="2"/>
  <c r="M190" i="2"/>
  <c r="N190" i="2" s="1"/>
  <c r="L190" i="2"/>
  <c r="K190" i="2"/>
  <c r="M189" i="2"/>
  <c r="N189" i="2" s="1"/>
  <c r="L189" i="2"/>
  <c r="K189" i="2"/>
  <c r="K188" i="2"/>
  <c r="L187" i="2"/>
  <c r="K187" i="2"/>
  <c r="M187" i="2" s="1"/>
  <c r="N187" i="2" s="1"/>
  <c r="M186" i="2"/>
  <c r="N186" i="2" s="1"/>
  <c r="K186" i="2"/>
  <c r="L186" i="2" s="1"/>
  <c r="M185" i="2"/>
  <c r="N185" i="2" s="1"/>
  <c r="K185" i="2"/>
  <c r="L185" i="2" s="1"/>
  <c r="L184" i="2"/>
  <c r="K184" i="2"/>
  <c r="M184" i="2" s="1"/>
  <c r="N184" i="2" s="1"/>
  <c r="M183" i="2"/>
  <c r="N183" i="2" s="1"/>
  <c r="L183" i="2"/>
  <c r="K183" i="2"/>
  <c r="K182" i="2"/>
  <c r="K181" i="2"/>
  <c r="M180" i="2"/>
  <c r="N180" i="2" s="1"/>
  <c r="L180" i="2"/>
  <c r="K180" i="2"/>
  <c r="M179" i="2"/>
  <c r="N179" i="2" s="1"/>
  <c r="K179" i="2"/>
  <c r="L179" i="2" s="1"/>
  <c r="N178" i="2"/>
  <c r="L178" i="2"/>
  <c r="K178" i="2"/>
  <c r="M178" i="2" s="1"/>
  <c r="L177" i="2"/>
  <c r="K177" i="2"/>
  <c r="M177" i="2" s="1"/>
  <c r="N177" i="2" s="1"/>
  <c r="M176" i="2"/>
  <c r="N176" i="2" s="1"/>
  <c r="K176" i="2"/>
  <c r="L176" i="2" s="1"/>
  <c r="L175" i="2"/>
  <c r="K175" i="2"/>
  <c r="M175" i="2" s="1"/>
  <c r="N175" i="2" s="1"/>
  <c r="M174" i="2"/>
  <c r="N174" i="2" s="1"/>
  <c r="K174" i="2"/>
  <c r="L174" i="2" s="1"/>
  <c r="L173" i="2"/>
  <c r="K173" i="2"/>
  <c r="M173" i="2" s="1"/>
  <c r="N173" i="2" s="1"/>
  <c r="M172" i="2"/>
  <c r="N172" i="2" s="1"/>
  <c r="K172" i="2"/>
  <c r="L172" i="2" s="1"/>
  <c r="L171" i="2"/>
  <c r="K171" i="2"/>
  <c r="M171" i="2" s="1"/>
  <c r="N171" i="2" s="1"/>
  <c r="M170" i="2"/>
  <c r="N170" i="2" s="1"/>
  <c r="K170" i="2"/>
  <c r="L170" i="2" s="1"/>
  <c r="L169" i="2"/>
  <c r="K169" i="2"/>
  <c r="M169" i="2" s="1"/>
  <c r="N169" i="2" s="1"/>
  <c r="M168" i="2"/>
  <c r="N168" i="2" s="1"/>
  <c r="K168" i="2"/>
  <c r="L168" i="2" s="1"/>
  <c r="L167" i="2"/>
  <c r="K167" i="2"/>
  <c r="M167" i="2" s="1"/>
  <c r="N167" i="2" s="1"/>
  <c r="M166" i="2"/>
  <c r="N166" i="2" s="1"/>
  <c r="K166" i="2"/>
  <c r="L166" i="2" s="1"/>
  <c r="L165" i="2"/>
  <c r="K165" i="2"/>
  <c r="M165" i="2" s="1"/>
  <c r="N165" i="2" s="1"/>
  <c r="M164" i="2"/>
  <c r="N164" i="2" s="1"/>
  <c r="K164" i="2"/>
  <c r="L164" i="2" s="1"/>
  <c r="L163" i="2"/>
  <c r="K163" i="2"/>
  <c r="M163" i="2" s="1"/>
  <c r="N163" i="2" s="1"/>
  <c r="M162" i="2"/>
  <c r="N162" i="2" s="1"/>
  <c r="K162" i="2"/>
  <c r="L162" i="2" s="1"/>
  <c r="L161" i="2"/>
  <c r="K161" i="2"/>
  <c r="M161" i="2" s="1"/>
  <c r="N161" i="2" s="1"/>
  <c r="M160" i="2"/>
  <c r="N160" i="2" s="1"/>
  <c r="K160" i="2"/>
  <c r="L160" i="2" s="1"/>
  <c r="L159" i="2"/>
  <c r="K159" i="2"/>
  <c r="M159" i="2" s="1"/>
  <c r="N159" i="2" s="1"/>
  <c r="M158" i="2"/>
  <c r="N158" i="2" s="1"/>
  <c r="K158" i="2"/>
  <c r="L158" i="2" s="1"/>
  <c r="L157" i="2"/>
  <c r="K157" i="2"/>
  <c r="M157" i="2" s="1"/>
  <c r="N157" i="2" s="1"/>
  <c r="M156" i="2"/>
  <c r="N156" i="2" s="1"/>
  <c r="K156" i="2"/>
  <c r="L156" i="2" s="1"/>
  <c r="L155" i="2"/>
  <c r="K155" i="2"/>
  <c r="M155" i="2" s="1"/>
  <c r="N155" i="2" s="1"/>
  <c r="M154" i="2"/>
  <c r="N154" i="2" s="1"/>
  <c r="K154" i="2"/>
  <c r="L154" i="2" s="1"/>
  <c r="L153" i="2"/>
  <c r="K153" i="2"/>
  <c r="M153" i="2" s="1"/>
  <c r="N153" i="2" s="1"/>
  <c r="M152" i="2"/>
  <c r="N152" i="2" s="1"/>
  <c r="K152" i="2"/>
  <c r="L152" i="2" s="1"/>
  <c r="L151" i="2"/>
  <c r="K151" i="2"/>
  <c r="M151" i="2" s="1"/>
  <c r="N151" i="2" s="1"/>
  <c r="M150" i="2"/>
  <c r="N150" i="2" s="1"/>
  <c r="K150" i="2"/>
  <c r="L150" i="2" s="1"/>
  <c r="L149" i="2"/>
  <c r="K149" i="2"/>
  <c r="M149" i="2" s="1"/>
  <c r="N149" i="2" s="1"/>
  <c r="M148" i="2"/>
  <c r="N148" i="2" s="1"/>
  <c r="K148" i="2"/>
  <c r="L148" i="2" s="1"/>
  <c r="L147" i="2"/>
  <c r="K147" i="2"/>
  <c r="M147" i="2" s="1"/>
  <c r="N147" i="2" s="1"/>
  <c r="M146" i="2"/>
  <c r="N146" i="2" s="1"/>
  <c r="K146" i="2"/>
  <c r="L146" i="2" s="1"/>
  <c r="L145" i="2"/>
  <c r="K145" i="2"/>
  <c r="M145" i="2" s="1"/>
  <c r="N145" i="2" s="1"/>
  <c r="M144" i="2"/>
  <c r="N144" i="2" s="1"/>
  <c r="K144" i="2"/>
  <c r="L144" i="2" s="1"/>
  <c r="L143" i="2"/>
  <c r="K143" i="2"/>
  <c r="M143" i="2" s="1"/>
  <c r="N143" i="2" s="1"/>
  <c r="M142" i="2"/>
  <c r="N142" i="2" s="1"/>
  <c r="K142" i="2"/>
  <c r="L142" i="2" s="1"/>
  <c r="L141" i="2"/>
  <c r="K141" i="2"/>
  <c r="M141" i="2" s="1"/>
  <c r="N141" i="2" s="1"/>
  <c r="M140" i="2"/>
  <c r="N140" i="2" s="1"/>
  <c r="K140" i="2"/>
  <c r="L140" i="2" s="1"/>
  <c r="L139" i="2"/>
  <c r="K139" i="2"/>
  <c r="M139" i="2" s="1"/>
  <c r="N139" i="2" s="1"/>
  <c r="M138" i="2"/>
  <c r="N138" i="2" s="1"/>
  <c r="K138" i="2"/>
  <c r="L138" i="2" s="1"/>
  <c r="L137" i="2"/>
  <c r="K137" i="2"/>
  <c r="M137" i="2" s="1"/>
  <c r="N137" i="2" s="1"/>
  <c r="M136" i="2"/>
  <c r="N136" i="2" s="1"/>
  <c r="K136" i="2"/>
  <c r="L136" i="2" s="1"/>
  <c r="L135" i="2"/>
  <c r="K135" i="2"/>
  <c r="M135" i="2" s="1"/>
  <c r="N135" i="2" s="1"/>
  <c r="M134" i="2"/>
  <c r="N134" i="2" s="1"/>
  <c r="K134" i="2"/>
  <c r="L134" i="2" s="1"/>
  <c r="L133" i="2"/>
  <c r="K133" i="2"/>
  <c r="M133" i="2" s="1"/>
  <c r="N133" i="2" s="1"/>
  <c r="M132" i="2"/>
  <c r="N132" i="2" s="1"/>
  <c r="K132" i="2"/>
  <c r="L132" i="2" s="1"/>
  <c r="L131" i="2"/>
  <c r="K131" i="2"/>
  <c r="M131" i="2" s="1"/>
  <c r="N131" i="2" s="1"/>
  <c r="M130" i="2"/>
  <c r="N130" i="2" s="1"/>
  <c r="K130" i="2"/>
  <c r="L130" i="2" s="1"/>
  <c r="L129" i="2"/>
  <c r="K129" i="2"/>
  <c r="M129" i="2" s="1"/>
  <c r="N129" i="2" s="1"/>
  <c r="M128" i="2"/>
  <c r="N128" i="2" s="1"/>
  <c r="K128" i="2"/>
  <c r="L128" i="2" s="1"/>
  <c r="L127" i="2"/>
  <c r="K127" i="2"/>
  <c r="M127" i="2" s="1"/>
  <c r="N127" i="2" s="1"/>
  <c r="M126" i="2"/>
  <c r="N126" i="2" s="1"/>
  <c r="K126" i="2"/>
  <c r="L126" i="2" s="1"/>
  <c r="L125" i="2"/>
  <c r="K125" i="2"/>
  <c r="M125" i="2" s="1"/>
  <c r="N125" i="2" s="1"/>
  <c r="M124" i="2"/>
  <c r="N124" i="2" s="1"/>
  <c r="K124" i="2"/>
  <c r="L124" i="2" s="1"/>
  <c r="L123" i="2"/>
  <c r="K123" i="2"/>
  <c r="M123" i="2" s="1"/>
  <c r="N123" i="2" s="1"/>
  <c r="M122" i="2"/>
  <c r="N122" i="2" s="1"/>
  <c r="K122" i="2"/>
  <c r="L122" i="2" s="1"/>
  <c r="L121" i="2"/>
  <c r="K121" i="2"/>
  <c r="M121" i="2" s="1"/>
  <c r="N121" i="2" s="1"/>
  <c r="M120" i="2"/>
  <c r="N120" i="2" s="1"/>
  <c r="K120" i="2"/>
  <c r="L120" i="2" s="1"/>
  <c r="L119" i="2"/>
  <c r="K119" i="2"/>
  <c r="M119" i="2" s="1"/>
  <c r="N119" i="2" s="1"/>
  <c r="M118" i="2"/>
  <c r="N118" i="2" s="1"/>
  <c r="K118" i="2"/>
  <c r="L118" i="2" s="1"/>
  <c r="L117" i="2"/>
  <c r="K117" i="2"/>
  <c r="M117" i="2" s="1"/>
  <c r="N117" i="2" s="1"/>
  <c r="M116" i="2"/>
  <c r="N116" i="2" s="1"/>
  <c r="K116" i="2"/>
  <c r="L116" i="2" s="1"/>
  <c r="L115" i="2"/>
  <c r="K115" i="2"/>
  <c r="M115" i="2" s="1"/>
  <c r="N115" i="2" s="1"/>
  <c r="M114" i="2"/>
  <c r="N114" i="2" s="1"/>
  <c r="K114" i="2"/>
  <c r="L114" i="2" s="1"/>
  <c r="L113" i="2"/>
  <c r="K113" i="2"/>
  <c r="M113" i="2" s="1"/>
  <c r="N113" i="2" s="1"/>
  <c r="M112" i="2"/>
  <c r="N112" i="2" s="1"/>
  <c r="K112" i="2"/>
  <c r="L112" i="2" s="1"/>
  <c r="L111" i="2"/>
  <c r="K111" i="2"/>
  <c r="M111" i="2" s="1"/>
  <c r="N111" i="2" s="1"/>
  <c r="M110" i="2"/>
  <c r="N110" i="2" s="1"/>
  <c r="K110" i="2"/>
  <c r="L110" i="2" s="1"/>
  <c r="L109" i="2"/>
  <c r="K109" i="2"/>
  <c r="M109" i="2" s="1"/>
  <c r="N109" i="2" s="1"/>
  <c r="M108" i="2"/>
  <c r="N108" i="2" s="1"/>
  <c r="K108" i="2"/>
  <c r="L108" i="2" s="1"/>
  <c r="L107" i="2"/>
  <c r="K107" i="2"/>
  <c r="M107" i="2" s="1"/>
  <c r="N107" i="2" s="1"/>
  <c r="M106" i="2"/>
  <c r="N106" i="2" s="1"/>
  <c r="K106" i="2"/>
  <c r="L106" i="2" s="1"/>
  <c r="L105" i="2"/>
  <c r="K105" i="2"/>
  <c r="M105" i="2" s="1"/>
  <c r="N105" i="2" s="1"/>
  <c r="M104" i="2"/>
  <c r="N104" i="2" s="1"/>
  <c r="K104" i="2"/>
  <c r="L104" i="2" s="1"/>
  <c r="L103" i="2"/>
  <c r="K103" i="2"/>
  <c r="M103" i="2" s="1"/>
  <c r="N103" i="2" s="1"/>
  <c r="M102" i="2"/>
  <c r="N102" i="2" s="1"/>
  <c r="K102" i="2"/>
  <c r="L102" i="2" s="1"/>
  <c r="L101" i="2"/>
  <c r="K101" i="2"/>
  <c r="M101" i="2" s="1"/>
  <c r="N101" i="2" s="1"/>
  <c r="M100" i="2"/>
  <c r="N100" i="2" s="1"/>
  <c r="K100" i="2"/>
  <c r="L100" i="2" s="1"/>
  <c r="L99" i="2"/>
  <c r="K99" i="2"/>
  <c r="M99" i="2" s="1"/>
  <c r="N99" i="2" s="1"/>
  <c r="M98" i="2"/>
  <c r="N98" i="2" s="1"/>
  <c r="K98" i="2"/>
  <c r="L98" i="2" s="1"/>
  <c r="L97" i="2"/>
  <c r="K97" i="2"/>
  <c r="M97" i="2" s="1"/>
  <c r="N97" i="2" s="1"/>
  <c r="M96" i="2"/>
  <c r="N96" i="2" s="1"/>
  <c r="K96" i="2"/>
  <c r="L96" i="2" s="1"/>
  <c r="L95" i="2"/>
  <c r="K95" i="2"/>
  <c r="M95" i="2" s="1"/>
  <c r="N95" i="2" s="1"/>
  <c r="M94" i="2"/>
  <c r="N94" i="2" s="1"/>
  <c r="K94" i="2"/>
  <c r="L94" i="2" s="1"/>
  <c r="L93" i="2"/>
  <c r="K93" i="2"/>
  <c r="M93" i="2" s="1"/>
  <c r="N93" i="2" s="1"/>
  <c r="M92" i="2"/>
  <c r="N92" i="2" s="1"/>
  <c r="K92" i="2"/>
  <c r="L92" i="2" s="1"/>
  <c r="L91" i="2"/>
  <c r="K91" i="2"/>
  <c r="M91" i="2" s="1"/>
  <c r="N91" i="2" s="1"/>
  <c r="M90" i="2"/>
  <c r="N90" i="2" s="1"/>
  <c r="K90" i="2"/>
  <c r="L90" i="2" s="1"/>
  <c r="L89" i="2"/>
  <c r="K89" i="2"/>
  <c r="M89" i="2" s="1"/>
  <c r="N89" i="2" s="1"/>
  <c r="M88" i="2"/>
  <c r="N88" i="2" s="1"/>
  <c r="K88" i="2"/>
  <c r="L88" i="2" s="1"/>
  <c r="L87" i="2"/>
  <c r="K87" i="2"/>
  <c r="M87" i="2" s="1"/>
  <c r="N87" i="2" s="1"/>
  <c r="M86" i="2"/>
  <c r="N86" i="2" s="1"/>
  <c r="K86" i="2"/>
  <c r="L86" i="2" s="1"/>
  <c r="L85" i="2"/>
  <c r="K85" i="2"/>
  <c r="M85" i="2" s="1"/>
  <c r="N85" i="2" s="1"/>
  <c r="M84" i="2"/>
  <c r="N84" i="2" s="1"/>
  <c r="K84" i="2"/>
  <c r="L84" i="2" s="1"/>
  <c r="L83" i="2"/>
  <c r="K83" i="2"/>
  <c r="M83" i="2" s="1"/>
  <c r="N83" i="2" s="1"/>
  <c r="K82" i="2"/>
  <c r="L82" i="2" s="1"/>
  <c r="L81" i="2"/>
  <c r="K81" i="2"/>
  <c r="M81" i="2" s="1"/>
  <c r="N81" i="2" s="1"/>
  <c r="N80" i="2"/>
  <c r="M80" i="2"/>
  <c r="K80" i="2"/>
  <c r="L80" i="2" s="1"/>
  <c r="L79" i="2"/>
  <c r="K79" i="2"/>
  <c r="M79" i="2" s="1"/>
  <c r="N79" i="2" s="1"/>
  <c r="K78" i="2"/>
  <c r="L78" i="2" s="1"/>
  <c r="L77" i="2"/>
  <c r="K77" i="2"/>
  <c r="M77" i="2" s="1"/>
  <c r="N77" i="2" s="1"/>
  <c r="M76" i="2"/>
  <c r="N76" i="2" s="1"/>
  <c r="K76" i="2"/>
  <c r="L76" i="2" s="1"/>
  <c r="L75" i="2"/>
  <c r="K75" i="2"/>
  <c r="M75" i="2" s="1"/>
  <c r="N75" i="2" s="1"/>
  <c r="N74" i="2"/>
  <c r="M74" i="2"/>
  <c r="K74" i="2"/>
  <c r="L74" i="2" s="1"/>
  <c r="L73" i="2"/>
  <c r="K73" i="2"/>
  <c r="M73" i="2" s="1"/>
  <c r="N73" i="2" s="1"/>
  <c r="M72" i="2"/>
  <c r="N72" i="2" s="1"/>
  <c r="K72" i="2"/>
  <c r="L72" i="2" s="1"/>
  <c r="L71" i="2"/>
  <c r="K71" i="2"/>
  <c r="M71" i="2" s="1"/>
  <c r="N71" i="2" s="1"/>
  <c r="K70" i="2"/>
  <c r="L70" i="2" s="1"/>
  <c r="L69" i="2"/>
  <c r="K69" i="2"/>
  <c r="M69" i="2" s="1"/>
  <c r="N69" i="2" s="1"/>
  <c r="M68" i="2"/>
  <c r="N68" i="2" s="1"/>
  <c r="K68" i="2"/>
  <c r="L68" i="2" s="1"/>
  <c r="L67" i="2"/>
  <c r="K67" i="2"/>
  <c r="M67" i="2" s="1"/>
  <c r="N67" i="2" s="1"/>
  <c r="K66" i="2"/>
  <c r="L66" i="2" s="1"/>
  <c r="L65" i="2"/>
  <c r="K65" i="2"/>
  <c r="M65" i="2" s="1"/>
  <c r="N65" i="2" s="1"/>
  <c r="K64" i="2"/>
  <c r="L64" i="2" s="1"/>
  <c r="L63" i="2"/>
  <c r="K63" i="2"/>
  <c r="M63" i="2" s="1"/>
  <c r="N63" i="2" s="1"/>
  <c r="K62" i="2"/>
  <c r="L62" i="2" s="1"/>
  <c r="L61" i="2"/>
  <c r="K61" i="2"/>
  <c r="M61" i="2" s="1"/>
  <c r="N61" i="2" s="1"/>
  <c r="M60" i="2"/>
  <c r="N60" i="2" s="1"/>
  <c r="K60" i="2"/>
  <c r="L60" i="2" s="1"/>
  <c r="L59" i="2"/>
  <c r="K59" i="2"/>
  <c r="M59" i="2" s="1"/>
  <c r="N59" i="2" s="1"/>
  <c r="N58" i="2"/>
  <c r="M58" i="2"/>
  <c r="K58" i="2"/>
  <c r="L58" i="2" s="1"/>
  <c r="L57" i="2"/>
  <c r="K57" i="2"/>
  <c r="M57" i="2" s="1"/>
  <c r="N57" i="2" s="1"/>
  <c r="M56" i="2"/>
  <c r="N56" i="2" s="1"/>
  <c r="K56" i="2"/>
  <c r="L56" i="2" s="1"/>
  <c r="L55" i="2"/>
  <c r="K55" i="2"/>
  <c r="M55" i="2" s="1"/>
  <c r="N55" i="2" s="1"/>
  <c r="K54" i="2"/>
  <c r="L54" i="2" s="1"/>
  <c r="L53" i="2"/>
  <c r="K53" i="2"/>
  <c r="M53" i="2" s="1"/>
  <c r="N53" i="2" s="1"/>
  <c r="K52" i="2"/>
  <c r="L52" i="2" s="1"/>
  <c r="L51" i="2"/>
  <c r="K51" i="2"/>
  <c r="M51" i="2" s="1"/>
  <c r="N51" i="2" s="1"/>
  <c r="K50" i="2"/>
  <c r="L50" i="2" s="1"/>
  <c r="L49" i="2"/>
  <c r="K49" i="2"/>
  <c r="M49" i="2" s="1"/>
  <c r="N49" i="2" s="1"/>
  <c r="K48" i="2"/>
  <c r="L48" i="2" s="1"/>
  <c r="L47" i="2"/>
  <c r="K47" i="2"/>
  <c r="M47" i="2" s="1"/>
  <c r="N47" i="2" s="1"/>
  <c r="K46" i="2"/>
  <c r="L46" i="2" s="1"/>
  <c r="L45" i="2"/>
  <c r="K45" i="2"/>
  <c r="M45" i="2" s="1"/>
  <c r="N45" i="2" s="1"/>
  <c r="M44" i="2"/>
  <c r="N44" i="2" s="1"/>
  <c r="K44" i="2"/>
  <c r="L44" i="2" s="1"/>
  <c r="L43" i="2"/>
  <c r="K43" i="2"/>
  <c r="M43" i="2" s="1"/>
  <c r="N43" i="2" s="1"/>
  <c r="M42" i="2"/>
  <c r="N42" i="2" s="1"/>
  <c r="K42" i="2"/>
  <c r="L42" i="2" s="1"/>
  <c r="L41" i="2"/>
  <c r="K41" i="2"/>
  <c r="M41" i="2" s="1"/>
  <c r="N41" i="2" s="1"/>
  <c r="M40" i="2"/>
  <c r="N40" i="2" s="1"/>
  <c r="K40" i="2"/>
  <c r="L40" i="2" s="1"/>
  <c r="L39" i="2"/>
  <c r="K39" i="2"/>
  <c r="M39" i="2" s="1"/>
  <c r="N39" i="2" s="1"/>
  <c r="K38" i="2"/>
  <c r="L38" i="2" s="1"/>
  <c r="L37" i="2"/>
  <c r="K37" i="2"/>
  <c r="M37" i="2" s="1"/>
  <c r="N37" i="2" s="1"/>
  <c r="K36" i="2"/>
  <c r="L36" i="2" s="1"/>
  <c r="L35" i="2"/>
  <c r="K35" i="2"/>
  <c r="M35" i="2" s="1"/>
  <c r="N35" i="2" s="1"/>
  <c r="K34" i="2"/>
  <c r="L34" i="2" s="1"/>
  <c r="L33" i="2"/>
  <c r="K33" i="2"/>
  <c r="M33" i="2" s="1"/>
  <c r="N33" i="2" s="1"/>
  <c r="K32" i="2"/>
  <c r="L32" i="2" s="1"/>
  <c r="L31" i="2"/>
  <c r="K31" i="2"/>
  <c r="M31" i="2" s="1"/>
  <c r="N31" i="2" s="1"/>
  <c r="K30" i="2"/>
  <c r="L30" i="2" s="1"/>
  <c r="L29" i="2"/>
  <c r="K29" i="2"/>
  <c r="M29" i="2" s="1"/>
  <c r="N29" i="2" s="1"/>
  <c r="M28" i="2"/>
  <c r="N28" i="2" s="1"/>
  <c r="K28" i="2"/>
  <c r="L28" i="2" s="1"/>
  <c r="L27" i="2"/>
  <c r="K27" i="2"/>
  <c r="M27" i="2" s="1"/>
  <c r="N27" i="2" s="1"/>
  <c r="M26" i="2"/>
  <c r="N26" i="2" s="1"/>
  <c r="K26" i="2"/>
  <c r="L26" i="2" s="1"/>
  <c r="L25" i="2"/>
  <c r="K25" i="2"/>
  <c r="M25" i="2" s="1"/>
  <c r="N25" i="2" s="1"/>
  <c r="M24" i="2"/>
  <c r="N24" i="2" s="1"/>
  <c r="K24" i="2"/>
  <c r="L24" i="2" s="1"/>
  <c r="L23" i="2"/>
  <c r="K23" i="2"/>
  <c r="M23" i="2" s="1"/>
  <c r="N23" i="2" s="1"/>
  <c r="K22" i="2"/>
  <c r="L22" i="2" s="1"/>
  <c r="L21" i="2"/>
  <c r="K21" i="2"/>
  <c r="M21" i="2" s="1"/>
  <c r="N21" i="2" s="1"/>
  <c r="K20" i="2"/>
  <c r="L20" i="2" s="1"/>
  <c r="L19" i="2"/>
  <c r="K19" i="2"/>
  <c r="M19" i="2" s="1"/>
  <c r="N19" i="2" s="1"/>
  <c r="K18" i="2"/>
  <c r="L18" i="2" s="1"/>
  <c r="L17" i="2"/>
  <c r="K17" i="2"/>
  <c r="M17" i="2" s="1"/>
  <c r="N17" i="2" s="1"/>
  <c r="K16" i="2"/>
  <c r="L16" i="2" s="1"/>
  <c r="L15" i="2"/>
  <c r="K15" i="2"/>
  <c r="M15" i="2" s="1"/>
  <c r="N15" i="2" s="1"/>
  <c r="K14" i="2"/>
  <c r="L14" i="2" s="1"/>
  <c r="L13" i="2"/>
  <c r="K13" i="2"/>
  <c r="M13" i="2" s="1"/>
  <c r="N13" i="2" s="1"/>
  <c r="M12" i="2"/>
  <c r="N12" i="2" s="1"/>
  <c r="K12" i="2"/>
  <c r="L12" i="2" s="1"/>
  <c r="L11" i="2"/>
  <c r="K11" i="2"/>
  <c r="M11" i="2" s="1"/>
  <c r="N11" i="2" s="1"/>
  <c r="M10" i="2"/>
  <c r="N10" i="2" s="1"/>
  <c r="K10" i="2"/>
  <c r="L10" i="2" s="1"/>
  <c r="K9" i="2"/>
  <c r="M9" i="2" s="1"/>
  <c r="N9" i="2" s="1"/>
  <c r="M8" i="2"/>
  <c r="N8" i="2" s="1"/>
  <c r="K8" i="2"/>
  <c r="L8" i="2" s="1"/>
  <c r="K7" i="2"/>
  <c r="M7" i="2" s="1"/>
  <c r="N7" i="2" s="1"/>
  <c r="K6" i="2"/>
  <c r="L6" i="2" s="1"/>
  <c r="K5" i="2"/>
  <c r="M5" i="2" s="1"/>
  <c r="N5" i="2" s="1"/>
  <c r="K4" i="2"/>
  <c r="L4" i="2" s="1"/>
  <c r="K3" i="2"/>
  <c r="M3" i="2" s="1"/>
  <c r="N3" i="2" s="1"/>
  <c r="C46" i="1"/>
  <c r="C45" i="1"/>
  <c r="C21" i="12" l="1"/>
  <c r="E21" i="12"/>
  <c r="D21" i="12"/>
  <c r="B21" i="12"/>
  <c r="M246" i="2"/>
  <c r="N246" i="2" s="1"/>
  <c r="L246" i="2"/>
  <c r="M268" i="2"/>
  <c r="N268" i="2" s="1"/>
  <c r="L268" i="2"/>
  <c r="M36" i="2"/>
  <c r="N36" i="2" s="1"/>
  <c r="M14" i="2"/>
  <c r="N14" i="2" s="1"/>
  <c r="M30" i="2"/>
  <c r="N30" i="2" s="1"/>
  <c r="M46" i="2"/>
  <c r="N46" i="2" s="1"/>
  <c r="M62" i="2"/>
  <c r="N62" i="2" s="1"/>
  <c r="M78" i="2"/>
  <c r="N78" i="2" s="1"/>
  <c r="M188" i="2"/>
  <c r="N188" i="2" s="1"/>
  <c r="L188" i="2"/>
  <c r="M191" i="2"/>
  <c r="N191" i="2" s="1"/>
  <c r="L191" i="2"/>
  <c r="M213" i="2"/>
  <c r="N213" i="2" s="1"/>
  <c r="L213" i="2"/>
  <c r="M224" i="2"/>
  <c r="N224" i="2" s="1"/>
  <c r="M272" i="2"/>
  <c r="N272" i="2" s="1"/>
  <c r="M284" i="2"/>
  <c r="N284" i="2" s="1"/>
  <c r="M6" i="3"/>
  <c r="N6" i="3" s="1"/>
  <c r="M14" i="3"/>
  <c r="N14" i="3" s="1"/>
  <c r="M22" i="3"/>
  <c r="N22" i="3" s="1"/>
  <c r="M20" i="2"/>
  <c r="N20" i="2" s="1"/>
  <c r="M52" i="2"/>
  <c r="N52" i="2" s="1"/>
  <c r="M214" i="2"/>
  <c r="N214" i="2" s="1"/>
  <c r="L214" i="2"/>
  <c r="M236" i="2"/>
  <c r="N236" i="2" s="1"/>
  <c r="L236" i="2"/>
  <c r="M239" i="2"/>
  <c r="N239" i="2" s="1"/>
  <c r="L239" i="2"/>
  <c r="M261" i="2"/>
  <c r="N261" i="2" s="1"/>
  <c r="L261" i="2"/>
  <c r="M4" i="2"/>
  <c r="N4" i="2" s="1"/>
  <c r="L7" i="2"/>
  <c r="C14" i="12"/>
  <c r="E14" i="12"/>
  <c r="B14" i="12"/>
  <c r="D14" i="12"/>
  <c r="D35" i="10"/>
  <c r="B35" i="10"/>
  <c r="C35" i="10"/>
  <c r="L5" i="2"/>
  <c r="M18" i="2"/>
  <c r="N18" i="2" s="1"/>
  <c r="M34" i="2"/>
  <c r="N34" i="2" s="1"/>
  <c r="M50" i="2"/>
  <c r="N50" i="2" s="1"/>
  <c r="M66" i="2"/>
  <c r="N66" i="2" s="1"/>
  <c r="M82" i="2"/>
  <c r="N82" i="2" s="1"/>
  <c r="M181" i="2"/>
  <c r="N181" i="2" s="1"/>
  <c r="L181" i="2"/>
  <c r="M192" i="2"/>
  <c r="N192" i="2" s="1"/>
  <c r="M265" i="2"/>
  <c r="N265" i="2" s="1"/>
  <c r="M182" i="2"/>
  <c r="N182" i="2" s="1"/>
  <c r="L182" i="2"/>
  <c r="M204" i="2"/>
  <c r="N204" i="2" s="1"/>
  <c r="L204" i="2"/>
  <c r="M207" i="2"/>
  <c r="N207" i="2" s="1"/>
  <c r="L207" i="2"/>
  <c r="M229" i="2"/>
  <c r="N229" i="2" s="1"/>
  <c r="L229" i="2"/>
  <c r="M277" i="2"/>
  <c r="N277" i="2" s="1"/>
  <c r="L277" i="2"/>
  <c r="M22" i="2"/>
  <c r="N22" i="2" s="1"/>
  <c r="M38" i="2"/>
  <c r="N38" i="2" s="1"/>
  <c r="M54" i="2"/>
  <c r="N54" i="2" s="1"/>
  <c r="M70" i="2"/>
  <c r="N70" i="2" s="1"/>
  <c r="M230" i="2"/>
  <c r="N230" i="2" s="1"/>
  <c r="L230" i="2"/>
  <c r="M233" i="2"/>
  <c r="N233" i="2" s="1"/>
  <c r="M252" i="2"/>
  <c r="N252" i="2" s="1"/>
  <c r="L252" i="2"/>
  <c r="M255" i="2"/>
  <c r="N255" i="2" s="1"/>
  <c r="L255" i="2"/>
  <c r="M6" i="2"/>
  <c r="N6" i="2" s="1"/>
  <c r="L9" i="2"/>
  <c r="L3" i="2"/>
  <c r="M16" i="2"/>
  <c r="N16" i="2" s="1"/>
  <c r="M32" i="2"/>
  <c r="N32" i="2" s="1"/>
  <c r="M48" i="2"/>
  <c r="N48" i="2" s="1"/>
  <c r="M64" i="2"/>
  <c r="N64" i="2" s="1"/>
  <c r="M197" i="2"/>
  <c r="N197" i="2" s="1"/>
  <c r="L197" i="2"/>
  <c r="M282" i="2"/>
  <c r="N282" i="2" s="1"/>
  <c r="L282" i="2"/>
  <c r="M4" i="3"/>
  <c r="N4" i="3" s="1"/>
  <c r="L4" i="3"/>
  <c r="M12" i="3"/>
  <c r="N12" i="3" s="1"/>
  <c r="L12" i="3"/>
  <c r="M20" i="3"/>
  <c r="N20" i="3" s="1"/>
  <c r="L20" i="3"/>
  <c r="M28" i="3"/>
  <c r="N28" i="3" s="1"/>
  <c r="L28" i="3"/>
  <c r="M36" i="3"/>
  <c r="N36" i="3" s="1"/>
  <c r="L36" i="3"/>
  <c r="M44" i="3"/>
  <c r="N44" i="3" s="1"/>
  <c r="L44" i="3"/>
  <c r="M198" i="2"/>
  <c r="N198" i="2" s="1"/>
  <c r="L198" i="2"/>
  <c r="M201" i="2"/>
  <c r="N201" i="2" s="1"/>
  <c r="M220" i="2"/>
  <c r="N220" i="2" s="1"/>
  <c r="L220" i="2"/>
  <c r="M223" i="2"/>
  <c r="N223" i="2" s="1"/>
  <c r="L223" i="2"/>
  <c r="M245" i="2"/>
  <c r="N245" i="2" s="1"/>
  <c r="L245" i="2"/>
  <c r="M256" i="2"/>
  <c r="N256" i="2" s="1"/>
  <c r="L52" i="3"/>
  <c r="L60" i="3"/>
  <c r="L68" i="3"/>
  <c r="L76" i="3"/>
  <c r="L84" i="3"/>
  <c r="L92" i="3"/>
  <c r="L100" i="3"/>
  <c r="L108" i="3"/>
  <c r="L116" i="3"/>
  <c r="L124" i="3"/>
  <c r="L132" i="3"/>
  <c r="L140" i="3"/>
  <c r="L146" i="3"/>
  <c r="L262" i="2"/>
  <c r="L271" i="2"/>
  <c r="L278" i="2"/>
  <c r="L283" i="2"/>
  <c r="L5" i="3"/>
  <c r="L13" i="3"/>
  <c r="L21" i="3"/>
  <c r="L29" i="3"/>
  <c r="L37" i="3"/>
  <c r="L45" i="3"/>
  <c r="L53" i="3"/>
  <c r="L61" i="3"/>
  <c r="L69" i="3"/>
  <c r="L77" i="3"/>
  <c r="L85" i="3"/>
  <c r="L93" i="3"/>
  <c r="L101" i="3"/>
  <c r="L109" i="3"/>
  <c r="L117" i="3"/>
  <c r="L125" i="3"/>
  <c r="L136" i="3"/>
  <c r="L144" i="3"/>
  <c r="L222" i="3"/>
  <c r="I6" i="11"/>
  <c r="J6" i="11"/>
  <c r="N63" i="11"/>
  <c r="Q63" i="11" s="1"/>
  <c r="O63" i="11"/>
  <c r="P63" i="11" s="1"/>
  <c r="L215" i="3"/>
  <c r="D23" i="10"/>
  <c r="D22" i="10"/>
  <c r="D10" i="10"/>
  <c r="D24" i="10"/>
  <c r="D44" i="10"/>
  <c r="M9" i="11"/>
  <c r="I12" i="11"/>
  <c r="J12" i="11"/>
  <c r="M21" i="11"/>
  <c r="M29" i="11"/>
  <c r="M37" i="11"/>
  <c r="N42" i="11"/>
  <c r="Q42" i="11" s="1"/>
  <c r="O42" i="11"/>
  <c r="N65" i="11"/>
  <c r="Q65" i="11" s="1"/>
  <c r="O65" i="11"/>
  <c r="P65" i="11" s="1"/>
  <c r="L213" i="3"/>
  <c r="L220" i="3"/>
  <c r="L223" i="3"/>
  <c r="L226" i="3"/>
  <c r="L239" i="3"/>
  <c r="L242" i="3"/>
  <c r="L258" i="3"/>
  <c r="M15" i="11"/>
  <c r="N59" i="11"/>
  <c r="Q59" i="11" s="1"/>
  <c r="O59" i="11"/>
  <c r="P59" i="11" s="1"/>
  <c r="L236" i="3"/>
  <c r="L252" i="3"/>
  <c r="L268" i="3"/>
  <c r="I8" i="11"/>
  <c r="J8" i="11"/>
  <c r="M23" i="11"/>
  <c r="M31" i="11"/>
  <c r="N61" i="11"/>
  <c r="Q61" i="11" s="1"/>
  <c r="O61" i="11"/>
  <c r="P61" i="11" s="1"/>
  <c r="O11" i="11"/>
  <c r="N11" i="11"/>
  <c r="Q11" i="11" s="1"/>
  <c r="I14" i="11"/>
  <c r="J14" i="11"/>
  <c r="N44" i="11"/>
  <c r="Q44" i="11" s="1"/>
  <c r="O44" i="11"/>
  <c r="P44" i="11" s="1"/>
  <c r="N58" i="11"/>
  <c r="Q58" i="11" s="1"/>
  <c r="O58" i="11"/>
  <c r="P58" i="11" s="1"/>
  <c r="N64" i="11"/>
  <c r="Q64" i="11" s="1"/>
  <c r="O64" i="11"/>
  <c r="P64" i="11" s="1"/>
  <c r="O72" i="11"/>
  <c r="N72" i="11"/>
  <c r="Q72" i="11" s="1"/>
  <c r="L214" i="3"/>
  <c r="L221" i="3"/>
  <c r="L224" i="3"/>
  <c r="L237" i="3"/>
  <c r="L240" i="3"/>
  <c r="L256" i="3"/>
  <c r="L272" i="3"/>
  <c r="B12" i="10"/>
  <c r="B21" i="10"/>
  <c r="B11" i="10"/>
  <c r="B30" i="10"/>
  <c r="M17" i="11"/>
  <c r="M25" i="11"/>
  <c r="M33" i="11"/>
  <c r="L231" i="3"/>
  <c r="L234" i="3"/>
  <c r="L250" i="3"/>
  <c r="L266" i="3"/>
  <c r="M7" i="11"/>
  <c r="I10" i="11"/>
  <c r="J10" i="11"/>
  <c r="L260" i="3"/>
  <c r="M13" i="11"/>
  <c r="I16" i="11"/>
  <c r="J16" i="11"/>
  <c r="M19" i="11"/>
  <c r="M27" i="11"/>
  <c r="M35" i="11"/>
  <c r="O40" i="11"/>
  <c r="N40" i="11"/>
  <c r="Q40" i="11" s="1"/>
  <c r="O43" i="11"/>
  <c r="P43" i="11" s="1"/>
  <c r="N43" i="11"/>
  <c r="Q43" i="11" s="1"/>
  <c r="N55" i="11"/>
  <c r="Q55" i="11" s="1"/>
  <c r="O55" i="11"/>
  <c r="P55" i="11" s="1"/>
  <c r="F286" i="11"/>
  <c r="J18" i="11"/>
  <c r="J20" i="11"/>
  <c r="J22" i="11"/>
  <c r="M22" i="11" s="1"/>
  <c r="J24" i="11"/>
  <c r="M24" i="11" s="1"/>
  <c r="J26" i="11"/>
  <c r="J28" i="11"/>
  <c r="J30" i="11"/>
  <c r="J32" i="11"/>
  <c r="J34" i="11"/>
  <c r="J36" i="11"/>
  <c r="J38" i="11"/>
  <c r="M38" i="11" s="1"/>
  <c r="N73" i="11"/>
  <c r="Q73" i="11" s="1"/>
  <c r="O73" i="11"/>
  <c r="P73" i="11" s="1"/>
  <c r="H83" i="11"/>
  <c r="O120" i="11"/>
  <c r="N120" i="11"/>
  <c r="Q120" i="11" s="1"/>
  <c r="G286" i="11"/>
  <c r="H43" i="11"/>
  <c r="M48" i="11"/>
  <c r="M52" i="11"/>
  <c r="O56" i="11"/>
  <c r="P56" i="11" s="1"/>
  <c r="M57" i="11"/>
  <c r="M62" i="11"/>
  <c r="H65" i="11"/>
  <c r="O68" i="11"/>
  <c r="P68" i="11" s="1"/>
  <c r="M71" i="11"/>
  <c r="H71" i="11"/>
  <c r="H73" i="11"/>
  <c r="B44" i="10"/>
  <c r="P11" i="11"/>
  <c r="H70" i="11"/>
  <c r="J77" i="11"/>
  <c r="I77" i="11"/>
  <c r="M82" i="11"/>
  <c r="I86" i="11"/>
  <c r="J86" i="11"/>
  <c r="M86" i="11" s="1"/>
  <c r="B23" i="10"/>
  <c r="C30" i="10"/>
  <c r="C44" i="10"/>
  <c r="F12" i="14" s="1"/>
  <c r="I5" i="11"/>
  <c r="M6" i="11"/>
  <c r="M8" i="11"/>
  <c r="M10" i="11"/>
  <c r="M12" i="11"/>
  <c r="M14" i="11"/>
  <c r="M16" i="11"/>
  <c r="M18" i="11"/>
  <c r="M20" i="11"/>
  <c r="M26" i="11"/>
  <c r="M28" i="11"/>
  <c r="M30" i="11"/>
  <c r="M32" i="11"/>
  <c r="M34" i="11"/>
  <c r="M36" i="11"/>
  <c r="I39" i="11"/>
  <c r="M39" i="11" s="1"/>
  <c r="I41" i="11"/>
  <c r="M41" i="11" s="1"/>
  <c r="I47" i="11"/>
  <c r="M47" i="11" s="1"/>
  <c r="I51" i="11"/>
  <c r="M51" i="11" s="1"/>
  <c r="H61" i="11"/>
  <c r="H286" i="11" s="1"/>
  <c r="M67" i="11"/>
  <c r="J70" i="11"/>
  <c r="M70" i="11" s="1"/>
  <c r="M89" i="11"/>
  <c r="H89" i="11"/>
  <c r="O98" i="11"/>
  <c r="P98" i="11" s="1"/>
  <c r="N98" i="11"/>
  <c r="Q98" i="11" s="1"/>
  <c r="O104" i="11"/>
  <c r="N104" i="11"/>
  <c r="Q104" i="11" s="1"/>
  <c r="P42" i="11"/>
  <c r="M46" i="11"/>
  <c r="M50" i="11"/>
  <c r="M54" i="11"/>
  <c r="N74" i="11"/>
  <c r="Q74" i="11" s="1"/>
  <c r="I80" i="11"/>
  <c r="M80" i="11" s="1"/>
  <c r="J80" i="11"/>
  <c r="O90" i="11"/>
  <c r="P90" i="11" s="1"/>
  <c r="N90" i="11"/>
  <c r="Q90" i="11" s="1"/>
  <c r="C21" i="10"/>
  <c r="P40" i="11"/>
  <c r="M60" i="11"/>
  <c r="H76" i="11"/>
  <c r="C12" i="10"/>
  <c r="M5" i="11"/>
  <c r="I45" i="11"/>
  <c r="M45" i="11" s="1"/>
  <c r="I49" i="11"/>
  <c r="M49" i="11" s="1"/>
  <c r="I53" i="11"/>
  <c r="M53" i="11" s="1"/>
  <c r="M66" i="11"/>
  <c r="J83" i="11"/>
  <c r="I83" i="11"/>
  <c r="M83" i="11" s="1"/>
  <c r="O88" i="11"/>
  <c r="N88" i="11"/>
  <c r="Q88" i="11" s="1"/>
  <c r="O114" i="11"/>
  <c r="P114" i="11" s="1"/>
  <c r="N114" i="11"/>
  <c r="Q114" i="11" s="1"/>
  <c r="M79" i="11"/>
  <c r="J81" i="11"/>
  <c r="M95" i="11"/>
  <c r="J97" i="11"/>
  <c r="M111" i="11"/>
  <c r="J113" i="11"/>
  <c r="M127" i="11"/>
  <c r="P128" i="11"/>
  <c r="O129" i="11"/>
  <c r="P129" i="11" s="1"/>
  <c r="M135" i="11"/>
  <c r="P136" i="11"/>
  <c r="O137" i="11"/>
  <c r="O139" i="11"/>
  <c r="O141" i="11"/>
  <c r="O143" i="11"/>
  <c r="P143" i="11" s="1"/>
  <c r="O145" i="11"/>
  <c r="P145" i="11" s="1"/>
  <c r="O147" i="11"/>
  <c r="P147" i="11" s="1"/>
  <c r="I149" i="11"/>
  <c r="H155" i="11"/>
  <c r="I160" i="11"/>
  <c r="M160" i="11" s="1"/>
  <c r="O164" i="11"/>
  <c r="N164" i="11"/>
  <c r="Q164" i="11" s="1"/>
  <c r="O180" i="11"/>
  <c r="P180" i="11" s="1"/>
  <c r="N180" i="11"/>
  <c r="Q180" i="11" s="1"/>
  <c r="M105" i="11"/>
  <c r="M121" i="11"/>
  <c r="P137" i="11"/>
  <c r="P139" i="11"/>
  <c r="P141" i="11"/>
  <c r="M149" i="11"/>
  <c r="H149" i="11"/>
  <c r="I154" i="11"/>
  <c r="I159" i="11"/>
  <c r="M159" i="11" s="1"/>
  <c r="O176" i="11"/>
  <c r="P176" i="11" s="1"/>
  <c r="N176" i="11"/>
  <c r="Q176" i="11" s="1"/>
  <c r="H92" i="11"/>
  <c r="H105" i="11"/>
  <c r="N106" i="11"/>
  <c r="Q106" i="11" s="1"/>
  <c r="H108" i="11"/>
  <c r="I138" i="11"/>
  <c r="M138" i="11" s="1"/>
  <c r="I140" i="11"/>
  <c r="I142" i="11"/>
  <c r="I144" i="11"/>
  <c r="I146" i="11"/>
  <c r="M146" i="11" s="1"/>
  <c r="I148" i="11"/>
  <c r="I153" i="11"/>
  <c r="H159" i="11"/>
  <c r="O166" i="11"/>
  <c r="P166" i="11" s="1"/>
  <c r="N166" i="11"/>
  <c r="Q166" i="11" s="1"/>
  <c r="N182" i="11"/>
  <c r="Q182" i="11" s="1"/>
  <c r="O182" i="11"/>
  <c r="P182" i="11" s="1"/>
  <c r="J76" i="11"/>
  <c r="M76" i="11" s="1"/>
  <c r="M77" i="11"/>
  <c r="M78" i="11"/>
  <c r="H86" i="11"/>
  <c r="J92" i="11"/>
  <c r="M92" i="11" s="1"/>
  <c r="M94" i="11"/>
  <c r="H99" i="11"/>
  <c r="H102" i="11"/>
  <c r="J108" i="11"/>
  <c r="M108" i="11" s="1"/>
  <c r="M110" i="11"/>
  <c r="H115" i="11"/>
  <c r="H118" i="11"/>
  <c r="M122" i="11"/>
  <c r="P123" i="11"/>
  <c r="H129" i="11"/>
  <c r="M130" i="11"/>
  <c r="P131" i="11"/>
  <c r="H137" i="11"/>
  <c r="H138" i="11"/>
  <c r="H139" i="11"/>
  <c r="H140" i="11"/>
  <c r="M140" i="11"/>
  <c r="H141" i="11"/>
  <c r="H142" i="11"/>
  <c r="M142" i="11"/>
  <c r="H143" i="11"/>
  <c r="H144" i="11"/>
  <c r="M144" i="11"/>
  <c r="H145" i="11"/>
  <c r="H146" i="11"/>
  <c r="H147" i="11"/>
  <c r="M153" i="11"/>
  <c r="H153" i="11"/>
  <c r="I158" i="11"/>
  <c r="M158" i="11" s="1"/>
  <c r="M163" i="11"/>
  <c r="H163" i="11"/>
  <c r="O167" i="11"/>
  <c r="N167" i="11"/>
  <c r="Q167" i="11" s="1"/>
  <c r="O170" i="11"/>
  <c r="N170" i="11"/>
  <c r="Q170" i="11" s="1"/>
  <c r="O178" i="11"/>
  <c r="N178" i="11"/>
  <c r="Q178" i="11" s="1"/>
  <c r="M87" i="11"/>
  <c r="I99" i="11"/>
  <c r="M99" i="11" s="1"/>
  <c r="J102" i="11"/>
  <c r="M102" i="11" s="1"/>
  <c r="M103" i="11"/>
  <c r="I115" i="11"/>
  <c r="M115" i="11" s="1"/>
  <c r="J118" i="11"/>
  <c r="M118" i="11" s="1"/>
  <c r="M119" i="11"/>
  <c r="I152" i="11"/>
  <c r="I157" i="11"/>
  <c r="I162" i="11"/>
  <c r="M162" i="11" s="1"/>
  <c r="O172" i="11"/>
  <c r="N172" i="11"/>
  <c r="Q172" i="11" s="1"/>
  <c r="M81" i="11"/>
  <c r="H87" i="11"/>
  <c r="I93" i="11"/>
  <c r="M93" i="11" s="1"/>
  <c r="J96" i="11"/>
  <c r="M96" i="11" s="1"/>
  <c r="M97" i="11"/>
  <c r="H103" i="11"/>
  <c r="I109" i="11"/>
  <c r="M109" i="11" s="1"/>
  <c r="J112" i="11"/>
  <c r="M112" i="11" s="1"/>
  <c r="M113" i="11"/>
  <c r="H119" i="11"/>
  <c r="H123" i="11"/>
  <c r="M124" i="11"/>
  <c r="H131" i="11"/>
  <c r="M132" i="11"/>
  <c r="I151" i="11"/>
  <c r="M157" i="11"/>
  <c r="H157" i="11"/>
  <c r="O174" i="11"/>
  <c r="N174" i="11"/>
  <c r="Q174" i="11" s="1"/>
  <c r="M75" i="11"/>
  <c r="M91" i="11"/>
  <c r="M107" i="11"/>
  <c r="M125" i="11"/>
  <c r="N128" i="11"/>
  <c r="Q128" i="11" s="1"/>
  <c r="H132" i="11"/>
  <c r="M133" i="11"/>
  <c r="N136" i="11"/>
  <c r="Q136" i="11" s="1"/>
  <c r="M151" i="11"/>
  <c r="H151" i="11"/>
  <c r="I156" i="11"/>
  <c r="M156" i="11" s="1"/>
  <c r="M69" i="11"/>
  <c r="P72" i="11"/>
  <c r="H75" i="11"/>
  <c r="J84" i="11"/>
  <c r="M84" i="11" s="1"/>
  <c r="M85" i="11"/>
  <c r="P88" i="11"/>
  <c r="H91" i="11"/>
  <c r="J100" i="11"/>
  <c r="M100" i="11" s="1"/>
  <c r="M101" i="11"/>
  <c r="P104" i="11"/>
  <c r="H107" i="11"/>
  <c r="J116" i="11"/>
  <c r="M116" i="11" s="1"/>
  <c r="M117" i="11"/>
  <c r="P120" i="11"/>
  <c r="H125" i="11"/>
  <c r="M126" i="11"/>
  <c r="H133" i="11"/>
  <c r="M134" i="11"/>
  <c r="I150" i="11"/>
  <c r="I155" i="11"/>
  <c r="M155" i="11" s="1"/>
  <c r="M161" i="11"/>
  <c r="H161" i="11"/>
  <c r="M168" i="11"/>
  <c r="H181" i="11"/>
  <c r="M181" i="11"/>
  <c r="I186" i="11"/>
  <c r="M186" i="11" s="1"/>
  <c r="H187" i="11"/>
  <c r="I194" i="11"/>
  <c r="H195" i="11"/>
  <c r="I200" i="11"/>
  <c r="H205" i="11"/>
  <c r="O268" i="11"/>
  <c r="N268" i="11"/>
  <c r="Q268" i="11" s="1"/>
  <c r="H171" i="11"/>
  <c r="M171" i="11"/>
  <c r="I185" i="11"/>
  <c r="H186" i="11"/>
  <c r="I193" i="11"/>
  <c r="H194" i="11"/>
  <c r="M194" i="11"/>
  <c r="I199" i="11"/>
  <c r="O208" i="11"/>
  <c r="N208" i="11"/>
  <c r="Q208" i="11" s="1"/>
  <c r="I165" i="11"/>
  <c r="H168" i="11"/>
  <c r="I171" i="11"/>
  <c r="P172" i="11"/>
  <c r="H177" i="11"/>
  <c r="H182" i="11"/>
  <c r="I184" i="11"/>
  <c r="M184" i="11" s="1"/>
  <c r="H185" i="11"/>
  <c r="M185" i="11"/>
  <c r="I192" i="11"/>
  <c r="H193" i="11"/>
  <c r="M193" i="11"/>
  <c r="H199" i="11"/>
  <c r="M199" i="11"/>
  <c r="M204" i="11"/>
  <c r="H211" i="11"/>
  <c r="M211" i="11"/>
  <c r="O264" i="11"/>
  <c r="N264" i="11"/>
  <c r="Q264" i="11" s="1"/>
  <c r="M148" i="11"/>
  <c r="M150" i="11"/>
  <c r="M152" i="11"/>
  <c r="M154" i="11"/>
  <c r="H172" i="11"/>
  <c r="I177" i="11"/>
  <c r="M177" i="11" s="1"/>
  <c r="P178" i="11"/>
  <c r="H183" i="11"/>
  <c r="M183" i="11"/>
  <c r="H184" i="11"/>
  <c r="I191" i="11"/>
  <c r="H192" i="11"/>
  <c r="M192" i="11"/>
  <c r="I198" i="11"/>
  <c r="M198" i="11" s="1"/>
  <c r="I203" i="11"/>
  <c r="M203" i="11" s="1"/>
  <c r="I207" i="11"/>
  <c r="O249" i="11"/>
  <c r="N249" i="11"/>
  <c r="Q249" i="11" s="1"/>
  <c r="N270" i="11"/>
  <c r="Q270" i="11" s="1"/>
  <c r="O270" i="11"/>
  <c r="H173" i="11"/>
  <c r="I190" i="11"/>
  <c r="H191" i="11"/>
  <c r="M191" i="11"/>
  <c r="I197" i="11"/>
  <c r="H203" i="11"/>
  <c r="H207" i="11"/>
  <c r="M207" i="11"/>
  <c r="O252" i="11"/>
  <c r="N252" i="11"/>
  <c r="Q252" i="11" s="1"/>
  <c r="I173" i="11"/>
  <c r="M173" i="11" s="1"/>
  <c r="P174" i="11"/>
  <c r="H179" i="11"/>
  <c r="I189" i="11"/>
  <c r="H190" i="11"/>
  <c r="M190" i="11"/>
  <c r="H197" i="11"/>
  <c r="M197" i="11"/>
  <c r="I202" i="11"/>
  <c r="M202" i="11" s="1"/>
  <c r="N266" i="11"/>
  <c r="Q266" i="11" s="1"/>
  <c r="O266" i="11"/>
  <c r="P164" i="11"/>
  <c r="M165" i="11"/>
  <c r="P167" i="11"/>
  <c r="I169" i="11"/>
  <c r="M169" i="11" s="1"/>
  <c r="I179" i="11"/>
  <c r="M179" i="11" s="1"/>
  <c r="I188" i="11"/>
  <c r="H189" i="11"/>
  <c r="M189" i="11"/>
  <c r="I196" i="11"/>
  <c r="M196" i="11" s="1"/>
  <c r="I201" i="11"/>
  <c r="M206" i="11"/>
  <c r="I209" i="11"/>
  <c r="P170" i="11"/>
  <c r="H175" i="11"/>
  <c r="M175" i="11"/>
  <c r="I187" i="11"/>
  <c r="M187" i="11" s="1"/>
  <c r="H188" i="11"/>
  <c r="M188" i="11"/>
  <c r="I195" i="11"/>
  <c r="M195" i="11" s="1"/>
  <c r="H196" i="11"/>
  <c r="H201" i="11"/>
  <c r="M201" i="11"/>
  <c r="I205" i="11"/>
  <c r="M205" i="11" s="1"/>
  <c r="M213" i="11"/>
  <c r="N254" i="11"/>
  <c r="Q254" i="11" s="1"/>
  <c r="O254" i="11"/>
  <c r="M200" i="11"/>
  <c r="M225" i="11"/>
  <c r="M233" i="11"/>
  <c r="I255" i="11"/>
  <c r="M255" i="11" s="1"/>
  <c r="I271" i="11"/>
  <c r="M271" i="11" s="1"/>
  <c r="I212" i="11"/>
  <c r="H217" i="11"/>
  <c r="M218" i="11"/>
  <c r="M226" i="11"/>
  <c r="H233" i="11"/>
  <c r="M234" i="11"/>
  <c r="N245" i="11"/>
  <c r="Q245" i="11" s="1"/>
  <c r="O245" i="11"/>
  <c r="N258" i="11"/>
  <c r="Q258" i="11" s="1"/>
  <c r="O258" i="11"/>
  <c r="I265" i="11"/>
  <c r="M265" i="11" s="1"/>
  <c r="N274" i="11"/>
  <c r="Q274" i="11" s="1"/>
  <c r="O274" i="11"/>
  <c r="D10" i="12"/>
  <c r="D11" i="12"/>
  <c r="M210" i="11"/>
  <c r="H218" i="11"/>
  <c r="M219" i="11"/>
  <c r="N222" i="11"/>
  <c r="Q222" i="11" s="1"/>
  <c r="H226" i="11"/>
  <c r="M227" i="11"/>
  <c r="N230" i="11"/>
  <c r="Q230" i="11" s="1"/>
  <c r="M235" i="11"/>
  <c r="N238" i="11"/>
  <c r="Q238" i="11" s="1"/>
  <c r="N239" i="11"/>
  <c r="Q239" i="11" s="1"/>
  <c r="O248" i="11"/>
  <c r="P248" i="11" s="1"/>
  <c r="N248" i="11"/>
  <c r="Q248" i="11" s="1"/>
  <c r="I259" i="11"/>
  <c r="M259" i="11" s="1"/>
  <c r="I275" i="11"/>
  <c r="M275" i="11" s="1"/>
  <c r="I279" i="11"/>
  <c r="M279" i="11" s="1"/>
  <c r="I283" i="11"/>
  <c r="M283" i="11" s="1"/>
  <c r="P208" i="11"/>
  <c r="H210" i="11"/>
  <c r="H213" i="11"/>
  <c r="H219" i="11"/>
  <c r="M220" i="11"/>
  <c r="H227" i="11"/>
  <c r="M228" i="11"/>
  <c r="N231" i="11"/>
  <c r="Q231" i="11" s="1"/>
  <c r="H235" i="11"/>
  <c r="M236" i="11"/>
  <c r="P238" i="11"/>
  <c r="N240" i="11"/>
  <c r="Q240" i="11" s="1"/>
  <c r="I247" i="11"/>
  <c r="M247" i="11" s="1"/>
  <c r="I253" i="11"/>
  <c r="M253" i="11" s="1"/>
  <c r="N262" i="11"/>
  <c r="Q262" i="11" s="1"/>
  <c r="O262" i="11"/>
  <c r="I269" i="11"/>
  <c r="M269" i="11" s="1"/>
  <c r="B11" i="12"/>
  <c r="B10" i="12"/>
  <c r="B12" i="12"/>
  <c r="B15" i="12" s="1"/>
  <c r="M209" i="11"/>
  <c r="M214" i="11"/>
  <c r="M221" i="11"/>
  <c r="P222" i="11"/>
  <c r="M229" i="11"/>
  <c r="P230" i="11"/>
  <c r="H236" i="11"/>
  <c r="M237" i="11"/>
  <c r="P239" i="11"/>
  <c r="P240" i="11"/>
  <c r="M244" i="11"/>
  <c r="O256" i="11"/>
  <c r="N256" i="11"/>
  <c r="Q256" i="11" s="1"/>
  <c r="I263" i="11"/>
  <c r="M263" i="11" s="1"/>
  <c r="O272" i="11"/>
  <c r="P272" i="11" s="1"/>
  <c r="N272" i="11"/>
  <c r="Q272" i="11" s="1"/>
  <c r="E11" i="12"/>
  <c r="E12" i="12"/>
  <c r="E15" i="12" s="1"/>
  <c r="E10" i="12"/>
  <c r="P231" i="11"/>
  <c r="I242" i="11"/>
  <c r="M242" i="11" s="1"/>
  <c r="I243" i="11"/>
  <c r="M243" i="11" s="1"/>
  <c r="H244" i="11"/>
  <c r="I246" i="11"/>
  <c r="M246" i="11" s="1"/>
  <c r="I257" i="11"/>
  <c r="M257" i="11" s="1"/>
  <c r="I273" i="11"/>
  <c r="M273" i="11" s="1"/>
  <c r="D12" i="12"/>
  <c r="D15" i="12" s="1"/>
  <c r="M215" i="11"/>
  <c r="H222" i="11"/>
  <c r="M223" i="11"/>
  <c r="I251" i="11"/>
  <c r="M251" i="11" s="1"/>
  <c r="O260" i="11"/>
  <c r="N260" i="11"/>
  <c r="Q260" i="11" s="1"/>
  <c r="I267" i="11"/>
  <c r="M267" i="11" s="1"/>
  <c r="O276" i="11"/>
  <c r="P276" i="11" s="1"/>
  <c r="N276" i="11"/>
  <c r="Q276" i="11" s="1"/>
  <c r="N278" i="11"/>
  <c r="Q278" i="11" s="1"/>
  <c r="O278" i="11"/>
  <c r="O280" i="11"/>
  <c r="N280" i="11"/>
  <c r="Q280" i="11" s="1"/>
  <c r="M212" i="11"/>
  <c r="H215" i="11"/>
  <c r="M216" i="11"/>
  <c r="P217" i="11"/>
  <c r="H223" i="11"/>
  <c r="M224" i="11"/>
  <c r="H231" i="11"/>
  <c r="M232" i="11"/>
  <c r="I241" i="11"/>
  <c r="M241" i="11" s="1"/>
  <c r="I250" i="11"/>
  <c r="M250" i="11" s="1"/>
  <c r="I261" i="11"/>
  <c r="M261" i="11" s="1"/>
  <c r="M277" i="11"/>
  <c r="M281" i="11"/>
  <c r="P245" i="11"/>
  <c r="P254" i="11"/>
  <c r="P258" i="11"/>
  <c r="P262" i="11"/>
  <c r="P266" i="11"/>
  <c r="P270" i="11"/>
  <c r="P274" i="11"/>
  <c r="P278" i="11"/>
  <c r="P249" i="11"/>
  <c r="P252" i="11"/>
  <c r="P256" i="11"/>
  <c r="P260" i="11"/>
  <c r="P264" i="11"/>
  <c r="P268" i="11"/>
  <c r="P280" i="11"/>
  <c r="M285" i="11"/>
  <c r="C12" i="12"/>
  <c r="C15" i="12" s="1"/>
  <c r="C10" i="12"/>
  <c r="C11" i="12"/>
  <c r="M282" i="11"/>
  <c r="I284" i="11"/>
  <c r="M284" i="11" s="1"/>
  <c r="O205" i="11" l="1"/>
  <c r="P205" i="11" s="1"/>
  <c r="N205" i="11"/>
  <c r="Q205" i="11" s="1"/>
  <c r="O96" i="11"/>
  <c r="P96" i="11" s="1"/>
  <c r="N96" i="11"/>
  <c r="Q96" i="11" s="1"/>
  <c r="N47" i="11"/>
  <c r="Q47" i="11" s="1"/>
  <c r="O47" i="11"/>
  <c r="P47" i="11" s="1"/>
  <c r="O93" i="11"/>
  <c r="P93" i="11" s="1"/>
  <c r="N93" i="11"/>
  <c r="Q93" i="11" s="1"/>
  <c r="N108" i="11"/>
  <c r="Q108" i="11" s="1"/>
  <c r="O108" i="11"/>
  <c r="P108" i="11" s="1"/>
  <c r="N76" i="11"/>
  <c r="Q76" i="11" s="1"/>
  <c r="O76" i="11"/>
  <c r="P76" i="11" s="1"/>
  <c r="N146" i="11"/>
  <c r="Q146" i="11" s="1"/>
  <c r="O146" i="11"/>
  <c r="P146" i="11" s="1"/>
  <c r="N83" i="11"/>
  <c r="Q83" i="11" s="1"/>
  <c r="O83" i="11"/>
  <c r="P83" i="11" s="1"/>
  <c r="O41" i="11"/>
  <c r="P41" i="11" s="1"/>
  <c r="N41" i="11"/>
  <c r="Q41" i="11" s="1"/>
  <c r="O198" i="11"/>
  <c r="P198" i="11" s="1"/>
  <c r="N198" i="11"/>
  <c r="Q198" i="11" s="1"/>
  <c r="N177" i="11"/>
  <c r="Q177" i="11" s="1"/>
  <c r="O177" i="11"/>
  <c r="P177" i="11" s="1"/>
  <c r="O155" i="11"/>
  <c r="P155" i="11" s="1"/>
  <c r="N155" i="11"/>
  <c r="Q155" i="11" s="1"/>
  <c r="O118" i="11"/>
  <c r="P118" i="11" s="1"/>
  <c r="N118" i="11"/>
  <c r="Q118" i="11" s="1"/>
  <c r="O39" i="11"/>
  <c r="P39" i="11" s="1"/>
  <c r="N39" i="11"/>
  <c r="Q39" i="11" s="1"/>
  <c r="O173" i="11"/>
  <c r="P173" i="11" s="1"/>
  <c r="N173" i="11"/>
  <c r="Q173" i="11" s="1"/>
  <c r="O115" i="11"/>
  <c r="P115" i="11" s="1"/>
  <c r="N115" i="11"/>
  <c r="Q115" i="11" s="1"/>
  <c r="O195" i="11"/>
  <c r="P195" i="11" s="1"/>
  <c r="N195" i="11"/>
  <c r="Q195" i="11" s="1"/>
  <c r="O159" i="11"/>
  <c r="P159" i="11" s="1"/>
  <c r="N159" i="11"/>
  <c r="Q159" i="11" s="1"/>
  <c r="N70" i="11"/>
  <c r="Q70" i="11" s="1"/>
  <c r="O70" i="11"/>
  <c r="P70" i="11" s="1"/>
  <c r="O179" i="11"/>
  <c r="P179" i="11" s="1"/>
  <c r="N179" i="11"/>
  <c r="Q179" i="11" s="1"/>
  <c r="O241" i="11"/>
  <c r="P241" i="11" s="1"/>
  <c r="N241" i="11"/>
  <c r="Q241" i="11" s="1"/>
  <c r="O186" i="11"/>
  <c r="P186" i="11" s="1"/>
  <c r="N186" i="11"/>
  <c r="Q186" i="11" s="1"/>
  <c r="O112" i="11"/>
  <c r="P112" i="11" s="1"/>
  <c r="N112" i="11"/>
  <c r="Q112" i="11" s="1"/>
  <c r="O109" i="11"/>
  <c r="P109" i="11" s="1"/>
  <c r="N109" i="11"/>
  <c r="Q109" i="11" s="1"/>
  <c r="O102" i="11"/>
  <c r="P102" i="11" s="1"/>
  <c r="N102" i="11"/>
  <c r="Q102" i="11" s="1"/>
  <c r="N92" i="11"/>
  <c r="Q92" i="11" s="1"/>
  <c r="O92" i="11"/>
  <c r="P92" i="11" s="1"/>
  <c r="N138" i="11"/>
  <c r="Q138" i="11" s="1"/>
  <c r="O138" i="11"/>
  <c r="P138" i="11" s="1"/>
  <c r="N86" i="11"/>
  <c r="Q86" i="11" s="1"/>
  <c r="O86" i="11"/>
  <c r="P86" i="11" s="1"/>
  <c r="O24" i="11"/>
  <c r="P24" i="11" s="1"/>
  <c r="N24" i="11"/>
  <c r="Q24" i="11" s="1"/>
  <c r="O99" i="11"/>
  <c r="P99" i="11" s="1"/>
  <c r="N99" i="11"/>
  <c r="Q99" i="11" s="1"/>
  <c r="O38" i="11"/>
  <c r="P38" i="11" s="1"/>
  <c r="N38" i="11"/>
  <c r="Q38" i="11" s="1"/>
  <c r="O22" i="11"/>
  <c r="P22" i="11" s="1"/>
  <c r="N22" i="11"/>
  <c r="Q22" i="11" s="1"/>
  <c r="O203" i="11"/>
  <c r="P203" i="11" s="1"/>
  <c r="N203" i="11"/>
  <c r="Q203" i="11" s="1"/>
  <c r="N184" i="11"/>
  <c r="Q184" i="11" s="1"/>
  <c r="O184" i="11"/>
  <c r="P184" i="11" s="1"/>
  <c r="O196" i="11"/>
  <c r="P196" i="11" s="1"/>
  <c r="N196" i="11"/>
  <c r="Q196" i="11" s="1"/>
  <c r="O156" i="11"/>
  <c r="P156" i="11" s="1"/>
  <c r="N156" i="11"/>
  <c r="Q156" i="11" s="1"/>
  <c r="O187" i="11"/>
  <c r="P187" i="11" s="1"/>
  <c r="N187" i="11"/>
  <c r="Q187" i="11" s="1"/>
  <c r="N51" i="11"/>
  <c r="Q51" i="11" s="1"/>
  <c r="O51" i="11"/>
  <c r="P51" i="11" s="1"/>
  <c r="O216" i="11"/>
  <c r="P216" i="11" s="1"/>
  <c r="N216" i="11"/>
  <c r="Q216" i="11" s="1"/>
  <c r="N247" i="11"/>
  <c r="Q247" i="11" s="1"/>
  <c r="O247" i="11"/>
  <c r="P247" i="11" s="1"/>
  <c r="N275" i="11"/>
  <c r="Q275" i="11" s="1"/>
  <c r="O275" i="11"/>
  <c r="P275" i="11" s="1"/>
  <c r="O225" i="11"/>
  <c r="P225" i="11" s="1"/>
  <c r="N225" i="11"/>
  <c r="Q225" i="11" s="1"/>
  <c r="O188" i="11"/>
  <c r="P188" i="11" s="1"/>
  <c r="N188" i="11"/>
  <c r="Q188" i="11" s="1"/>
  <c r="O150" i="11"/>
  <c r="P150" i="11" s="1"/>
  <c r="N150" i="11"/>
  <c r="Q150" i="11" s="1"/>
  <c r="O194" i="11"/>
  <c r="P194" i="11" s="1"/>
  <c r="N194" i="11"/>
  <c r="Q194" i="11" s="1"/>
  <c r="O126" i="11"/>
  <c r="P126" i="11" s="1"/>
  <c r="N126" i="11"/>
  <c r="Q126" i="11" s="1"/>
  <c r="O100" i="11"/>
  <c r="P100" i="11" s="1"/>
  <c r="N100" i="11"/>
  <c r="Q100" i="11" s="1"/>
  <c r="O124" i="11"/>
  <c r="P124" i="11" s="1"/>
  <c r="N124" i="11"/>
  <c r="Q124" i="11" s="1"/>
  <c r="O130" i="11"/>
  <c r="P130" i="11" s="1"/>
  <c r="N130" i="11"/>
  <c r="Q130" i="11" s="1"/>
  <c r="O53" i="11"/>
  <c r="P53" i="11" s="1"/>
  <c r="N53" i="11"/>
  <c r="Q53" i="11" s="1"/>
  <c r="N50" i="11"/>
  <c r="Q50" i="11" s="1"/>
  <c r="O50" i="11"/>
  <c r="P50" i="11" s="1"/>
  <c r="O32" i="11"/>
  <c r="P32" i="11" s="1"/>
  <c r="N32" i="11"/>
  <c r="Q32" i="11" s="1"/>
  <c r="O16" i="11"/>
  <c r="P16" i="11" s="1"/>
  <c r="N16" i="11"/>
  <c r="Q16" i="11" s="1"/>
  <c r="F7" i="14"/>
  <c r="C45" i="10"/>
  <c r="F13" i="14" s="1"/>
  <c r="C31" i="10"/>
  <c r="B45" i="10"/>
  <c r="B31" i="10"/>
  <c r="O9" i="11"/>
  <c r="P9" i="11" s="1"/>
  <c r="N9" i="11"/>
  <c r="Q9" i="11" s="1"/>
  <c r="N263" i="11"/>
  <c r="Q263" i="11" s="1"/>
  <c r="O263" i="11"/>
  <c r="P263" i="11" s="1"/>
  <c r="O232" i="11"/>
  <c r="P232" i="11" s="1"/>
  <c r="N232" i="11"/>
  <c r="Q232" i="11" s="1"/>
  <c r="O246" i="11"/>
  <c r="P246" i="11" s="1"/>
  <c r="N246" i="11"/>
  <c r="Q246" i="11" s="1"/>
  <c r="N219" i="11"/>
  <c r="Q219" i="11" s="1"/>
  <c r="O219" i="11"/>
  <c r="P219" i="11" s="1"/>
  <c r="O234" i="11"/>
  <c r="P234" i="11" s="1"/>
  <c r="N234" i="11"/>
  <c r="Q234" i="11" s="1"/>
  <c r="N271" i="11"/>
  <c r="Q271" i="11" s="1"/>
  <c r="O271" i="11"/>
  <c r="P271" i="11" s="1"/>
  <c r="O207" i="11"/>
  <c r="P207" i="11" s="1"/>
  <c r="N207" i="11"/>
  <c r="Q207" i="11" s="1"/>
  <c r="N192" i="11"/>
  <c r="Q192" i="11" s="1"/>
  <c r="O192" i="11"/>
  <c r="P192" i="11" s="1"/>
  <c r="O148" i="11"/>
  <c r="P148" i="11" s="1"/>
  <c r="N148" i="11"/>
  <c r="Q148" i="11" s="1"/>
  <c r="O193" i="11"/>
  <c r="P193" i="11" s="1"/>
  <c r="N193" i="11"/>
  <c r="Q193" i="11" s="1"/>
  <c r="O171" i="11"/>
  <c r="P171" i="11" s="1"/>
  <c r="N171" i="11"/>
  <c r="Q171" i="11" s="1"/>
  <c r="O181" i="11"/>
  <c r="P181" i="11" s="1"/>
  <c r="N181" i="11"/>
  <c r="Q181" i="11" s="1"/>
  <c r="O157" i="11"/>
  <c r="P157" i="11" s="1"/>
  <c r="N157" i="11"/>
  <c r="Q157" i="11" s="1"/>
  <c r="O81" i="11"/>
  <c r="P81" i="11" s="1"/>
  <c r="N81" i="11"/>
  <c r="Q81" i="11" s="1"/>
  <c r="N140" i="11"/>
  <c r="Q140" i="11" s="1"/>
  <c r="O140" i="11"/>
  <c r="P140" i="11" s="1"/>
  <c r="O127" i="11"/>
  <c r="P127" i="11" s="1"/>
  <c r="N127" i="11"/>
  <c r="Q127" i="11" s="1"/>
  <c r="O49" i="11"/>
  <c r="P49" i="11" s="1"/>
  <c r="N49" i="11"/>
  <c r="Q49" i="11" s="1"/>
  <c r="O30" i="11"/>
  <c r="P30" i="11" s="1"/>
  <c r="N30" i="11"/>
  <c r="Q30" i="11" s="1"/>
  <c r="O14" i="11"/>
  <c r="P14" i="11" s="1"/>
  <c r="N14" i="11"/>
  <c r="Q14" i="11" s="1"/>
  <c r="N62" i="11"/>
  <c r="Q62" i="11" s="1"/>
  <c r="O62" i="11"/>
  <c r="P62" i="11" s="1"/>
  <c r="O13" i="11"/>
  <c r="P13" i="11" s="1"/>
  <c r="N13" i="11"/>
  <c r="Q13" i="11" s="1"/>
  <c r="O237" i="11"/>
  <c r="P237" i="11" s="1"/>
  <c r="N237" i="11"/>
  <c r="Q237" i="11" s="1"/>
  <c r="O229" i="11"/>
  <c r="P229" i="11" s="1"/>
  <c r="N229" i="11"/>
  <c r="Q229" i="11" s="1"/>
  <c r="N269" i="11"/>
  <c r="Q269" i="11" s="1"/>
  <c r="O269" i="11"/>
  <c r="P269" i="11" s="1"/>
  <c r="O228" i="11"/>
  <c r="P228" i="11" s="1"/>
  <c r="N228" i="11"/>
  <c r="Q228" i="11" s="1"/>
  <c r="N259" i="11"/>
  <c r="Q259" i="11" s="1"/>
  <c r="O259" i="11"/>
  <c r="P259" i="11" s="1"/>
  <c r="N235" i="11"/>
  <c r="Q235" i="11" s="1"/>
  <c r="O235" i="11"/>
  <c r="P235" i="11" s="1"/>
  <c r="N265" i="11"/>
  <c r="Q265" i="11" s="1"/>
  <c r="O265" i="11"/>
  <c r="P265" i="11" s="1"/>
  <c r="O200" i="11"/>
  <c r="P200" i="11" s="1"/>
  <c r="N200" i="11"/>
  <c r="Q200" i="11" s="1"/>
  <c r="O201" i="11"/>
  <c r="P201" i="11" s="1"/>
  <c r="N201" i="11"/>
  <c r="Q201" i="11" s="1"/>
  <c r="O206" i="11"/>
  <c r="P206" i="11" s="1"/>
  <c r="N206" i="11"/>
  <c r="Q206" i="11" s="1"/>
  <c r="O125" i="11"/>
  <c r="P125" i="11" s="1"/>
  <c r="N125" i="11"/>
  <c r="Q125" i="11" s="1"/>
  <c r="O87" i="11"/>
  <c r="P87" i="11" s="1"/>
  <c r="N87" i="11"/>
  <c r="Q87" i="11" s="1"/>
  <c r="N163" i="11"/>
  <c r="Q163" i="11" s="1"/>
  <c r="O163" i="11"/>
  <c r="P163" i="11" s="1"/>
  <c r="O160" i="11"/>
  <c r="P160" i="11" s="1"/>
  <c r="N160" i="11"/>
  <c r="Q160" i="11" s="1"/>
  <c r="O45" i="11"/>
  <c r="P45" i="11" s="1"/>
  <c r="N45" i="11"/>
  <c r="Q45" i="11" s="1"/>
  <c r="N46" i="11"/>
  <c r="Q46" i="11" s="1"/>
  <c r="O46" i="11"/>
  <c r="P46" i="11" s="1"/>
  <c r="O28" i="11"/>
  <c r="P28" i="11" s="1"/>
  <c r="N28" i="11"/>
  <c r="Q28" i="11" s="1"/>
  <c r="O12" i="11"/>
  <c r="P12" i="11" s="1"/>
  <c r="N12" i="11"/>
  <c r="Q12" i="11" s="1"/>
  <c r="N57" i="11"/>
  <c r="Q57" i="11" s="1"/>
  <c r="O57" i="11"/>
  <c r="P57" i="11" s="1"/>
  <c r="O37" i="11"/>
  <c r="P37" i="11" s="1"/>
  <c r="N37" i="11"/>
  <c r="Q37" i="11" s="1"/>
  <c r="N282" i="11"/>
  <c r="Q282" i="11" s="1"/>
  <c r="O282" i="11"/>
  <c r="P282" i="11" s="1"/>
  <c r="N267" i="11"/>
  <c r="Q267" i="11" s="1"/>
  <c r="O267" i="11"/>
  <c r="P267" i="11" s="1"/>
  <c r="O281" i="11"/>
  <c r="P281" i="11" s="1"/>
  <c r="N281" i="11"/>
  <c r="Q281" i="11" s="1"/>
  <c r="O212" i="11"/>
  <c r="P212" i="11" s="1"/>
  <c r="N212" i="11"/>
  <c r="Q212" i="11" s="1"/>
  <c r="O277" i="11"/>
  <c r="P277" i="11" s="1"/>
  <c r="N277" i="11"/>
  <c r="Q277" i="11" s="1"/>
  <c r="N261" i="11"/>
  <c r="Q261" i="11" s="1"/>
  <c r="O261" i="11"/>
  <c r="P261" i="11" s="1"/>
  <c r="O215" i="11"/>
  <c r="P215" i="11" s="1"/>
  <c r="N215" i="11"/>
  <c r="Q215" i="11" s="1"/>
  <c r="N243" i="11"/>
  <c r="Q243" i="11" s="1"/>
  <c r="O243" i="11"/>
  <c r="P243" i="11" s="1"/>
  <c r="N255" i="11"/>
  <c r="Q255" i="11" s="1"/>
  <c r="O255" i="11"/>
  <c r="P255" i="11" s="1"/>
  <c r="O117" i="11"/>
  <c r="P117" i="11" s="1"/>
  <c r="N117" i="11"/>
  <c r="Q117" i="11" s="1"/>
  <c r="O85" i="11"/>
  <c r="P85" i="11" s="1"/>
  <c r="N85" i="11"/>
  <c r="Q85" i="11" s="1"/>
  <c r="O151" i="11"/>
  <c r="P151" i="11" s="1"/>
  <c r="N151" i="11"/>
  <c r="Q151" i="11" s="1"/>
  <c r="O107" i="11"/>
  <c r="P107" i="11" s="1"/>
  <c r="N107" i="11"/>
  <c r="Q107" i="11" s="1"/>
  <c r="O97" i="11"/>
  <c r="P97" i="11" s="1"/>
  <c r="N97" i="11"/>
  <c r="Q97" i="11" s="1"/>
  <c r="N144" i="11"/>
  <c r="Q144" i="11" s="1"/>
  <c r="O144" i="11"/>
  <c r="P144" i="11" s="1"/>
  <c r="O122" i="11"/>
  <c r="P122" i="11" s="1"/>
  <c r="N122" i="11"/>
  <c r="Q122" i="11" s="1"/>
  <c r="O78" i="11"/>
  <c r="P78" i="11" s="1"/>
  <c r="N78" i="11"/>
  <c r="Q78" i="11" s="1"/>
  <c r="O149" i="11"/>
  <c r="P149" i="11" s="1"/>
  <c r="N149" i="11"/>
  <c r="Q149" i="11" s="1"/>
  <c r="N121" i="11"/>
  <c r="Q121" i="11" s="1"/>
  <c r="O121" i="11"/>
  <c r="P121" i="11" s="1"/>
  <c r="O111" i="11"/>
  <c r="P111" i="11" s="1"/>
  <c r="N111" i="11"/>
  <c r="Q111" i="11" s="1"/>
  <c r="D7" i="13"/>
  <c r="E34" i="13"/>
  <c r="H29" i="13"/>
  <c r="B23" i="13"/>
  <c r="C16" i="13"/>
  <c r="F11" i="13"/>
  <c r="B7" i="13"/>
  <c r="D21" i="13"/>
  <c r="B19" i="13"/>
  <c r="M286" i="11"/>
  <c r="C22" i="14" s="1"/>
  <c r="G16" i="13"/>
  <c r="E14" i="13"/>
  <c r="E30" i="13"/>
  <c r="C12" i="13"/>
  <c r="C28" i="13"/>
  <c r="H9" i="13"/>
  <c r="H25" i="13"/>
  <c r="F7" i="13"/>
  <c r="F23" i="13"/>
  <c r="D5" i="13"/>
  <c r="O5" i="11"/>
  <c r="N5" i="11"/>
  <c r="O80" i="11"/>
  <c r="P80" i="11" s="1"/>
  <c r="N80" i="11"/>
  <c r="Q80" i="11" s="1"/>
  <c r="N89" i="11"/>
  <c r="Q89" i="11" s="1"/>
  <c r="O89" i="11"/>
  <c r="P89" i="11" s="1"/>
  <c r="O26" i="11"/>
  <c r="P26" i="11" s="1"/>
  <c r="N26" i="11"/>
  <c r="Q26" i="11" s="1"/>
  <c r="O10" i="11"/>
  <c r="P10" i="11" s="1"/>
  <c r="N10" i="11"/>
  <c r="Q10" i="11" s="1"/>
  <c r="O35" i="11"/>
  <c r="P35" i="11" s="1"/>
  <c r="N35" i="11"/>
  <c r="Q35" i="11" s="1"/>
  <c r="B16" i="10"/>
  <c r="B17" i="10" s="1"/>
  <c r="O31" i="11"/>
  <c r="P31" i="11" s="1"/>
  <c r="N31" i="11"/>
  <c r="Q31" i="11" s="1"/>
  <c r="O29" i="11"/>
  <c r="P29" i="11" s="1"/>
  <c r="N29" i="11"/>
  <c r="Q29" i="11" s="1"/>
  <c r="D21" i="10"/>
  <c r="D11" i="10"/>
  <c r="D30" i="10"/>
  <c r="D12" i="10"/>
  <c r="N257" i="11"/>
  <c r="Q257" i="11" s="1"/>
  <c r="O257" i="11"/>
  <c r="P257" i="11" s="1"/>
  <c r="O223" i="11"/>
  <c r="P223" i="11" s="1"/>
  <c r="N223" i="11"/>
  <c r="Q223" i="11" s="1"/>
  <c r="O224" i="11"/>
  <c r="P224" i="11" s="1"/>
  <c r="N224" i="11"/>
  <c r="Q224" i="11" s="1"/>
  <c r="N251" i="11"/>
  <c r="Q251" i="11" s="1"/>
  <c r="O251" i="11"/>
  <c r="P251" i="11" s="1"/>
  <c r="N244" i="11"/>
  <c r="Q244" i="11" s="1"/>
  <c r="O244" i="11"/>
  <c r="P244" i="11" s="1"/>
  <c r="O221" i="11"/>
  <c r="P221" i="11" s="1"/>
  <c r="N221" i="11"/>
  <c r="Q221" i="11" s="1"/>
  <c r="N283" i="11"/>
  <c r="Q283" i="11" s="1"/>
  <c r="O283" i="11"/>
  <c r="P283" i="11" s="1"/>
  <c r="O226" i="11"/>
  <c r="P226" i="11" s="1"/>
  <c r="N226" i="11"/>
  <c r="Q226" i="11" s="1"/>
  <c r="O202" i="11"/>
  <c r="P202" i="11" s="1"/>
  <c r="N202" i="11"/>
  <c r="Q202" i="11" s="1"/>
  <c r="O211" i="11"/>
  <c r="P211" i="11" s="1"/>
  <c r="N211" i="11"/>
  <c r="Q211" i="11" s="1"/>
  <c r="O116" i="11"/>
  <c r="P116" i="11" s="1"/>
  <c r="N116" i="11"/>
  <c r="Q116" i="11" s="1"/>
  <c r="O84" i="11"/>
  <c r="P84" i="11" s="1"/>
  <c r="N84" i="11"/>
  <c r="Q84" i="11" s="1"/>
  <c r="O91" i="11"/>
  <c r="P91" i="11" s="1"/>
  <c r="N91" i="11"/>
  <c r="Q91" i="11" s="1"/>
  <c r="O119" i="11"/>
  <c r="P119" i="11" s="1"/>
  <c r="N119" i="11"/>
  <c r="Q119" i="11" s="1"/>
  <c r="O158" i="11"/>
  <c r="P158" i="11" s="1"/>
  <c r="N158" i="11"/>
  <c r="Q158" i="11" s="1"/>
  <c r="N77" i="11"/>
  <c r="Q77" i="11" s="1"/>
  <c r="O77" i="11"/>
  <c r="P77" i="11" s="1"/>
  <c r="N105" i="11"/>
  <c r="Q105" i="11" s="1"/>
  <c r="O105" i="11"/>
  <c r="P105" i="11" s="1"/>
  <c r="C16" i="10"/>
  <c r="C17" i="10"/>
  <c r="O8" i="11"/>
  <c r="P8" i="11" s="1"/>
  <c r="N8" i="11"/>
  <c r="Q8" i="11" s="1"/>
  <c r="N52" i="11"/>
  <c r="Q52" i="11" s="1"/>
  <c r="O52" i="11"/>
  <c r="P52" i="11" s="1"/>
  <c r="O27" i="11"/>
  <c r="P27" i="11" s="1"/>
  <c r="N27" i="11"/>
  <c r="Q27" i="11" s="1"/>
  <c r="O23" i="11"/>
  <c r="P23" i="11" s="1"/>
  <c r="N23" i="11"/>
  <c r="Q23" i="11" s="1"/>
  <c r="O21" i="11"/>
  <c r="P21" i="11" s="1"/>
  <c r="N21" i="11"/>
  <c r="Q21" i="11" s="1"/>
  <c r="B26" i="12"/>
  <c r="B25" i="12"/>
  <c r="B24" i="12"/>
  <c r="B23" i="12"/>
  <c r="N285" i="11"/>
  <c r="Q285" i="11" s="1"/>
  <c r="O285" i="11"/>
  <c r="P285" i="11" s="1"/>
  <c r="N273" i="11"/>
  <c r="Q273" i="11" s="1"/>
  <c r="O273" i="11"/>
  <c r="P273" i="11" s="1"/>
  <c r="O214" i="11"/>
  <c r="P214" i="11" s="1"/>
  <c r="N214" i="11"/>
  <c r="Q214" i="11" s="1"/>
  <c r="O220" i="11"/>
  <c r="P220" i="11" s="1"/>
  <c r="N220" i="11"/>
  <c r="Q220" i="11" s="1"/>
  <c r="N227" i="11"/>
  <c r="Q227" i="11" s="1"/>
  <c r="O227" i="11"/>
  <c r="P227" i="11" s="1"/>
  <c r="O210" i="11"/>
  <c r="P210" i="11" s="1"/>
  <c r="N210" i="11"/>
  <c r="Q210" i="11" s="1"/>
  <c r="O175" i="11"/>
  <c r="P175" i="11" s="1"/>
  <c r="N175" i="11"/>
  <c r="Q175" i="11" s="1"/>
  <c r="O169" i="11"/>
  <c r="P169" i="11" s="1"/>
  <c r="N169" i="11"/>
  <c r="Q169" i="11" s="1"/>
  <c r="O197" i="11"/>
  <c r="P197" i="11" s="1"/>
  <c r="N197" i="11"/>
  <c r="Q197" i="11" s="1"/>
  <c r="O185" i="11"/>
  <c r="P185" i="11" s="1"/>
  <c r="N185" i="11"/>
  <c r="Q185" i="11" s="1"/>
  <c r="O168" i="11"/>
  <c r="P168" i="11" s="1"/>
  <c r="N168" i="11"/>
  <c r="Q168" i="11" s="1"/>
  <c r="O134" i="11"/>
  <c r="P134" i="11" s="1"/>
  <c r="N134" i="11"/>
  <c r="Q134" i="11" s="1"/>
  <c r="O75" i="11"/>
  <c r="P75" i="11" s="1"/>
  <c r="N75" i="11"/>
  <c r="Q75" i="11" s="1"/>
  <c r="O132" i="11"/>
  <c r="P132" i="11" s="1"/>
  <c r="N132" i="11"/>
  <c r="Q132" i="11" s="1"/>
  <c r="O113" i="11"/>
  <c r="P113" i="11" s="1"/>
  <c r="N113" i="11"/>
  <c r="Q113" i="11" s="1"/>
  <c r="O162" i="11"/>
  <c r="P162" i="11" s="1"/>
  <c r="N162" i="11"/>
  <c r="Q162" i="11" s="1"/>
  <c r="O95" i="11"/>
  <c r="P95" i="11" s="1"/>
  <c r="N95" i="11"/>
  <c r="Q95" i="11" s="1"/>
  <c r="O6" i="11"/>
  <c r="P6" i="11" s="1"/>
  <c r="N6" i="11"/>
  <c r="Q6" i="11" s="1"/>
  <c r="O82" i="11"/>
  <c r="P82" i="11" s="1"/>
  <c r="N82" i="11"/>
  <c r="Q82" i="11" s="1"/>
  <c r="O19" i="11"/>
  <c r="P19" i="11" s="1"/>
  <c r="N19" i="11"/>
  <c r="Q19" i="11" s="1"/>
  <c r="O33" i="11"/>
  <c r="P33" i="11" s="1"/>
  <c r="N33" i="11"/>
  <c r="Q33" i="11" s="1"/>
  <c r="D25" i="12"/>
  <c r="D24" i="12"/>
  <c r="D26" i="12"/>
  <c r="D23" i="12"/>
  <c r="O284" i="11"/>
  <c r="P284" i="11" s="1"/>
  <c r="N284" i="11"/>
  <c r="Q284" i="11" s="1"/>
  <c r="O250" i="11"/>
  <c r="P250" i="11" s="1"/>
  <c r="N250" i="11"/>
  <c r="Q250" i="11" s="1"/>
  <c r="O242" i="11"/>
  <c r="P242" i="11" s="1"/>
  <c r="N242" i="11"/>
  <c r="Q242" i="11" s="1"/>
  <c r="O209" i="11"/>
  <c r="P209" i="11" s="1"/>
  <c r="N209" i="11"/>
  <c r="Q209" i="11" s="1"/>
  <c r="N253" i="11"/>
  <c r="Q253" i="11" s="1"/>
  <c r="O253" i="11"/>
  <c r="P253" i="11" s="1"/>
  <c r="O236" i="11"/>
  <c r="P236" i="11" s="1"/>
  <c r="N236" i="11"/>
  <c r="Q236" i="11" s="1"/>
  <c r="N279" i="11"/>
  <c r="Q279" i="11" s="1"/>
  <c r="O279" i="11"/>
  <c r="P279" i="11" s="1"/>
  <c r="O218" i="11"/>
  <c r="P218" i="11" s="1"/>
  <c r="N218" i="11"/>
  <c r="Q218" i="11" s="1"/>
  <c r="O233" i="11"/>
  <c r="P233" i="11" s="1"/>
  <c r="N233" i="11"/>
  <c r="Q233" i="11" s="1"/>
  <c r="O213" i="11"/>
  <c r="P213" i="11" s="1"/>
  <c r="N213" i="11"/>
  <c r="Q213" i="11" s="1"/>
  <c r="O154" i="11"/>
  <c r="P154" i="11" s="1"/>
  <c r="N154" i="11"/>
  <c r="Q154" i="11" s="1"/>
  <c r="O204" i="11"/>
  <c r="P204" i="11" s="1"/>
  <c r="N204" i="11"/>
  <c r="Q204" i="11" s="1"/>
  <c r="O133" i="11"/>
  <c r="P133" i="11" s="1"/>
  <c r="N133" i="11"/>
  <c r="Q133" i="11" s="1"/>
  <c r="N153" i="11"/>
  <c r="Q153" i="11" s="1"/>
  <c r="O153" i="11"/>
  <c r="P153" i="11" s="1"/>
  <c r="N142" i="11"/>
  <c r="Q142" i="11" s="1"/>
  <c r="O142" i="11"/>
  <c r="P142" i="11" s="1"/>
  <c r="O94" i="11"/>
  <c r="P94" i="11" s="1"/>
  <c r="N94" i="11"/>
  <c r="Q94" i="11" s="1"/>
  <c r="O135" i="11"/>
  <c r="P135" i="11" s="1"/>
  <c r="N135" i="11"/>
  <c r="Q135" i="11" s="1"/>
  <c r="N60" i="11"/>
  <c r="Q60" i="11" s="1"/>
  <c r="O60" i="11"/>
  <c r="P60" i="11" s="1"/>
  <c r="N54" i="11"/>
  <c r="Q54" i="11" s="1"/>
  <c r="O54" i="11"/>
  <c r="P54" i="11" s="1"/>
  <c r="O36" i="11"/>
  <c r="P36" i="11" s="1"/>
  <c r="N36" i="11"/>
  <c r="Q36" i="11" s="1"/>
  <c r="O20" i="11"/>
  <c r="P20" i="11" s="1"/>
  <c r="N20" i="11"/>
  <c r="Q20" i="11" s="1"/>
  <c r="O71" i="11"/>
  <c r="P71" i="11" s="1"/>
  <c r="N71" i="11"/>
  <c r="Q71" i="11" s="1"/>
  <c r="N48" i="11"/>
  <c r="Q48" i="11" s="1"/>
  <c r="O48" i="11"/>
  <c r="P48" i="11" s="1"/>
  <c r="O7" i="11"/>
  <c r="P7" i="11" s="1"/>
  <c r="N7" i="11"/>
  <c r="Q7" i="11" s="1"/>
  <c r="O25" i="11"/>
  <c r="P25" i="11" s="1"/>
  <c r="N25" i="11"/>
  <c r="Q25" i="11" s="1"/>
  <c r="O15" i="11"/>
  <c r="P15" i="11" s="1"/>
  <c r="N15" i="11"/>
  <c r="Q15" i="11" s="1"/>
  <c r="E26" i="12"/>
  <c r="E24" i="12"/>
  <c r="E25" i="12"/>
  <c r="E23" i="12"/>
  <c r="O189" i="11"/>
  <c r="P189" i="11" s="1"/>
  <c r="N189" i="11"/>
  <c r="Q189" i="11" s="1"/>
  <c r="N165" i="11"/>
  <c r="Q165" i="11" s="1"/>
  <c r="O165" i="11"/>
  <c r="P165" i="11" s="1"/>
  <c r="O190" i="11"/>
  <c r="P190" i="11" s="1"/>
  <c r="N190" i="11"/>
  <c r="Q190" i="11" s="1"/>
  <c r="O191" i="11"/>
  <c r="P191" i="11" s="1"/>
  <c r="N191" i="11"/>
  <c r="Q191" i="11" s="1"/>
  <c r="O183" i="11"/>
  <c r="P183" i="11" s="1"/>
  <c r="N183" i="11"/>
  <c r="Q183" i="11" s="1"/>
  <c r="O152" i="11"/>
  <c r="P152" i="11" s="1"/>
  <c r="N152" i="11"/>
  <c r="Q152" i="11" s="1"/>
  <c r="O199" i="11"/>
  <c r="P199" i="11" s="1"/>
  <c r="N199" i="11"/>
  <c r="Q199" i="11" s="1"/>
  <c r="N161" i="11"/>
  <c r="Q161" i="11" s="1"/>
  <c r="O161" i="11"/>
  <c r="P161" i="11" s="1"/>
  <c r="O101" i="11"/>
  <c r="P101" i="11" s="1"/>
  <c r="N101" i="11"/>
  <c r="Q101" i="11" s="1"/>
  <c r="O69" i="11"/>
  <c r="P69" i="11" s="1"/>
  <c r="N69" i="11"/>
  <c r="Q69" i="11" s="1"/>
  <c r="O103" i="11"/>
  <c r="P103" i="11" s="1"/>
  <c r="N103" i="11"/>
  <c r="Q103" i="11" s="1"/>
  <c r="O110" i="11"/>
  <c r="P110" i="11" s="1"/>
  <c r="N110" i="11"/>
  <c r="Q110" i="11" s="1"/>
  <c r="O79" i="11"/>
  <c r="P79" i="11" s="1"/>
  <c r="N79" i="11"/>
  <c r="Q79" i="11" s="1"/>
  <c r="N66" i="11"/>
  <c r="Q66" i="11" s="1"/>
  <c r="O66" i="11"/>
  <c r="P66" i="11" s="1"/>
  <c r="N67" i="11"/>
  <c r="Q67" i="11" s="1"/>
  <c r="H13" i="13" s="1"/>
  <c r="O67" i="11"/>
  <c r="P67" i="11" s="1"/>
  <c r="O34" i="11"/>
  <c r="P34" i="11" s="1"/>
  <c r="N34" i="11"/>
  <c r="Q34" i="11" s="1"/>
  <c r="O18" i="11"/>
  <c r="P18" i="11" s="1"/>
  <c r="N18" i="11"/>
  <c r="Q18" i="11" s="1"/>
  <c r="O17" i="11"/>
  <c r="P17" i="11" s="1"/>
  <c r="N17" i="11"/>
  <c r="Q17" i="11" s="1"/>
  <c r="C25" i="12"/>
  <c r="C23" i="12"/>
  <c r="C26" i="12"/>
  <c r="C24" i="12"/>
  <c r="B18" i="10" l="1"/>
  <c r="B25" i="10"/>
  <c r="E16" i="13"/>
  <c r="G34" i="13"/>
  <c r="F21" i="13"/>
  <c r="C8" i="13"/>
  <c r="E26" i="13"/>
  <c r="D15" i="13"/>
  <c r="F33" i="13"/>
  <c r="E22" i="13"/>
  <c r="D11" i="13"/>
  <c r="F29" i="13"/>
  <c r="C11" i="13"/>
  <c r="D20" i="13"/>
  <c r="E29" i="13"/>
  <c r="E19" i="14"/>
  <c r="E11" i="13"/>
  <c r="F20" i="13"/>
  <c r="G29" i="13"/>
  <c r="G19" i="14"/>
  <c r="G11" i="13"/>
  <c r="H20" i="13"/>
  <c r="B30" i="13"/>
  <c r="D20" i="14"/>
  <c r="H10" i="13"/>
  <c r="B20" i="13"/>
  <c r="C29" i="13"/>
  <c r="F23" i="14"/>
  <c r="G32" i="13"/>
  <c r="C32" i="13"/>
  <c r="G18" i="13"/>
  <c r="F5" i="13"/>
  <c r="H23" i="13"/>
  <c r="E10" i="13"/>
  <c r="G28" i="13"/>
  <c r="F17" i="13"/>
  <c r="E6" i="13"/>
  <c r="G24" i="13"/>
  <c r="F13" i="13"/>
  <c r="H31" i="13"/>
  <c r="D12" i="13"/>
  <c r="E21" i="13"/>
  <c r="F30" i="13"/>
  <c r="C21" i="14"/>
  <c r="F12" i="13"/>
  <c r="G21" i="13"/>
  <c r="H30" i="13"/>
  <c r="E21" i="14"/>
  <c r="H12" i="13"/>
  <c r="B22" i="13"/>
  <c r="C31" i="13"/>
  <c r="G21" i="14"/>
  <c r="B12" i="13"/>
  <c r="C21" i="13"/>
  <c r="D30" i="13"/>
  <c r="C19" i="14"/>
  <c r="B21" i="13"/>
  <c r="H7" i="13"/>
  <c r="C26" i="13"/>
  <c r="G12" i="13"/>
  <c r="B31" i="13"/>
  <c r="H19" i="13"/>
  <c r="G8" i="13"/>
  <c r="B27" i="13"/>
  <c r="H15" i="13"/>
  <c r="C34" i="13"/>
  <c r="E13" i="13"/>
  <c r="F22" i="13"/>
  <c r="G31" i="13"/>
  <c r="F22" i="14"/>
  <c r="G13" i="13"/>
  <c r="H22" i="13"/>
  <c r="B32" i="13"/>
  <c r="C23" i="14"/>
  <c r="B14" i="13"/>
  <c r="C23" i="13"/>
  <c r="D32" i="13"/>
  <c r="E23" i="14"/>
  <c r="C13" i="13"/>
  <c r="D22" i="13"/>
  <c r="E31" i="13"/>
  <c r="F20" i="14"/>
  <c r="D16" i="10"/>
  <c r="D17" i="10" s="1"/>
  <c r="D45" i="10"/>
  <c r="D31" i="10"/>
  <c r="E18" i="13"/>
  <c r="B5" i="13"/>
  <c r="D23" i="13"/>
  <c r="C10" i="13"/>
  <c r="E28" i="13"/>
  <c r="B15" i="13"/>
  <c r="D33" i="13"/>
  <c r="C22" i="13"/>
  <c r="B11" i="13"/>
  <c r="D29" i="13"/>
  <c r="C18" i="13"/>
  <c r="E5" i="13"/>
  <c r="F14" i="13"/>
  <c r="G23" i="13"/>
  <c r="H32" i="13"/>
  <c r="G5" i="13"/>
  <c r="H14" i="13"/>
  <c r="B24" i="13"/>
  <c r="C33" i="13"/>
  <c r="B6" i="13"/>
  <c r="C15" i="13"/>
  <c r="D24" i="13"/>
  <c r="E33" i="13"/>
  <c r="C5" i="13"/>
  <c r="D14" i="13"/>
  <c r="E23" i="13"/>
  <c r="F32" i="13"/>
  <c r="D22" i="14"/>
  <c r="G20" i="13"/>
  <c r="F25" i="13"/>
  <c r="E12" i="13"/>
  <c r="G30" i="13"/>
  <c r="D17" i="13"/>
  <c r="C6" i="13"/>
  <c r="E24" i="13"/>
  <c r="D13" i="13"/>
  <c r="F31" i="13"/>
  <c r="E20" i="13"/>
  <c r="F6" i="13"/>
  <c r="G15" i="13"/>
  <c r="H24" i="13"/>
  <c r="B34" i="13"/>
  <c r="H6" i="13"/>
  <c r="B16" i="13"/>
  <c r="C25" i="13"/>
  <c r="D34" i="13"/>
  <c r="C7" i="13"/>
  <c r="D16" i="13"/>
  <c r="E25" i="13"/>
  <c r="F34" i="13"/>
  <c r="D6" i="13"/>
  <c r="E15" i="13"/>
  <c r="F24" i="13"/>
  <c r="G33" i="13"/>
  <c r="G23" i="14"/>
  <c r="F9" i="13"/>
  <c r="H27" i="13"/>
  <c r="G14" i="13"/>
  <c r="B33" i="13"/>
  <c r="F19" i="13"/>
  <c r="E8" i="13"/>
  <c r="G26" i="13"/>
  <c r="F15" i="13"/>
  <c r="H33" i="13"/>
  <c r="G22" i="13"/>
  <c r="G7" i="13"/>
  <c r="H16" i="13"/>
  <c r="B26" i="13"/>
  <c r="D19" i="14"/>
  <c r="B8" i="13"/>
  <c r="C17" i="13"/>
  <c r="D26" i="13"/>
  <c r="F19" i="14"/>
  <c r="D8" i="13"/>
  <c r="E17" i="13"/>
  <c r="F26" i="13"/>
  <c r="C20" i="14"/>
  <c r="E7" i="13"/>
  <c r="F16" i="13"/>
  <c r="G25" i="13"/>
  <c r="H34" i="13"/>
  <c r="C18" i="10"/>
  <c r="C25" i="10"/>
  <c r="N286" i="11"/>
  <c r="C7" i="14"/>
  <c r="Q5" i="11"/>
  <c r="D25" i="13"/>
  <c r="H11" i="13"/>
  <c r="C30" i="13"/>
  <c r="B17" i="13"/>
  <c r="C6" i="14"/>
  <c r="H21" i="13"/>
  <c r="G10" i="13"/>
  <c r="B29" i="13"/>
  <c r="H17" i="13"/>
  <c r="G6" i="13"/>
  <c r="B25" i="13"/>
  <c r="H8" i="13"/>
  <c r="B18" i="13"/>
  <c r="C27" i="13"/>
  <c r="G20" i="14"/>
  <c r="C9" i="13"/>
  <c r="D18" i="13"/>
  <c r="E27" i="13"/>
  <c r="D21" i="14"/>
  <c r="E9" i="13"/>
  <c r="F18" i="13"/>
  <c r="G27" i="13"/>
  <c r="F21" i="14"/>
  <c r="F8" i="13"/>
  <c r="G17" i="13"/>
  <c r="H26" i="13"/>
  <c r="E20" i="14"/>
  <c r="O286" i="11"/>
  <c r="P5" i="11"/>
  <c r="P286" i="11" s="1"/>
  <c r="D9" i="13"/>
  <c r="F27" i="13"/>
  <c r="C14" i="13"/>
  <c r="E32" i="13"/>
  <c r="D19" i="13"/>
  <c r="H5" i="13"/>
  <c r="C24" i="13"/>
  <c r="B13" i="13"/>
  <c r="D31" i="13"/>
  <c r="C20" i="13"/>
  <c r="B9" i="13"/>
  <c r="D27" i="13"/>
  <c r="B10" i="13"/>
  <c r="C19" i="13"/>
  <c r="D28" i="13"/>
  <c r="E22" i="14"/>
  <c r="D10" i="13"/>
  <c r="E19" i="13"/>
  <c r="F28" i="13"/>
  <c r="G22" i="14"/>
  <c r="F10" i="13"/>
  <c r="G19" i="13"/>
  <c r="H28" i="13"/>
  <c r="D23" i="14"/>
  <c r="G9" i="13"/>
  <c r="H18" i="13"/>
  <c r="B28" i="13"/>
  <c r="D25" i="10" l="1"/>
  <c r="D18" i="10"/>
  <c r="C11" i="14"/>
  <c r="C14" i="14"/>
  <c r="C13" i="14"/>
  <c r="C12" i="14"/>
  <c r="C8" i="14"/>
  <c r="B32" i="10"/>
  <c r="B37" i="10" s="1"/>
  <c r="B38" i="10" s="1"/>
  <c r="B26" i="10"/>
  <c r="B42" i="10"/>
  <c r="B43" i="10"/>
  <c r="C42" i="10"/>
  <c r="C26" i="10"/>
  <c r="C32" i="10"/>
  <c r="C37" i="10" s="1"/>
  <c r="C43" i="10"/>
  <c r="F11" i="14" s="1"/>
  <c r="F8" i="14" l="1"/>
  <c r="C38" i="10"/>
  <c r="D42" i="10"/>
  <c r="D26" i="10"/>
  <c r="D32" i="10"/>
  <c r="D37" i="10" s="1"/>
  <c r="D38" i="10" s="1"/>
  <c r="D43" i="10"/>
</calcChain>
</file>

<file path=xl/sharedStrings.xml><?xml version="1.0" encoding="utf-8"?>
<sst xmlns="http://schemas.openxmlformats.org/spreadsheetml/2006/main" count="10294" uniqueCount="1261">
  <si>
    <t>00 · SUPUESTOS — única fuente de verdad del modelo financiero</t>
  </si>
  <si>
    <t>Edita los valores en amarillo. Todas las hojas (P&amp;L, Unit Economics, Escenarios, Dashboard) recalculan automáticamente.</t>
  </si>
  <si>
    <t>Variable</t>
  </si>
  <si>
    <t>Etiqueta</t>
  </si>
  <si>
    <t>Valor</t>
  </si>
  <si>
    <t>Unidad</t>
  </si>
  <si>
    <t>Nota / fuente</t>
  </si>
  <si>
    <t>PLATAFORMA &amp; COSTES FIJOS</t>
  </si>
  <si>
    <t>Shopify_plan</t>
  </si>
  <si>
    <t>Plan Shopify (mensual)</t>
  </si>
  <si>
    <t>€/mes</t>
  </si>
  <si>
    <t>Dominio</t>
  </si>
  <si>
    <t>Dominio (prorrateado)</t>
  </si>
  <si>
    <t>12€/año aprox / 12 meses.</t>
  </si>
  <si>
    <t>Apps</t>
  </si>
  <si>
    <t>Apps Shopify (B2B, etc.)</t>
  </si>
  <si>
    <t>Estimación inicial; ajustar cuando se contraten.</t>
  </si>
  <si>
    <t>Personal_fijo</t>
  </si>
  <si>
    <t>Personal fijo (sueldos)</t>
  </si>
  <si>
    <t>0€ por ahora — los socios cobran del beneficio. Editar cuando haya nómina.</t>
  </si>
  <si>
    <t>COMISIONES DE PAGO</t>
  </si>
  <si>
    <t>Comision_pago_pct</t>
  </si>
  <si>
    <t>Comisión Shopify Payments (% sobre venta)</t>
  </si>
  <si>
    <t>%</t>
  </si>
  <si>
    <t>Shopify Payments online España: 2,1% (verificado). En persona: 1,7%. PayPal ~3,4%+0,35; Stripe ~1,4%+0,25.</t>
  </si>
  <si>
    <t>Comision_pago_fija</t>
  </si>
  <si>
    <t>Comisión fija por transacción</t>
  </si>
  <si>
    <t>€/pedido</t>
  </si>
  <si>
    <t>Shopify Payments online España: 0,30€ por transacción.</t>
  </si>
  <si>
    <t>LOGÍSTICA SALIDA</t>
  </si>
  <si>
    <t>Hevea_umbral_envio_gratis</t>
  </si>
  <si>
    <t>Hevea — umbral envío gratis</t>
  </si>
  <si>
    <t>€</t>
  </si>
  <si>
    <t>Pedidos &gt; umbral van gratis a península (acuerdo con Hevea).</t>
  </si>
  <si>
    <t>Hevea_coste_envio_bajo</t>
  </si>
  <si>
    <t>Hevea — coste envío si &lt; umbral</t>
  </si>
  <si>
    <t>Estimación; producto voluminoso. Ajustar con tarifa real del transportista.</t>
  </si>
  <si>
    <t>Balliu_coste_envio</t>
  </si>
  <si>
    <t>Balliu — coste envío medio</t>
  </si>
  <si>
    <t>Sin acuerdo confirmado. Estimación misma magnitud que Hevea bajo umbral.</t>
  </si>
  <si>
    <t>Coste_medio_envio_pedido</t>
  </si>
  <si>
    <t>Coste medio mezcla del catálogo (asignado a pedido)</t>
  </si>
  <si>
    <t>Asume mezcla: 50% Hevea (la mitad &gt;900€ gratis) + 50% Balliu siempre con coste.</t>
  </si>
  <si>
    <t>DEVOLUCIONES E INCIDENCIAS</t>
  </si>
  <si>
    <t>Tasa_devolucion</t>
  </si>
  <si>
    <t>Tasa de devolución (% pedidos)</t>
  </si>
  <si>
    <t>4% — típico mobiliario premium (vs 20-30% moda). Ajustar con datos reales.</t>
  </si>
  <si>
    <t>Coste_devolucion</t>
  </si>
  <si>
    <t>Coste medio por devolución</t>
  </si>
  <si>
    <t>Logística inversa de producto voluminoso.</t>
  </si>
  <si>
    <t>Tasa_incidencia</t>
  </si>
  <si>
    <t>Tasa de incidencias transporte (% pedidos)</t>
  </si>
  <si>
    <t>Roturas, daños, retraso indemnizado.</t>
  </si>
  <si>
    <t>Coste_incidencia</t>
  </si>
  <si>
    <t>Coste medio por incidencia</t>
  </si>
  <si>
    <t>Reposición parcial, descuentos comerciales, gestión.</t>
  </si>
  <si>
    <t>MARKETING — ROAS OBJETIVO</t>
  </si>
  <si>
    <t>ROAS_conservador</t>
  </si>
  <si>
    <t>ROAS objetivo — escenario CONSERVADOR</t>
  </si>
  <si>
    <t>x</t>
  </si>
  <si>
    <t>Más conservador = invertimos menos, beneficio cierto. ROAS 5 = 1€ → 5€ ventas.</t>
  </si>
  <si>
    <t>ROAS_base</t>
  </si>
  <si>
    <t>ROAS objetivo — escenario BASE</t>
  </si>
  <si>
    <t>Realista para mobiliario premium con paid media bien optimizado.</t>
  </si>
  <si>
    <t>ROAS_optimista</t>
  </si>
  <si>
    <t>ROAS objetivo — escenario OPTIMISTA</t>
  </si>
  <si>
    <t>Más optimista = más volumen, más riesgo. ROAS 3 = punto de inflexión.</t>
  </si>
  <si>
    <t>WEB &amp; CONVERSIÓN</t>
  </si>
  <si>
    <t>Tasa_conversion</t>
  </si>
  <si>
    <t>Tasa de conversión web (sesión → pedido)</t>
  </si>
  <si>
    <t>0,8% — referencia mobiliario premium. Mejorable con UX y trust.</t>
  </si>
  <si>
    <t>AOV</t>
  </si>
  <si>
    <t>AOV / ticket medio objetivo (con IVA)</t>
  </si>
  <si>
    <t>500€ confirmado por usuario.</t>
  </si>
  <si>
    <t>VOLUMEN ESCENARIO BASE</t>
  </si>
  <si>
    <t>Pedidos_mes_conservador</t>
  </si>
  <si>
    <t>Pedidos/mes — CONSERVADOR</t>
  </si>
  <si>
    <t>pedidos</t>
  </si>
  <si>
    <t>Arranque suave, 1 pedido cada 2 días.</t>
  </si>
  <si>
    <t>Pedidos_mes_base</t>
  </si>
  <si>
    <t>Pedidos/mes — BASE</t>
  </si>
  <si>
    <t>1 pedido al día. Realista mes 6-12.</t>
  </si>
  <si>
    <t>Pedidos_mes_optimista</t>
  </si>
  <si>
    <t>Pedidos/mes — OPTIMISTA</t>
  </si>
  <si>
    <t>2 pedidos al día. Crecimiento sostenido.</t>
  </si>
  <si>
    <t>FISCAL</t>
  </si>
  <si>
    <t>IVA</t>
  </si>
  <si>
    <t>IVA aplicado</t>
  </si>
  <si>
    <t>21% España. Incluido en PVP de la hoja 20260508 -Todos.</t>
  </si>
  <si>
    <t>CATÁLOGO (precalculado al ejecutar el script)</t>
  </si>
  <si>
    <t>Margen_bruto_medio</t>
  </si>
  <si>
    <t>Margen bruto medio del catálogo (sobre PVP sin IVA)</t>
  </si>
  <si>
    <t>Promedio de Margen % de la hoja 20260508 -Todos en el momento de generar el modelo. Re-ejecutar setup_pnl_unit_economics.py para refrescar tras cambios de tarifa.</t>
  </si>
  <si>
    <t>UMBRALES DE CATEGORIZACIÓN SKU</t>
  </si>
  <si>
    <t>Umbral_PUSH_pct</t>
  </si>
  <si>
    <t>PUSH — Margen contributivo % mínimo</t>
  </si>
  <si>
    <t>≥30% margen contributivo → producto a empujar comercialmente.</t>
  </si>
  <si>
    <t>Umbral_PUSH_eur</t>
  </si>
  <si>
    <t>PUSH — Margen contributivo € mínimo</t>
  </si>
  <si>
    <t>≥100€/unidad. Combinado con %.</t>
  </si>
  <si>
    <t>Umbral_NEUTRAL_pct</t>
  </si>
  <si>
    <t>NEUTRAL — Margen contributivo % mínimo</t>
  </si>
  <si>
    <t>15-30% margen → vender pero sin push agresivo.</t>
  </si>
  <si>
    <t>Umbral_WATCH_pct</t>
  </si>
  <si>
    <t>WATCH — Margen contributivo % mínimo</t>
  </si>
  <si>
    <t>5-15% margen → vigilar, mejorar coste o subir precio.</t>
  </si>
  <si>
    <t>AGREGADOS CALCULADOS (no editar)</t>
  </si>
  <si>
    <t>Total costes fijos mensuales</t>
  </si>
  <si>
    <t>Suma de plan + dominio + apps + personal.</t>
  </si>
  <si>
    <t>Coste variable estimado por pedido</t>
  </si>
  <si>
    <t>Comisión pago + envío + (% dev × coste dev) + (% incid × coste incid).</t>
  </si>
  <si>
    <t>Proveedor</t>
  </si>
  <si>
    <t>Handle Shopify</t>
  </si>
  <si>
    <t>SKU</t>
  </si>
  <si>
    <t>Producto</t>
  </si>
  <si>
    <t>Coste neto
(sin IVA)</t>
  </si>
  <si>
    <t>Precio Venta
(con IVA 21%)</t>
  </si>
  <si>
    <t>Margen €</t>
  </si>
  <si>
    <t>Margen %</t>
  </si>
  <si>
    <t>PVP Recomendado</t>
  </si>
  <si>
    <t>Coste Envío</t>
  </si>
  <si>
    <t>Margen Real</t>
  </si>
  <si>
    <t>Max CPA Objetivo</t>
  </si>
  <si>
    <t>ROAS por producto</t>
  </si>
  <si>
    <t>Anunciar SI/NO</t>
  </si>
  <si>
    <t>Hevea</t>
  </si>
  <si>
    <t>sillon-exterior-aluminio-estilo-envolvente-9890-cm</t>
  </si>
  <si>
    <t>557-010881</t>
  </si>
  <si>
    <t>BRANDON-1 SILLON/ARMCHAIR/FAUTEUIL</t>
  </si>
  <si>
    <t>sofa-terraza-aluminio-2-plazas-estilo-contemporaneo-16690-cm</t>
  </si>
  <si>
    <t>557-010882</t>
  </si>
  <si>
    <t>BRANDON-2 SOFA 2 PLAZAS/SOFA/CANAPÉ</t>
  </si>
  <si>
    <t>sofa-terraza-aluminio-3-plazas-estilo-contemporaneo-22090-cm</t>
  </si>
  <si>
    <t>557-010879</t>
  </si>
  <si>
    <t>BRANDON-3 SOFA 3 PLAZAS/SOFA/CANAPÉ</t>
  </si>
  <si>
    <t>set-jardin-aluminio-2-plazas-contemporaneo-sofa-2-plazas-2-sillones-mesa</t>
  </si>
  <si>
    <t>557-010884</t>
  </si>
  <si>
    <t>LUNA-44 SET MESAS CENTRO 80 + 60</t>
  </si>
  <si>
    <t>BRANDON-7 SET SOFA 2 PLAZAS/SOFA/CANAPÉ</t>
  </si>
  <si>
    <t>set-jardin-aluminio-3-plazas-contemporaneo-sofa-3-plazas-2-sillones-mesa</t>
  </si>
  <si>
    <t>557-010885</t>
  </si>
  <si>
    <t>BRANDON-8 SET SOFA 3 PLAZAS/SOFA/CANAPÉ</t>
  </si>
  <si>
    <t>sillon-exterior-estilo-elegante-7275-cm</t>
  </si>
  <si>
    <t>557-010935</t>
  </si>
  <si>
    <t>DAMASCO-1 SILLON/ARMCHAIR/FAUTEUIL</t>
  </si>
  <si>
    <t>sofa-terraza-2-plazas-estilo-envolvente-13575-cm</t>
  </si>
  <si>
    <t>557-010936</t>
  </si>
  <si>
    <t>DAMASCO-2 SOFA 2 PLAZAS/SOFA/CANAPÉ</t>
  </si>
  <si>
    <t>sofa-terraza-3-plazas-estilo-sofisticado-19475-cm</t>
  </si>
  <si>
    <t>557-010937</t>
  </si>
  <si>
    <t>DAMASCO-3 SOFA 3 PLAZAS/SOFA/CANAPÉ</t>
  </si>
  <si>
    <t>mesa-de-centro-exterior-90-cm-altura-40-cm</t>
  </si>
  <si>
    <t>557-1071</t>
  </si>
  <si>
    <t>UNIVERSAL-80 MESA CENTRO/COFFEE TABLE</t>
  </si>
  <si>
    <t>mesa-de-centro-exterior-120-cm-altura-40-cm-2</t>
  </si>
  <si>
    <t>557-1563</t>
  </si>
  <si>
    <t>UNIVERSAL-120 MESA CENTRO 120/COFFEE TABLE</t>
  </si>
  <si>
    <t>set-jardin-2-plazas-elegante-sofa-2-plazas-2-sillones-mesa</t>
  </si>
  <si>
    <t>557-010938</t>
  </si>
  <si>
    <t>SET DAMASCO 7 / 2 SEATER SOFA SET / SET CANAPÉ 2 PLACES</t>
  </si>
  <si>
    <t>set-jardin-3-plazas-sofisticado-sofa-3-plazas-2-sillones-mesa</t>
  </si>
  <si>
    <t>557-010939</t>
  </si>
  <si>
    <t>SET DAMASCO 8 / 3 SEATER SOFA SET / SET CANAPÉ 3 PLACES</t>
  </si>
  <si>
    <t>sillon-exterior-estilo-versatil-7783-cm</t>
  </si>
  <si>
    <t>600-010021</t>
  </si>
  <si>
    <t>YINA-1 SILLON/ARMCHAIR/FAUTEUIL</t>
  </si>
  <si>
    <t>sofa-terraza-2-plazas-estilo-estilizado-14383-cm</t>
  </si>
  <si>
    <t>600-010022</t>
  </si>
  <si>
    <t>YINA-2 SOFA 2 PLAZAS/SOFÁ/CANAPÉ</t>
  </si>
  <si>
    <t>sofa-terraza-3-plazas-estilo-contemporaneo-18583-cm</t>
  </si>
  <si>
    <t>600-010023</t>
  </si>
  <si>
    <t>YINA-3 SOFA 3 PLAZAS/SOFÁ/CANAPÉ</t>
  </si>
  <si>
    <t>mesa-de-centro-exterior-hpl-70-cm-altura-45-cm</t>
  </si>
  <si>
    <t>600-010024</t>
  </si>
  <si>
    <t>YINA-70 HPL MESA CENTRO/COFFEE TABLE/TABLE CENTRE</t>
  </si>
  <si>
    <t>reposapies-exterior-734640-cm</t>
  </si>
  <si>
    <t>600-010025</t>
  </si>
  <si>
    <t>YINA-5 REPOSAPIES/FOOTSTOOL/REPOSE-PIEDS</t>
  </si>
  <si>
    <t>set-jardin-2-plazas-moderno-sofa-2-plazas-2-sillones-mesa</t>
  </si>
  <si>
    <t>600-010026</t>
  </si>
  <si>
    <t>YINA-7 SET SOFÁ 2 PLAZAS / 2 SEATER SOFA SET / SET CANAPÉ 2 PLACES</t>
  </si>
  <si>
    <t>set-jardin-3-plazas-contemporaneo-sofa-3-plazas-2-sillones-mesa</t>
  </si>
  <si>
    <t>600-010027</t>
  </si>
  <si>
    <t>YINA-8 SET SOFÁ 3 PLAZAS / 3 SEATER SOFA SET / SET CANAPÉ 3 PLACES</t>
  </si>
  <si>
    <t>sillon-exterior-estilo-elegante-6590-cm</t>
  </si>
  <si>
    <t>557-010813</t>
  </si>
  <si>
    <t>CUPRA-1 SILLÓN/ARMCHAIR/FAUTEUIL</t>
  </si>
  <si>
    <t>sofa-terraza-2-plazas-estilo-contemporaneo-13090-cm</t>
  </si>
  <si>
    <t>557-010814</t>
  </si>
  <si>
    <t>CUPRA-2 SOFA 2 PLAZAS/SOFA/CANAPÉ</t>
  </si>
  <si>
    <t>sofa-terraza-3-plazas-estilo-contemporaneo-18590-cm</t>
  </si>
  <si>
    <t>557-010815</t>
  </si>
  <si>
    <t>CUPRA-3 SOFA 3 PLAZAS/SOFA/CANAPÉ</t>
  </si>
  <si>
    <t>reposapies-exterior-605040-cm</t>
  </si>
  <si>
    <t>557-010785</t>
  </si>
  <si>
    <t>STANDARD-5 REPOSAPIES/FOOTSTOOL/REPOSE-PIEDS</t>
  </si>
  <si>
    <t>set-jardin-2-plazas-elegante-sofa-2-plazas-2-sillones-mesa-2</t>
  </si>
  <si>
    <t>557-010816</t>
  </si>
  <si>
    <t>CUPRA-7 SET SOFÁ 2 PLAZAS / 2 SEATER SOFA SET / SET CANAPÉ 2 PLACES</t>
  </si>
  <si>
    <t>set-jardin-3-plazas-sofisticado-sofa-3-plazas-2-sillones-mesa-2</t>
  </si>
  <si>
    <t>557-010817</t>
  </si>
  <si>
    <t>CUPRA-8 SET SOFÁ 3 PLAZAS / 3 SEATER SOFA SET / SET CANAPÉ 3 PLACES</t>
  </si>
  <si>
    <t>sillon-exterior-estilo-envolvente-7582-cm</t>
  </si>
  <si>
    <t>557-1089</t>
  </si>
  <si>
    <t>BELLAGIO-1 SILLÓN/ARMCHAIR/FAUTEUIL</t>
  </si>
  <si>
    <t>sofa-terraza-3-plazas-estilo-contemporaneo-19882-cm</t>
  </si>
  <si>
    <t>557-1090</t>
  </si>
  <si>
    <t>BELLAGIO-3 SOFA 3 PLAZAS/SOFA/CANAPÉ</t>
  </si>
  <si>
    <t>sofa-terraza-2-plazas-estilo-contemporaneo-15082-cm</t>
  </si>
  <si>
    <t>557-1091</t>
  </si>
  <si>
    <t>BELLAGIO-2 SOFA 2 PLAZAS/SOFA/CANAPÉ</t>
  </si>
  <si>
    <t>mesa-de-centro-exterior-125-cm-altura-38-cm</t>
  </si>
  <si>
    <t>557-1092</t>
  </si>
  <si>
    <t>BELLAGIO-4 MESA CENTRO 125</t>
  </si>
  <si>
    <t>set-jardin-2-plazas-elegante-sofa-2-plazas-2-sillones-mesa-3</t>
  </si>
  <si>
    <t>557-1094</t>
  </si>
  <si>
    <t>BELLAGIO-7 SET SOFÁ 2 PLAZAS / 2 SEATER SOFA SET / SET CANAPÉ 2 PLACES</t>
  </si>
  <si>
    <t>set-jardin-3-plazas-sofisticado-sofa-3-plazas-2-sillones-mesa-3</t>
  </si>
  <si>
    <t>557-1095</t>
  </si>
  <si>
    <t>BELLAGIO-8 SET SOFÁ 3 PLAZAS / 3 SEATER SOFA SET / SET CANAPÉ 3 PLACES</t>
  </si>
  <si>
    <t>sillon-exterior-estilo-estilizado-7069-cm</t>
  </si>
  <si>
    <t>600-010090</t>
  </si>
  <si>
    <t>CLOE-1 SILLON/ARMCHAIR/FAUTEUIL</t>
  </si>
  <si>
    <t>sofa-terraza-2-plazas-estilo-contemporaneo-16269-cm</t>
  </si>
  <si>
    <t>600-010091</t>
  </si>
  <si>
    <t>CLOE SOFA 2 PLAZAS/SOFA/CANAPÉ</t>
  </si>
  <si>
    <t>sofa-terraza-3-plazas-estilo-elegante-22069-cm</t>
  </si>
  <si>
    <t>600-010092</t>
  </si>
  <si>
    <t>CLOE SOFA 3 PLAZAS/SOFA/CANAPÉ</t>
  </si>
  <si>
    <t>reposapies-exterior-504540-cm</t>
  </si>
  <si>
    <t>600-010093</t>
  </si>
  <si>
    <t>CLOE-5 REPOSAPIES/FOOTSTOOL/REPOSE-PIEDS</t>
  </si>
  <si>
    <t>sillon-exterior-estilo-elegante-6578-cm</t>
  </si>
  <si>
    <t>557-011090</t>
  </si>
  <si>
    <t>ODIN-1 SILLON/ARMCHAIR/FAUTEUIL</t>
  </si>
  <si>
    <t>sofa-terraza-2-plazas-estilo-contemporaneo-12078-cm</t>
  </si>
  <si>
    <t>557-011091</t>
  </si>
  <si>
    <t>ODIN-2 SOFA 2 PLAZAS/SOFA/CANAPÉ</t>
  </si>
  <si>
    <t>sofa-terraza-3-plazas-estilo-sofisticado-17578-cm</t>
  </si>
  <si>
    <t>557-011092</t>
  </si>
  <si>
    <t>ODIN-3 SOFA 3 PLAZAS/SOFA/CANAPÉ</t>
  </si>
  <si>
    <t>mesa-de-centro-exterior-90-cm-altura-41-cm</t>
  </si>
  <si>
    <t>557-011075</t>
  </si>
  <si>
    <t>SAIPROS-90 MESA CENTRO 90/COFFEE TABLE/TABLE CENTRE</t>
  </si>
  <si>
    <t>mesa-de-centro-exterior-120-cm-altura-41-cm</t>
  </si>
  <si>
    <t>557-011076</t>
  </si>
  <si>
    <t>SAIPROS-120 MESA CENTRO 120/COFFEE TABLE/TABLE CENTRE</t>
  </si>
  <si>
    <t>set-jardin-2-plazas-moderno-sofa-2-plazas-2-sillones-mesa-2</t>
  </si>
  <si>
    <t>557-011094</t>
  </si>
  <si>
    <t>ODIN-7 SET SOFÁ 2 PLAZAS / 2 SEATER SOFA SET / SET CANAPÉ 2 PLACES</t>
  </si>
  <si>
    <t>set-jardin-3-plazas-elegante-sofa-3-plazas-2-sillones-mesa</t>
  </si>
  <si>
    <t>557-011095</t>
  </si>
  <si>
    <t>ODIN-8 SET SOFÁ 3 PLAZAS / 3 SEATER SOFA SET / SET CANAPÉ 3 PLACES</t>
  </si>
  <si>
    <t>sillon-exterior-estilo-versatil-76100-cm</t>
  </si>
  <si>
    <t>557-010726</t>
  </si>
  <si>
    <t>ALBANIA-1 SILLON/ARMCHAIR/FAUTEUIL</t>
  </si>
  <si>
    <t>sofa-terraza-2-plazas-estilo-contemporaneo-145100-cm</t>
  </si>
  <si>
    <t>557-010727</t>
  </si>
  <si>
    <t>ALBANIA-2 SOFA 2 PLAZAS/SOFA/CANAPÉ</t>
  </si>
  <si>
    <t>sofa-terraza-3-plazas-estilo-sofisticado-212100-cm</t>
  </si>
  <si>
    <t>557-010728</t>
  </si>
  <si>
    <t>ALBANIA-3 SOFA 3 PLAZAS/SOFA/CANAPÉ</t>
  </si>
  <si>
    <t>set-jardin-2-plazas-elegante-sofa-2-plazas-2-sillones-mesa-4</t>
  </si>
  <si>
    <t>557-010729</t>
  </si>
  <si>
    <t>ALBANIA-7 SET SOFÁ 2 PLAZAS / 2 SEATER SOFA SET / SET CANAPÉ 2 PLACES</t>
  </si>
  <si>
    <t>set-jardin-3-plazas-sofisticado-sofa-3-plazas-2-sillones-mesa-4</t>
  </si>
  <si>
    <t>557-010730</t>
  </si>
  <si>
    <t>ALBANIA-8 SET SOFÁ 3 PLAZAS / 3 SEATER SOFA SET / SET CANAPÉ 3 PLACES</t>
  </si>
  <si>
    <t>reposapies-exterior-855043-cm</t>
  </si>
  <si>
    <t>557-0185</t>
  </si>
  <si>
    <t>STANDARD 55-XL STANDARD XL REPOSAPIES</t>
  </si>
  <si>
    <t>sillon-exterior-estilo-elegante-80104-cm</t>
  </si>
  <si>
    <t>557-010478</t>
  </si>
  <si>
    <t>BOLONIA XL-1 SILLÓN/ARMCHAIR/CANAPÉ</t>
  </si>
  <si>
    <t>sofa-terraza-2-plazas-estilo-contemporaneo-164104-cm</t>
  </si>
  <si>
    <t>557-010479</t>
  </si>
  <si>
    <t>BOLONIA XL-2 SOFA 2 PLAZAS/SOFA/CANAPÉ</t>
  </si>
  <si>
    <t>sofa-terraza-3-plazas-estilo-contemporaneo-215104-cm</t>
  </si>
  <si>
    <t>557-010480</t>
  </si>
  <si>
    <t>BOLONIA XL-3 SOFA 3 PLAZAS/SOFA/CANAPÉ</t>
  </si>
  <si>
    <t>mesa-de-centro-exterior-125-cm-altura-42-cm</t>
  </si>
  <si>
    <t>557-0008</t>
  </si>
  <si>
    <t>BOLONIA-4 MESA CENTRO-125X65X42</t>
  </si>
  <si>
    <t>reposapies-exterior-855043-cm-2</t>
  </si>
  <si>
    <t>557-010482</t>
  </si>
  <si>
    <t>STANDARD-XL REPOSAPIES/FOOTSTOOL/REPOSE-PIEDS</t>
  </si>
  <si>
    <t>set-jardin-2-plazas-elegante-sofa-2-plazas-2-sillones-mesa-5</t>
  </si>
  <si>
    <t>557-0793</t>
  </si>
  <si>
    <t>BOLONIA XL-7 SET SOFA 2 PLAZAS/SOFA/CANAPÉ</t>
  </si>
  <si>
    <t>set-jardin-3-plazas-contemporaneo-sofa-3-plazas-2-sillones-mesa-2</t>
  </si>
  <si>
    <t>557-010483</t>
  </si>
  <si>
    <t>BOLONIA XL-8 SET SOFA 3 PLAZAS/SOFA/CANAPÉ</t>
  </si>
  <si>
    <t>sillon-exterior-bicolor-estilo-bicolor-7376-cm</t>
  </si>
  <si>
    <t>558-0051</t>
  </si>
  <si>
    <t>DIVA-1 BICOLOR SILLON/ARMCHAIR/FAUTEUIL</t>
  </si>
  <si>
    <t>sofa-terraza-bicolor-2-plazas-estilo-bicolor-14076-cm</t>
  </si>
  <si>
    <t>558-0070</t>
  </si>
  <si>
    <t>DIVA-2 BICOLOR SOFA 2 PLAZAS/SOFA/CANAPÉ</t>
  </si>
  <si>
    <t>sofa-terraza-bicolor-3-plazas-estilo-bicolor-20076-cm</t>
  </si>
  <si>
    <t>558-0052</t>
  </si>
  <si>
    <t>DIVA-3 BICOLOR SOFA 3 PLAZAS/SOFA/CANAPÉ</t>
  </si>
  <si>
    <t>mesa-de-centro-exterior-hpl-120-cm-altura-40-cm</t>
  </si>
  <si>
    <t>558-0033</t>
  </si>
  <si>
    <t>BICOLOR MESA CENTRO 120/COFFEE TABLE/TABLE CENTRE HPL</t>
  </si>
  <si>
    <t>mesa-de-centro-exterior-hpl-135-cm-altura-40-cm</t>
  </si>
  <si>
    <t>558-0039</t>
  </si>
  <si>
    <t>BICOLOR MESA CENTRO 135/COFFEE TABLE/TABLE CENTRE HPL</t>
  </si>
  <si>
    <t>reposapies-exterior-bicolor-704544-cm</t>
  </si>
  <si>
    <t>558-0049</t>
  </si>
  <si>
    <t>BICOLOR STANDARD-55 REPOSAPIES/FOOTSTOOL/REPOSE-PIEDS</t>
  </si>
  <si>
    <t>set-jardin-bicolor-2-plazas-bicolor-sofa-2-plazas-2-sillones-mesa</t>
  </si>
  <si>
    <t>558-0066</t>
  </si>
  <si>
    <t>DIVA-7 BICOLOR SET SOFA 2 PLAZAS/SOFA/CANAPÉ</t>
  </si>
  <si>
    <t>set-jardin-bicolor-3-plazas-bicolor-sofa-3-plazas-2-sillones-mesa</t>
  </si>
  <si>
    <t>558-0050</t>
  </si>
  <si>
    <t>DIVA-8 BICOLOR SET SOFA 3 PLAZAS/SOFA/CANAPÉ</t>
  </si>
  <si>
    <t>sillon-exterior-estilo-versatil-7685-cm</t>
  </si>
  <si>
    <t>557-010716</t>
  </si>
  <si>
    <t>LEISA-1 SILLON/ARMCHAIR/FAUTEUIL</t>
  </si>
  <si>
    <t>sofa-terraza-2-plazas-estilo-contemporaneo-13785-cm</t>
  </si>
  <si>
    <t>557-010717</t>
  </si>
  <si>
    <t>LEISA-2 SOFA 2 PLAZAS/SOFA/CANAPÉ</t>
  </si>
  <si>
    <t>sofa-terraza-3-plazas-estilo-contemporaneo-19685-cm</t>
  </si>
  <si>
    <t>557-010718</t>
  </si>
  <si>
    <t>LEISA-3 SOFA 3 PLAZAS/SOFA/CANAPÉ</t>
  </si>
  <si>
    <t>set-jardin-2-plazas-contemporaneo-sofa-2-plazas-2-sillones-mesa</t>
  </si>
  <si>
    <t>557-010719</t>
  </si>
  <si>
    <t>LEISA-7 SET SOFA 2 PLAZAS/SOFA/CANAPÉ</t>
  </si>
  <si>
    <t>set-jardin-3-plazas-contemporaneo-sofa-3-plazas-2-sillones-mesa-3</t>
  </si>
  <si>
    <t>557-010720</t>
  </si>
  <si>
    <t>LEISA-8 SET SOFA 3 PLAZAS/SOFA/CANAPÉ</t>
  </si>
  <si>
    <t>sillon-exterior-estilo-moderno-7085-cm</t>
  </si>
  <si>
    <t>557-010103</t>
  </si>
  <si>
    <t>DOUNVIL-1 SILLON</t>
  </si>
  <si>
    <t>sofa-terraza-2-plazas-estilo-elegante-15085-cm</t>
  </si>
  <si>
    <t>557-010104</t>
  </si>
  <si>
    <t>DOUNVIL-2 SOFA 2 PLAZAS</t>
  </si>
  <si>
    <t>sofa-terraza-3-plazas-estilo-contemporaneo-19085-cm</t>
  </si>
  <si>
    <t>557-010105</t>
  </si>
  <si>
    <t>DOUNVIL-3 SOFA 3 PLAZAS</t>
  </si>
  <si>
    <t>set-jardin-2-plazas-contemporaneo-sofa-2-plazas-2-sillones-mesa-2</t>
  </si>
  <si>
    <t>557-010106</t>
  </si>
  <si>
    <t>DOUNVIL-7 SET SOFA 2 PLAZAS</t>
  </si>
  <si>
    <t>set-jardin-3-plazas-elegante-sofa-3-plazas-2-sillones-mesa-2</t>
  </si>
  <si>
    <t>557-010107</t>
  </si>
  <si>
    <t>DOUNVIL-8 SET SOFA 3 PLAZAS</t>
  </si>
  <si>
    <t>mesa-de-centro-exterior-90-cm-altura-40-cm-2</t>
  </si>
  <si>
    <t>557-1070</t>
  </si>
  <si>
    <t>MESA CENTRO 90</t>
  </si>
  <si>
    <t>MESA CENTRO 120</t>
  </si>
  <si>
    <t>sillon-exterior-estilo-contemporaneo-68115-cm</t>
  </si>
  <si>
    <t>557-0794</t>
  </si>
  <si>
    <t>HASTON-1 SILLÓN / ARMCHAIR / FAUTEUIL</t>
  </si>
  <si>
    <t>sofa-terraza-2-plazas-estilo-moderno-128115-cm</t>
  </si>
  <si>
    <t>557-0795</t>
  </si>
  <si>
    <t>HASTON-2 SOFÁ 2 PLAZAS / 2 SEATER SOFA / CANAPÉ 2 PLACES</t>
  </si>
  <si>
    <t>sofa-terraza-3-plazas-estilo-contemporaneo-188115-cm</t>
  </si>
  <si>
    <t>557-0796</t>
  </si>
  <si>
    <t>HASTON-3 SOFÁ 3 PLAZAS / 3 SEATER SOFA / CANAPÉ 3 PLACES</t>
  </si>
  <si>
    <t>set-jardin-2-plazas-moderno-sofa-2-plazas-2-sillones-mesa-3</t>
  </si>
  <si>
    <t>557-0798</t>
  </si>
  <si>
    <t>HASTON-7 SET SOFÁ 2 PLAZAS / 2 SEATER SOFA SET / SET CANAPÉ 2 PLACES</t>
  </si>
  <si>
    <t>set-jardin-3-plazas-contemporaneo-sofa-3-plazas-2-sillones-mesa-4</t>
  </si>
  <si>
    <t>557-0799</t>
  </si>
  <si>
    <t>HASTON-8 SET SOFÁ 3 PLAZAS / 3 SEATER SOFA SET / SET CANAPÉ 3 PLACES</t>
  </si>
  <si>
    <t>sillon-exterior-estilo-versatil-6470-cm</t>
  </si>
  <si>
    <t>557-010146</t>
  </si>
  <si>
    <t>ACAPULCO-1 SILLÓN / ARMCHAIR / FAUTEUIL</t>
  </si>
  <si>
    <t>sofa-terraza-2-plazas-estilo-elegante-13170-cm</t>
  </si>
  <si>
    <t>557-010148</t>
  </si>
  <si>
    <t>ACAPULCO-2 SOFÁ 2 PLAZAS / 2 SEATER SOFA / CANAPÉ 2 PLACES</t>
  </si>
  <si>
    <t>set-jardin-3-plazas-contemporaneo-sofa-3-plazas-2-sillones-mesa-5</t>
  </si>
  <si>
    <t>557-010147</t>
  </si>
  <si>
    <t>ACAPULCO-3 SOFÁ 3 PLAZAS / 3 SEATER SOFA / CANAPÉ 3 PLACES</t>
  </si>
  <si>
    <t>mesa-de-centro-exterior-hpl-90-cm-altura-40-cm</t>
  </si>
  <si>
    <t>557-010153</t>
  </si>
  <si>
    <t>MESA CENTRO 90 HPL UNIVERSAL / 90 HPL COFFEE TABLE / TABLE BASSE 90 HPL</t>
  </si>
  <si>
    <t>mesa-de-centro-exterior-hpl-120-cm-altura-40-cm-2</t>
  </si>
  <si>
    <t>557-010154</t>
  </si>
  <si>
    <t>MESA CENTRO 120 HPL UNIVERSAL / 120 HPL COFFEE TABLE / TABLE BASSE 120 HPL</t>
  </si>
  <si>
    <t>set-jardin-2-plazas-moderno-sofa-2-plazas-2-sillones-mesa-4</t>
  </si>
  <si>
    <t>557-010149</t>
  </si>
  <si>
    <t>ACAPULCO-7 SET SOFÁ 2 PLAZAS / 2 SEATER SOFA SET / SET CANAPÉ 2 PLACES</t>
  </si>
  <si>
    <t>ACAPULCO-8 SET SOFÁ 3 PLAZAS / 3 SEATER SOFA SET / SET CANAPÉ 3 PLACES</t>
  </si>
  <si>
    <t>pergola-aluminio-para-jardin-300300250-cm</t>
  </si>
  <si>
    <t>557-0919</t>
  </si>
  <si>
    <t>PÉRGOLA VENECIA / VENECIA PERGOLA / PERGOLA VENECIA</t>
  </si>
  <si>
    <t>sillon-exterior-estilo-urbano-6670-cm</t>
  </si>
  <si>
    <t>557-01951</t>
  </si>
  <si>
    <t>MANHATAN-1 SILLÓN / ARMCHAIR / FAUTEUIL</t>
  </si>
  <si>
    <t>sofa-terraza-2-plazas-estilo-contemporaneo-13370-cm</t>
  </si>
  <si>
    <t>557-01952</t>
  </si>
  <si>
    <t>MANHATAN-2 SOFÁ 2 PLAZAS / 2 SEATER SOFA / CANAPÉ 2 PLACES</t>
  </si>
  <si>
    <t>sofa-terraza-3-plazas-estilo-moderno-18770-cm</t>
  </si>
  <si>
    <t>557-01953</t>
  </si>
  <si>
    <t>MANHATAN-3 SOFÁ 3 PLAZAS / 3 SEATER SOFA / CANAPÉ 3 PLACES</t>
  </si>
  <si>
    <t>set-jardin-2-plazas-contemporaneo-sofa-2-plazas-2-sillones-mesa-3</t>
  </si>
  <si>
    <t>557-01954</t>
  </si>
  <si>
    <t>MANHATAN-7 SET SOFÁ 2 PLAZAS / 2 SEATER SOFA SET / SET CANAPÉ 2 PLACES</t>
  </si>
  <si>
    <t>set-jardin-3-plazas-urbano-sofa-3-plazas-2-sillones-mesa</t>
  </si>
  <si>
    <t>557-01955</t>
  </si>
  <si>
    <t>MANHATAN-8 SET SOFÁ 3 PLAZAS / 3 SEATER SOFA SET / SET CANAPÉ 3 PLACES</t>
  </si>
  <si>
    <t>set-rinconera-exterior-hpl-sofisticado-sofa-de-esquina-mesa-de-centro</t>
  </si>
  <si>
    <t>557-010705</t>
  </si>
  <si>
    <t>LOIRA-7 HPL SET SOFA RINCONERA / CORNER SET / SET CANAPÉ D’ANGLE</t>
  </si>
  <si>
    <t>set-rinconera-exterior-hpl-elegante-sofa-de-esquina-mesa-de-centro</t>
  </si>
  <si>
    <t>557-010026</t>
  </si>
  <si>
    <t>LOIRA-8 HPL SET SOFÁ RINCONERA / HPL CORNER SOFA SET / SET CANAPÉ D’ANGLE HPL</t>
  </si>
  <si>
    <t>set-rinconera-exterior-hpl-moderno-sofa-de-esquina-mesa-de-centro</t>
  </si>
  <si>
    <t>557-010123</t>
  </si>
  <si>
    <t>LOIRA-30 HPL SET SOFÁ RINCONERA / HPL CORNER SOFA SET / SET CANAPÉ D’ANGLE HPL</t>
  </si>
  <si>
    <t>set-rinconera-exterior-contemporaneo-sofa-de-esquina-mesa-de-centro</t>
  </si>
  <si>
    <t>557-1164</t>
  </si>
  <si>
    <t>ADEL-7 SET SOFÁ RINCONERA / CORNER SOFA SET / SET CANAPÉ D’ANGLE</t>
  </si>
  <si>
    <t>set-rinconera-exterior-sofisticado-sofa-de-esquina-mesa-de-centro</t>
  </si>
  <si>
    <t>557-010048</t>
  </si>
  <si>
    <t>ADEL-30 SET SOFÁ RINCONERA / CORNER SOFA SET / SET CANAPÉ D’ANGLE</t>
  </si>
  <si>
    <t>mesa-comedor-exterior-hpl-13590-cm</t>
  </si>
  <si>
    <t>557-010177</t>
  </si>
  <si>
    <t>CORCEGA-135x90 HPL MESA COMEDOR / HPL DINING TABLE 135x90 / TABLE À MANGER HPL 135x90</t>
  </si>
  <si>
    <t>123-0017</t>
  </si>
  <si>
    <t>CORCEGA-160x90 HPL MESA COMEDOR / HPL DINING TABLE 160x90 / TABLE À MANGER HPL 160x90</t>
  </si>
  <si>
    <t>silla-exterior-estilo-estilizado</t>
  </si>
  <si>
    <t>123-0002</t>
  </si>
  <si>
    <t>SILLA JANEIRO 3 / JANEIRO CHAIR 3 / CHAISE JANEIRO 3</t>
  </si>
  <si>
    <t>silla-exterior-estilo-contemporaneo</t>
  </si>
  <si>
    <t>123-0001</t>
  </si>
  <si>
    <t>SILLA CÓRCEGA 3 / CORCEGA CHAIR 3 / CHAISE CORSE 3</t>
  </si>
  <si>
    <t>mesa-comedor-exterior-hpl-10090-cm</t>
  </si>
  <si>
    <t>123-0013</t>
  </si>
  <si>
    <t>MESA HPL MUNDRA Ø100 x 76H / HPL MUNDRA TABLE Ø100 x 76H / TABLE HPL MUNDRA Ø100 x 76H</t>
  </si>
  <si>
    <t>mesa-comedor-exterior-hpl-15090-cm</t>
  </si>
  <si>
    <t>557-011019</t>
  </si>
  <si>
    <t>HPL MUNDRA 150 MESA / HPL MUNDRA 150 TABLE / TABLE HPL MUNDRA 150</t>
  </si>
  <si>
    <t>sillon-exterior-estilo-versatil-58100-cm</t>
  </si>
  <si>
    <t>123-0011</t>
  </si>
  <si>
    <t>SILLÓN AVALON-3 / AVALON-3 ARMCHAIR / FAUTEUIL AVALON-3</t>
  </si>
  <si>
    <t>tumbona-de-exterior</t>
  </si>
  <si>
    <t>123-0038</t>
  </si>
  <si>
    <t>BRESCIA-12 TUMBONA / SUNBED / BAIN DE SOLEIL</t>
  </si>
  <si>
    <t>parasol-para-terraza-300-cm</t>
  </si>
  <si>
    <t>928-0016</t>
  </si>
  <si>
    <t>PARASOL VIENA 300 / VIENNA PARASOL 300 / PARASOL VIENNE 300</t>
  </si>
  <si>
    <t>parasol-para-terraza-350-cm</t>
  </si>
  <si>
    <t>557-1682</t>
  </si>
  <si>
    <t>PARASOL SAMSON Ø350 / SAMSON PARASOL / PARASOL SAMSON</t>
  </si>
  <si>
    <t>parasol-para-terraza-300-cm-2</t>
  </si>
  <si>
    <t>928-0010</t>
  </si>
  <si>
    <t>PARASOL CARACAS 300 / CARACAS PARASOL 300 / PARASOL CARACAS 300</t>
  </si>
  <si>
    <t>base-de-parasol-25-kg</t>
  </si>
  <si>
    <t>921-0026</t>
  </si>
  <si>
    <t>BASE DE PARASOL 25KG</t>
  </si>
  <si>
    <t>set-losas-cemento-para-base-de-parasol</t>
  </si>
  <si>
    <t>921-0009</t>
  </si>
  <si>
    <t>JUEGO 4 LOSAS CEMENTO BASE PARASOL GRANITE</t>
  </si>
  <si>
    <t>balancin-jardin-exterior-148194-cm</t>
  </si>
  <si>
    <t>557-010143</t>
  </si>
  <si>
    <t>BALANCÍN SIDNEY</t>
  </si>
  <si>
    <t>banco-jardin-con-mesa-integrada-220-cm</t>
  </si>
  <si>
    <t>557-010947</t>
  </si>
  <si>
    <t>YULIEN BANCO CON MESA / YULIEN BENCH WITH TABLE / BANC YULIEN AVEC TABLE</t>
  </si>
  <si>
    <t>banco-de-exterior-150-cm</t>
  </si>
  <si>
    <t>557-010016</t>
  </si>
  <si>
    <t>GULLIVER BANCO / GULLIVER BENCH / BANC GULLIVER</t>
  </si>
  <si>
    <t>banco-de-exterior-108-cm</t>
  </si>
  <si>
    <t>557-011350</t>
  </si>
  <si>
    <t>SEVILLA BANCO / SEVILLA BENCH / BANC SEVILLA</t>
  </si>
  <si>
    <t>Balliu</t>
  </si>
  <si>
    <t>balliu-tumbona-de-exterior-resina-923110d9</t>
  </si>
  <si>
    <t>BALLIU_EVA_PRO_TUMBONA_CHASIS_BLANCO_TA_923110D9</t>
  </si>
  <si>
    <t>Tumbona de exterior resina</t>
  </si>
  <si>
    <t>balliu-tumbona-de-exterior-resina-73-cm-b19af1ea</t>
  </si>
  <si>
    <t>BALLIU_EVA_PRO_TUMBONA_CHASIS_BLANCO_TE_B19AF1EA</t>
  </si>
  <si>
    <t>balliu-tumbona-de-exterior-resina-ddeeef3f</t>
  </si>
  <si>
    <t>BALLIU_EVA_PRO_TUMBONA_CHASIS_PRESTIGE__DDEEEF3F</t>
  </si>
  <si>
    <t>balliu-tumbona-de-exterior-resina-75-cm-009e68e4</t>
  </si>
  <si>
    <t>BALLIU_CARMEN_TUMBONA_CHASIS_BLANCO_TA_ADD04DFC</t>
  </si>
  <si>
    <t>Tumbona de exterior resina | 75 cm</t>
  </si>
  <si>
    <t>BALLIU_CARMEN_TUMBONA_CHASIS_PRESTIGE__3B908F70</t>
  </si>
  <si>
    <t>BALLIU_CARMEN_TUMBONA_CHASIS_BLANCO_TE_009E68E4</t>
  </si>
  <si>
    <t>BALLIU_CARMEN_TUMBONA_CHASIS_PRESTIGE__16A6D4DB</t>
  </si>
  <si>
    <t>balliu-tumbona-de-exterior-resina-75-cm-aca076ae</t>
  </si>
  <si>
    <t>BALLIU_LOLA_TUMBONA_CHASIS_BLANCO_TA_3D8CA52F</t>
  </si>
  <si>
    <t>BALLIU_LOLA_TUMBONA_CHASIS_PRESTIGE__9F313C12</t>
  </si>
  <si>
    <t>BALLIU_LOLA_TUMBONA_CHASIS_BLANCO_TE_ACA076AE</t>
  </si>
  <si>
    <t>BALLIU_LOLA_TUMBONA_CHASIS_PRESTIGE__B52B3A7F</t>
  </si>
  <si>
    <t>Tumbona de exterior resina | 73 cm</t>
  </si>
  <si>
    <t>balliu-tumbona-de-exterior-resina-73-cm-32a6c0ea</t>
  </si>
  <si>
    <t>BALLIU_EVA_PRO_TUMBONA_CHASIS_BLANCO_TA_32A6C0EA</t>
  </si>
  <si>
    <t>balliu-tumbona-de-exterior-resina-73-cm-d369d964</t>
  </si>
  <si>
    <t>BALLIU_EVA_RG_TUMBONA_CHASIS_BLANCO_TE_D369D964</t>
  </si>
  <si>
    <t>BALLIU_EVA_RG_TUMBONA_CHASIS_ARENA_TEL_D8285FFB</t>
  </si>
  <si>
    <t>balliu-tumbona-de-exterior-resina-73-cm-0648657b</t>
  </si>
  <si>
    <t>BALLIU_EVA_RTG_TUMBONA_CHASIS_BLANCO_TA_0648657B</t>
  </si>
  <si>
    <t>balliu-tumbona-de-exterior-resina-28ff014d</t>
  </si>
  <si>
    <t>BALLIU_NOA_TUMBONA_CHASIS_BLANCO_TE_28FF014D</t>
  </si>
  <si>
    <t>BALLIU_NOA_TUMBONA_CHASIS_PRESTIGE__E5BE2A33</t>
  </si>
  <si>
    <t>balliu-tumbona-de-exterior-sin-ruedas-aluminio-da3f5c24</t>
  </si>
  <si>
    <t>BALLIU_OLIMPIA_TUMBONA_SIN_RUEDAS_DA3F5C24</t>
  </si>
  <si>
    <t>Tumbona de exterior sin ruedas aluminio</t>
  </si>
  <si>
    <t>BALLIU_OLIMPIA_TUMBONA_CON_RUEDAS_82D4D0A8</t>
  </si>
  <si>
    <t>Tumbona de exterior con ruedas aluminio</t>
  </si>
  <si>
    <t>balliu-tumbona-de-exterior-aluminio-36870d09</t>
  </si>
  <si>
    <t>BALLIU_ETNA_TUMBONA_TELA_BALLIU_36870D09</t>
  </si>
  <si>
    <t>Tumbona de exterior aluminio</t>
  </si>
  <si>
    <t>BALLIU_ETNA_TUMBONA_TELA_BALLIU_CON__AFBA154C</t>
  </si>
  <si>
    <t>balliu-tumbona-de-exterior-aluminio-d08586c1</t>
  </si>
  <si>
    <t>BALLIU_ETNA_ALTA_TUMBONA_AL_TELA_BALLIU_D08586C1</t>
  </si>
  <si>
    <t>BALLIU_ETNA_ALTA_TUMBONA_AL_TELA_BALLIU_CON__9E0F219D</t>
  </si>
  <si>
    <t>balliu-tumbona-de-exterior-con-ruedas-aluminio-58-cm-9064b7b9</t>
  </si>
  <si>
    <t>BALLIU_IRIS_TUMBONA_CON_RUEDAS_9064B7B9</t>
  </si>
  <si>
    <t>Tumbona de exterior con ruedas aluminio | 58 cm</t>
  </si>
  <si>
    <t>balliu-tumbona-de-exterior-aluminio-68-cm-f7ab4da8</t>
  </si>
  <si>
    <t>BALLIU_MARINA_TUMBONA_TELA_BALLIU_F7AB4DA8</t>
  </si>
  <si>
    <t>Tumbona de exterior aluminio | 68 cm</t>
  </si>
  <si>
    <t>balliu-tumbona-de-exterior-20620134</t>
  </si>
  <si>
    <t>BALLIU_ALBA_TUMBONA_TELA_BALLIU_20620134</t>
  </si>
  <si>
    <t>Tumbona de exterior</t>
  </si>
  <si>
    <t>balliu-mini-tumbona-de-exterior-aluminio-62-cm-5a6f53eb</t>
  </si>
  <si>
    <t>BALLIU_CANNES_MINI_TUMBONA_MINI_TUMBONA_CAN_5A6F53EB</t>
  </si>
  <si>
    <t>Mini tumbona de exterior aluminio | 62 cm</t>
  </si>
  <si>
    <t>balliu-mini-tumbona-de-exterior-madera-59-cm-fa211c70</t>
  </si>
  <si>
    <t>BALLIU_BRISTOL_MINI_TUMBONA_MINI_TUMBONA_BRI_FA211C70</t>
  </si>
  <si>
    <t>Mini tumbona de exterior madera | 59 cm</t>
  </si>
  <si>
    <t>balliu-mini-tumbona-de-exterior-aluminio-57-cm-98ab84ce</t>
  </si>
  <si>
    <t>BALLIU_MARINA_MINI_TUMBONA_MINI_TUMBONA_MAR_98AB84CE</t>
  </si>
  <si>
    <t>Mini tumbona de exterior aluminio | 57 cm</t>
  </si>
  <si>
    <t>balliu-cama-balinesa-exterior-aluminio-estilo-sofisticado-160-cm-2bd3a7a4</t>
  </si>
  <si>
    <t>BALLIU_AURA_CAMA_BALINESA_TELA_NAUTICA_2BD3A7A4</t>
  </si>
  <si>
    <t>Cama balinesa exterior aluminio · estilo sofisticado | 160 cm</t>
  </si>
  <si>
    <t>balliu-cama-balinesa-exterior-aluminio-estilo-minimalista-198-cm-dcaf71d8</t>
  </si>
  <si>
    <t>BALLIU_ALMA_CAMA_BALINESA_TELA_NAUTICA_DCAF71D8</t>
  </si>
  <si>
    <t>Cama balinesa exterior aluminio · estilo minimalista | 198 cm</t>
  </si>
  <si>
    <t>balliu-taburete-exterior-aluminio-estilo-elegante-56-cm-a66b4a0a</t>
  </si>
  <si>
    <t>BALLIU_ETNA_SILLA_TABURETE_ETNA_AL_A66B4A0A</t>
  </si>
  <si>
    <t>Taburete exterior aluminio · estilo elegante | 56 cm</t>
  </si>
  <si>
    <t>balliu-silla-exterior-con-brazos-aluminio-estilo-elegante-56-cm-5c88bd77</t>
  </si>
  <si>
    <t>BALLIU_ETNA_SILLA_CON_BRAZOS_5C88BD77</t>
  </si>
  <si>
    <t>Silla exterior con brazos aluminio · estilo elegante | 56 cm</t>
  </si>
  <si>
    <t>balliu-silla-exterior-con-brazos-aluminio-estilo-elegante-56-cm-eaf4a34a</t>
  </si>
  <si>
    <t>BALLIU_ETNA_SILLA_ALTA_CON_BRAZOS_EAF4A34A</t>
  </si>
  <si>
    <t>balliu-silla-exterior-resina-estilo-minimalista-484cbea0</t>
  </si>
  <si>
    <t>BALLIU_DUNA_SILLA_BLANCA_484CBEA0</t>
  </si>
  <si>
    <t>Silla exterior resina · estilo minimalista</t>
  </si>
  <si>
    <t>BALLIU_DUNA_SILLA_COLOR_NEGRO_TORT_611D28CC</t>
  </si>
  <si>
    <t>balliu-silla-exterior-resina-estilo-clasico-57-cm-8164cc65</t>
  </si>
  <si>
    <t>BALLIU_BIMBA_SILLA_BLANCA_8164CC65</t>
  </si>
  <si>
    <t>Silla exterior resina · estilo clásico | 57 cm</t>
  </si>
  <si>
    <t>BALLIU_BIMBA_SILLA_NEGRA_5F329445</t>
  </si>
  <si>
    <t>balliu-silla-exterior-resina-estilo-funcional-0b607ec7</t>
  </si>
  <si>
    <t>BALLIU_SELVA_SILLA_BLANCA_0B607EC7</t>
  </si>
  <si>
    <t>Silla exterior resina · estilo funcional</t>
  </si>
  <si>
    <t>BALLIU_SELVA_SILLA_COLOR_5FDA60B0</t>
  </si>
  <si>
    <t>balliu-silla-exterior-sin-brazos-resina-estilo-contemporaneo-49-cm-af080e9c</t>
  </si>
  <si>
    <t>BALLIU_BRUNA_SILLA_SIN_BRAZOS_AF080E9C</t>
  </si>
  <si>
    <t>Silla exterior sin brazos resina · estilo contemporáneo | 49 cm</t>
  </si>
  <si>
    <t>BALLIU_BRUNA_SILLA_CON_BRAZOS_D52BECC5</t>
  </si>
  <si>
    <t>Silla exterior con brazos resina · estilo contemporáneo | 49 cm</t>
  </si>
  <si>
    <t>balliu-silla-exterior-sin-brazos-resina-estilo-funcional-daabcdaf</t>
  </si>
  <si>
    <t>BALLIU_VERA_SILLA_SIN_BRAZOS_DAABCDAF</t>
  </si>
  <si>
    <t>Silla exterior sin brazos resina · estilo funcional</t>
  </si>
  <si>
    <t>BALLIU_VERA_SILLA_CON_BRAZOS_75353330</t>
  </si>
  <si>
    <t>Silla exterior con brazos resina · estilo funcional</t>
  </si>
  <si>
    <t>BALLIU_VERA_SILLA_L_CON_BRAZOS_51F30794</t>
  </si>
  <si>
    <t>balliu-silla-exterior-sin-brazos-estilo-contemporaneo-53-cm-cd07e7d6</t>
  </si>
  <si>
    <t>BALLIU_SILLA_VENUS_SIN_BRAZOS_CD07E7D6</t>
  </si>
  <si>
    <t>Silla exterior sin brazos · estilo contemporáneo | 53 cm</t>
  </si>
  <si>
    <t>balliu-silla-exterior-con-brazos-estilo-contemporaneo-53-cm-c654c52f</t>
  </si>
  <si>
    <t>BALLIU_SILLA_VENUS_CON_BRAZOS_C654C52F</t>
  </si>
  <si>
    <t>Silla exterior con brazos · estilo contemporáneo | 53 cm</t>
  </si>
  <si>
    <t>balliu-silla-exterior-con-brazos-resina-estilo-funcional-94b6e5b5-2</t>
  </si>
  <si>
    <t>BALLIU_BRUNA_SILLA_CON_BRAZ_94B6E5B5</t>
  </si>
  <si>
    <t>balliu-silla-exterior-con-brazos-aluminio-estilo-elegante-58-cm-bc0c02ec</t>
  </si>
  <si>
    <t>BALLIU_MILA_SILLA_CON_BRAZOS_BC0C02EC</t>
  </si>
  <si>
    <t>Silla exterior con brazos aluminio · estilo elegante | 58 cm</t>
  </si>
  <si>
    <t>balliu-silla-exterior-aluminio-estilo-contemporaneo-afd89221</t>
  </si>
  <si>
    <t>BALLIU_GRETA_SILLA_ALUMINIO_AFD89221</t>
  </si>
  <si>
    <t>Silla exterior aluminio · estilo contemporáneo</t>
  </si>
  <si>
    <t>balliu-mesa-exterior-aluminio-9e30ca7f</t>
  </si>
  <si>
    <t>BALLIU_GRETA_MESA_TABLERO_ALUMINIO_9E30CA7F</t>
  </si>
  <si>
    <t>Mesa exterior aluminio</t>
  </si>
  <si>
    <t>balliu-mesa-exterior-5d0fb586</t>
  </si>
  <si>
    <t>BALLIU_MINI_MESA_COLOR_BLANCO_5D0FB586</t>
  </si>
  <si>
    <t>Mesa exterior</t>
  </si>
  <si>
    <t>balliu-mesa-exterior-1cf4d3d5</t>
  </si>
  <si>
    <t>BALLIU_MINI_MESA_COLOR_NATURAL_PR_1CF4D3D5</t>
  </si>
  <si>
    <t>balliu-mesa-auxiliar-exterior-resina-48-cm-de421a42</t>
  </si>
  <si>
    <t>BALLIU_EVA_PRO_MINI_MESA_AU_COLOR_BLANCO_DE421A42</t>
  </si>
  <si>
    <t>Mesa auxiliar exterior resina | 48 cm</t>
  </si>
  <si>
    <t>balliu-mesa-auxiliar-exterior-resina-48-cm-911a77ba</t>
  </si>
  <si>
    <t>BALLIU_EVA_PRO_MINI_MESA_AU_COLOR_NATURAL_PR_911A77BA</t>
  </si>
  <si>
    <t>balliu-mesa-auxiliar-exterior-resina-48-cm-35554775</t>
  </si>
  <si>
    <t>BALLIU_EVA_PRO_BCN_MESA_AUX_COLOR_BLANCO_35554775</t>
  </si>
  <si>
    <t>balliu-mesa-auxiliar-exterior-resina-48-cm-25cd2ede</t>
  </si>
  <si>
    <t>BALLIU_EVA_PRO_BCN_MESA_AUX_COLOR_NATURAL_PR_25CD2EDE</t>
  </si>
  <si>
    <t>balliu-mesa-auxiliar-exterior-aluminio-54-cm-6c7a42d9</t>
  </si>
  <si>
    <t>BALLIU_OLIMPIA_MESA_AUXILIA_TELA_BALLIU_6C7A42D9</t>
  </si>
  <si>
    <t>Mesa auxiliar exterior aluminio | 54 cm</t>
  </si>
  <si>
    <t>balliu-mesa-auxiliar-exterior-aluminio-90b11e5b</t>
  </si>
  <si>
    <t>BALLIU_NOA_MESA_AUXILIAR_COLOR_BLANCO_90B11E5B</t>
  </si>
  <si>
    <t>Mesa auxiliar exterior aluminio</t>
  </si>
  <si>
    <t>balliu-mesa-auxiliar-exterior-aluminio-27ce9446</t>
  </si>
  <si>
    <t>BALLIU_NOA_MESA_AUXILIAR_COLOR_NATURAL_PR_27CE9446</t>
  </si>
  <si>
    <t>balliu-mesa-auxiliar-exterior-aluminio-60-cm-9c991818</t>
  </si>
  <si>
    <t>BALLIU_ETNA_MESA_AUXILIAR_TABLERO_HPL_C5331CE8</t>
  </si>
  <si>
    <t>Mesa auxiliar exterior aluminio | 60 cm</t>
  </si>
  <si>
    <t>BALLIU_ETNA_MESA_AUXILIAR_TABLERO_HPL_GD_7664D255</t>
  </si>
  <si>
    <t>BALLIU_ETNA_MESA_AUXILIAR_DIAMETRO_60_WERZ_9C991818</t>
  </si>
  <si>
    <t>balliu-mesa-exterior-resina-70-cm-33ce1613</t>
  </si>
  <si>
    <t>BALLIU_SELVA_MESA_DIAMETRO_70_WERZ_33CE1613</t>
  </si>
  <si>
    <t>Mesa exterior resina | Ø70 cm</t>
  </si>
  <si>
    <t>balliu-mesa-exterior-resina-80-cm-eb565c3e</t>
  </si>
  <si>
    <t>BALLIU_SELVA_MESA_DIAMETRO_80_WERZ_EB565C3E</t>
  </si>
  <si>
    <t>Mesa exterior resina | Ø80 cm</t>
  </si>
  <si>
    <t>balliu-mesa-exterior-resina-90-cm-871df608</t>
  </si>
  <si>
    <t>BALLIU_SELVA_MESA_DIAMETRO_90_WERZ_871DF608</t>
  </si>
  <si>
    <t>Mesa exterior resina | Ø90 cm</t>
  </si>
  <si>
    <t>balliu-mesa-exterior-resina-7070-cm-7ab14c9a</t>
  </si>
  <si>
    <t>BALLIU_SELVA_MESA_70_X_70_WERZALIT_7AB14C9A</t>
  </si>
  <si>
    <t>Mesa exterior resina | 70×70 cm</t>
  </si>
  <si>
    <t>balliu-mesa-exterior-resina-8080-cm-1a5a5005</t>
  </si>
  <si>
    <t>BALLIU_SELVA_MESA_80_X_80_WERZALIT_1A5A5005</t>
  </si>
  <si>
    <t>Mesa exterior resina | 80×80 cm</t>
  </si>
  <si>
    <t>balliu-mesa-exterior-resina-12080-cm-747885bd</t>
  </si>
  <si>
    <t>BALLIU_SELVA_MESA_120_X_80_WERZALI_747885BD</t>
  </si>
  <si>
    <t>Mesa exterior resina | 120×80 cm</t>
  </si>
  <si>
    <t>balliu-mesa-exterior-aluminio-8080-cm-ef580ae2</t>
  </si>
  <si>
    <t>BALLIU_BRUNEI_MESA_80X80_TABLERO_HP_EF580AE2</t>
  </si>
  <si>
    <t>Mesa exterior aluminio | 80×80 cm</t>
  </si>
  <si>
    <t>BALLIU_BRUNEI_MESA_80X80_TABLERO_HP_FCE3B8BD</t>
  </si>
  <si>
    <t>BALLIU_BRUNEI_MESA_130X80_TABLERO_H_DF7C872B</t>
  </si>
  <si>
    <t>Mesa exterior aluminio | 130×80 cm</t>
  </si>
  <si>
    <t>BALLIU_BRUNEI_MESA_130X80_TABLERO_H_5068224E</t>
  </si>
  <si>
    <t>BALLIU_BRUNEI_MESA_160X90_TABLERO_H_11303F43</t>
  </si>
  <si>
    <t>Mesa exterior aluminio | 160×90 cm</t>
  </si>
  <si>
    <t>BALLIU_BRUNEI_MESA_160X90_TABLERO_H_C39E3349</t>
  </si>
  <si>
    <t>BALLIU_BRUNEI_MESA_190X90_TABLERO_H_4D2D1E60</t>
  </si>
  <si>
    <t>Mesa exterior aluminio | 190×90 cm</t>
  </si>
  <si>
    <t>BALLIU_BRUNEI_MESA_190X90_TABLERO_H_7FCC116E</t>
  </si>
  <si>
    <t>balliu-mesa-exterior-hpl-24090-cm-78358691</t>
  </si>
  <si>
    <t>BALLIU_ATLANTA_MESA_240X90_TABLERO_H_78358691</t>
  </si>
  <si>
    <t>Mesa exterior HPL | 240×90 cm</t>
  </si>
  <si>
    <t>balliu-mesa-exterior-hpl-24090-cm-d4e471c5</t>
  </si>
  <si>
    <t>BALLIU_ATLANTA_MESA_240X90_TABLERO_H_D4E471C5</t>
  </si>
  <si>
    <t>balliu-mesa-exterior-140-18090-cm-e4ec7d7c</t>
  </si>
  <si>
    <t>BALLIU_ATLANTA_MESA_140_180X90_EXTEN_E4EC7D7C</t>
  </si>
  <si>
    <t>Mesa exterior | 140/180×90 cm</t>
  </si>
  <si>
    <t>balliu-mesa-exterior-200-260100-cm-9d798e50</t>
  </si>
  <si>
    <t>BALLIU_ATLANTA_MESA_200_260X100_EXTE_9D798E50</t>
  </si>
  <si>
    <t>Mesa exterior | 200/260×100 cm</t>
  </si>
  <si>
    <t>balliu-mesa-exterior-hpl-140-180100-cm-8e073aab</t>
  </si>
  <si>
    <t>BALLIU_MESA_JAVA_140_180X100_EXTE_8E073AAB</t>
  </si>
  <si>
    <t>Mesa exterior HPL | 140/180×100 cm</t>
  </si>
  <si>
    <t>balliu-mesa-exterior-hpl-140-180100-cm-e5e3bb40</t>
  </si>
  <si>
    <t>BALLIU_MESA_JAVA_140_180X100_EXTE_E5E3BB40</t>
  </si>
  <si>
    <t>balliu-mesa-exterior-hpl-200-260100-cm-23187ea9</t>
  </si>
  <si>
    <t>BALLIU_MESA_JAVA_200_260X100_EXTE_23187EA9</t>
  </si>
  <si>
    <t>Mesa exterior HPL | 200/260×100 cm</t>
  </si>
  <si>
    <t>balliu-mesa-exterior-hpl-200-260100-cm-4a63be2f</t>
  </si>
  <si>
    <t>BALLIU_MESA_JAVA_200_260X100_EXTE_4A63BE2F</t>
  </si>
  <si>
    <t>balliu-mesa-alta-exterior-hpl-45c511e9</t>
  </si>
  <si>
    <t>BALLIU_DIAM_70_MESA_ALTA_TABLERO_HPL_45C511E9</t>
  </si>
  <si>
    <t>Mesa alta exterior HPL</t>
  </si>
  <si>
    <t>balliu-mesa-alta-exterior-hpl-f99491ce</t>
  </si>
  <si>
    <t>BALLIU_DIAM_70_MESA_ALTA_TABLERO_HPL_GD_F99491CE</t>
  </si>
  <si>
    <t>balliu-mesa-exterior-hpl-451e7ba8</t>
  </si>
  <si>
    <t>BALLIU_DIAM_70_MESA_TABLERO_HPL_451E7BA8</t>
  </si>
  <si>
    <t>Mesa exterior HPL</t>
  </si>
  <si>
    <t>balliu-mesa-exterior-hpl-3adfe773</t>
  </si>
  <si>
    <t>BALLIU_DIAM_70_MESA_TABLERO_HPL_GD_3ADFE773</t>
  </si>
  <si>
    <t>balliu-mesa-exterior-hpl-65e3ca13</t>
  </si>
  <si>
    <t>BALLIU_DIAM_80_MESA_TABLERO_HPL_65E3CA13</t>
  </si>
  <si>
    <t>balliu-mesa-exterior-hpl-1b4f3962</t>
  </si>
  <si>
    <t>BALLIU_DIAM_80_MESA_TABLERO_HPL_GD_1B4F3962</t>
  </si>
  <si>
    <t>balliu-mesa-exterior-aluminio-90-cm-22901f1b</t>
  </si>
  <si>
    <t>BALLIU_CAPRI_MESA_DIAM_90_TABLE_HP_22901F1B</t>
  </si>
  <si>
    <t>Mesa exterior aluminio | Ø90 cm</t>
  </si>
  <si>
    <t>BALLIU_CAPRI_MESA_DIAM_90_TABLE_HP_6C6DFD1C</t>
  </si>
  <si>
    <t>balliu-mesa-exterior-aluminio-7070-cm-724b0db0</t>
  </si>
  <si>
    <t>BALLIU_CAPRI_MESA_70X70_PIE_SIMPLE_724B0DB0</t>
  </si>
  <si>
    <t>Mesa exterior aluminio | 70×70 cm</t>
  </si>
  <si>
    <t>BALLIU_CAPRI_MESA_70X70_PIE_SIMPLE_A0A23F40</t>
  </si>
  <si>
    <t>BALLIU_CAPRI_MESA_80X80_PIE_SIMPLE_2A80CB3A</t>
  </si>
  <si>
    <t>BALLIU_CAPRI_MESA_80X80_PIE_SIMPLE_8CA835FF</t>
  </si>
  <si>
    <t>BALLIU_CAPRI_MESA_120X80_PIE_DOBLE_5C848C82</t>
  </si>
  <si>
    <t>Mesa exterior aluminio | 120×80 cm</t>
  </si>
  <si>
    <t>BALLIU_CAPRI_MESA_120X80_PIE_DOBLE_798DCADF</t>
  </si>
  <si>
    <t>BALLIU_CAPRI_MESA_120X80_PIE_DOBLE_3C3BF077</t>
  </si>
  <si>
    <t>BALLIU_CAPRI_MESA_120X80_PIE_DOBLE_05C442CF</t>
  </si>
  <si>
    <t>balliu-mesa-alta-exterior-hpl-a3352658-2</t>
  </si>
  <si>
    <t>BALLIU_60X60_MESA_ALTA_TABLERO_HPL_GD_A3352658</t>
  </si>
  <si>
    <t>balliu-mesa-alta-exterior-hpl-94512eab</t>
  </si>
  <si>
    <t>BALLIU_70X70_MESA_ALTA_TABLERO_HPL_94512EAB</t>
  </si>
  <si>
    <t>balliu-mesa-alta-exterior-hpl-5d74130e</t>
  </si>
  <si>
    <t>BALLIU_70X70_MESA_ALTA_TABLERO_HPL_GD_5D74130E</t>
  </si>
  <si>
    <t>balliu-mesa-exterior-hpl-7070-cm-9d14e31f</t>
  </si>
  <si>
    <t>BALLIU_SOFIA_MESA_70X70_TABLERO_HP_9D14E31F</t>
  </si>
  <si>
    <t>Mesa exterior HPL | 70×70 cm</t>
  </si>
  <si>
    <t>balliu-mesa-exterior-hpl-7070-cm-146f72ca</t>
  </si>
  <si>
    <t>BALLIU_SOFIA_MESA_70X70_TABLERO_HP_146F72CA</t>
  </si>
  <si>
    <t>balliu-mesa-exterior-hpl-8080-cm-1a2fe7b5</t>
  </si>
  <si>
    <t>BALLIU_SOFIA_MESA_80X80_TABLERO_HP_1A2FE7B5</t>
  </si>
  <si>
    <t>Mesa exterior HPL | 80×80 cm</t>
  </si>
  <si>
    <t>balliu-mesa-exterior-hpl-8080-cm-96593887</t>
  </si>
  <si>
    <t>BALLIU_SOFIA_MESA_80X80_TABLERO_HP_96593887</t>
  </si>
  <si>
    <t>balliu-mesa-exterior-hpl-7070-cm-f6074154</t>
  </si>
  <si>
    <t>BALLIU_SOFIA_MESA_70X70_HPL_F6074154</t>
  </si>
  <si>
    <t>balliu-mesa-exterior-aluminio-7070-cm-1b61e6b6</t>
  </si>
  <si>
    <t>BALLIU_ALTEA_MESA_70_X_70_HPL_GD_1B61E6B6</t>
  </si>
  <si>
    <t>balliu-mesa-exterior-aluminio-8080-cm-a05618ad</t>
  </si>
  <si>
    <t>BALLIU_ALTEA_MESA_80_X_80_HPL_A05618AD</t>
  </si>
  <si>
    <t>balliu-mesa-exterior-aluminio-8080-cm-0a3ee957</t>
  </si>
  <si>
    <t>BALLIU_ALTEA_MESA_80_X_80_HPL_GD_0A3EE957</t>
  </si>
  <si>
    <t>balliu-mesa-exterior-aluminio-80-cm-50525e0b</t>
  </si>
  <si>
    <t>BALLIU_ALTEA_MESA_DIAM_80_HPL_50525E0B</t>
  </si>
  <si>
    <t>Mesa exterior aluminio | Ø80 cm</t>
  </si>
  <si>
    <t>balliu-mesa-exterior-aluminio-80-cm-b06218ca</t>
  </si>
  <si>
    <t>BALLIU_ALTEA_MESA_DIAM_80_HPL_GD_B06218CA</t>
  </si>
  <si>
    <t>balliu-mesa-exterior-aluminio-12080-cm-bf75a33d</t>
  </si>
  <si>
    <t>BALLIU_ALTEA_MESA_120_X_80_HPL_BF75A33D</t>
  </si>
  <si>
    <t>balliu-mesa-exterior-aluminio-75-cm-d7ab6e04</t>
  </si>
  <si>
    <t>BALLIU_AGATA_MESA_120_X_80_HPL_GD_D7AB6E04</t>
  </si>
  <si>
    <t>Mesa exterior aluminio | 75 cm</t>
  </si>
  <si>
    <t>balliu-mesa-exterior-aluminio-75-cm-dd745448</t>
  </si>
  <si>
    <t>BALLIU_AGATA_MESA_70X70_ENCIMERA_A_DD745448</t>
  </si>
  <si>
    <t>balliu-mesa-exterior-aluminio-75-cm-c0092e17</t>
  </si>
  <si>
    <t>BALLIU_AGATA_MESA_180_X_90_ENCIMER_C0092E17</t>
  </si>
  <si>
    <t>balliu-mesa-exterior-aluminio-72-cm-72514f40</t>
  </si>
  <si>
    <t>BALLIU_NORA_MESA_DIAMETRO_70_ALUM_72514F40</t>
  </si>
  <si>
    <t>Mesa exterior aluminio | 72 cm</t>
  </si>
  <si>
    <t>balliu-sofa-exterior-3-plazas-aluminio-estilo-elegante-62-cm-5e2ef268</t>
  </si>
  <si>
    <t>BALLIU_OLIMPIA_SOFA_INDIVIDUAL_TELA__5E2EF268</t>
  </si>
  <si>
    <t>Sofá exterior 3 plazas aluminio · estilo elegante | 62 cm</t>
  </si>
  <si>
    <t>BALLIU_OLIMPIA_SOFA_DOBLE_TELA_BALLI_4C82D31E</t>
  </si>
  <si>
    <t>BALLIU_OLIMPIA_SOFA_TRIPLE_TELA_BALL_CACE2317</t>
  </si>
  <si>
    <t>balliu-mesa-auxiliar-exterior-aluminio-54-cm-19d3d0ee</t>
  </si>
  <si>
    <t>BALLIU_OLIMPIA_MESA_AUXILIA_CENTRAL_TABLERO__19D3D0EE</t>
  </si>
  <si>
    <t>balliu-mesa-auxiliar-exterior-aluminio-54-cm-9e2a2ecb</t>
  </si>
  <si>
    <t>BALLIU_OLIMPIA_MESA_AUXILIA_CENTRAL_TABLERO__9E2A2ECB</t>
  </si>
  <si>
    <t>balliu-mesa-auxiliar-exterior-aluminio-54-cm-5ad43bf2</t>
  </si>
  <si>
    <t>BALLIU_OLIMPIA_MESA_AUXILIA_ESQUINERA_TABLER_5AD43BF2</t>
  </si>
  <si>
    <t>balliu-mesa-auxiliar-exterior-aluminio-54-cm-2ad5a2df</t>
  </si>
  <si>
    <t>BALLIU_OLIMPIA_MESA_AUXILIA_ESQUINERA_TABLER_2AD5A2DF</t>
  </si>
  <si>
    <t>balliu-sofa-exterior-3-plazas-aluminio-estilo-contemporaneo-77-cm-674ab9a1</t>
  </si>
  <si>
    <t>BALLIU_ETNA_SOFA_INDIVIDUAL_ACRIL_674AB9A1</t>
  </si>
  <si>
    <t>Sofá exterior 3 plazas aluminio · estilo contemporáneo | 77 cm</t>
  </si>
  <si>
    <t>BALLIU_ETNA_SOFA_DOBLE_ACRILICO_AED77E2A</t>
  </si>
  <si>
    <t>BALLIU_ETNA_SOFA_TRIPLE_ACRILICO_E58D825A</t>
  </si>
  <si>
    <t>balliu-mesa-de-centro-exterior-aluminio-60-cm-510b363e</t>
  </si>
  <si>
    <t>BALLIU_ETNA_MESA_CENTRAL_TABLERO_HPL_510B363E</t>
  </si>
  <si>
    <t>Mesa de centro exterior aluminio | 60 cm</t>
  </si>
  <si>
    <t>BALLIU_ETNA_MESA_CENTRAL_TABLERO_HPL_GD_BC53F712</t>
  </si>
  <si>
    <t>balliu-parasol-para-terraza-acrilico-236bd5f0-3</t>
  </si>
  <si>
    <t>BALLIU_PARASOL_TELA_ACRILICA_236BD5F0</t>
  </si>
  <si>
    <t>Parasol para terraza acrílico</t>
  </si>
  <si>
    <t>balliu-parasol-para-terraza-82e48b2d-3</t>
  </si>
  <si>
    <t>BALLIU_PARASOL_TELA_BALLIU_82E48B2D</t>
  </si>
  <si>
    <t>Parasol para terraza</t>
  </si>
  <si>
    <t>balliu-parasol-para-terraza-f1ed8b8b</t>
  </si>
  <si>
    <t>BALLIU_PARASOL_TELA_BALLIU_250__F1ED8B8B</t>
  </si>
  <si>
    <t>balliu-parasol-para-terraza-acrilico-c8dd492d</t>
  </si>
  <si>
    <t>BALLIU_PARASOL_TELA_ACRILICA_25_C8DD492D</t>
  </si>
  <si>
    <t>balliu-parasol-para-terraza-aluminio-300-cm-3b7e77d1</t>
  </si>
  <si>
    <t>BALLIU_GARBI_PARASOL_DIAM_300_CM_TELA_3B7E77D1</t>
  </si>
  <si>
    <t>Parasol para terraza aluminio | Ø300 cm</t>
  </si>
  <si>
    <t>balliu-parasol-para-terraza-aluminio-300-cm-0ceba8e7</t>
  </si>
  <si>
    <t>BALLIU_BRISA_PARASOL_PARASOL_TELA_BAL_0CEBA8E7</t>
  </si>
  <si>
    <t>Parasol para terraza aluminio | 300 cm</t>
  </si>
  <si>
    <t>balliu-parasol-para-terraza-aluminio-300-cm-6c1e1224</t>
  </si>
  <si>
    <t>BALLIU_ROMA_PARASOL_300X300_CM_6C1E1224</t>
  </si>
  <si>
    <t>balliu-accesorio-exterior-resina-da11d420</t>
  </si>
  <si>
    <t>BALLIU_PASARELA_RESINA_RECI_METRO_PASARELA_B_DA11D420</t>
  </si>
  <si>
    <t>Accesorio exterior resina</t>
  </si>
  <si>
    <t>balliu-accesorio-exterior-resina-df85d2d1</t>
  </si>
  <si>
    <t>BALLIU_PASARELA_RESINA_METRO_PASARELA_1_DF85D2D1</t>
  </si>
  <si>
    <t>balliu-colchoneta-para-tumbona-0e9a3256</t>
  </si>
  <si>
    <t>BALLIU_COLCHONETA_TUMBONA_TEJIDO_ACRILICO_26977CB8</t>
  </si>
  <si>
    <t>Colchoneta para tumbona acrílico</t>
  </si>
  <si>
    <t>BALLIU_COLCHONETA_TUMBONA_TELA_BALLIU_GUAT_0E9A3256</t>
  </si>
  <si>
    <t>Colchoneta para tumbona</t>
  </si>
  <si>
    <t>BALLIU_COLCHONETA_TUMBONA_TELA_BALLIU_DRYF_41269616</t>
  </si>
  <si>
    <t>balliu-mobiliario-exterior-resina-28-cm-6264905d</t>
  </si>
  <si>
    <t>BALLIU_WEGUARD_CAJA_DE_SEGU_6264905D</t>
  </si>
  <si>
    <t>Mobiliario exterior resina | 28 cm</t>
  </si>
  <si>
    <t>balliu-pie-de-parasol-c2147052</t>
  </si>
  <si>
    <t>BALLIU_PIE_PARASOL_40_KG_C2147052</t>
  </si>
  <si>
    <t>Pie de parasol</t>
  </si>
  <si>
    <t>balliu-pie-de-parasol-fab3cac6</t>
  </si>
  <si>
    <t>BALLIU_PIE_PARASOL_40_KG_RE_FAB3CAC6</t>
  </si>
  <si>
    <t>balliu-base-de-parasol-3ee8b72d</t>
  </si>
  <si>
    <t>BALLIU_BASE_HORMIGON_25_KG_3EE8B72D</t>
  </si>
  <si>
    <t>Base de parasol</t>
  </si>
  <si>
    <t>balliu-base-de-parasol-890a4cd4</t>
  </si>
  <si>
    <t>BALLIU_BASE_HORMIGON_30_KG_890A4CD4</t>
  </si>
  <si>
    <t>balliu-funda-protectora-exterior-686cc405</t>
  </si>
  <si>
    <t>BALLIU_FUNDA_TUMBONA_12_UNIDADES_D7D20AB0</t>
  </si>
  <si>
    <t>Funda protectora exterior</t>
  </si>
  <si>
    <t>BALLIU_FUNDA_TUMBONA_24_UNIDADES_287BB1C0</t>
  </si>
  <si>
    <t>BALLIU_FUNDA_TUMBONA_2_UNIDADES_686CC405</t>
  </si>
  <si>
    <t>balliu-funda-protectora-exterior-acrilico-a1c16324</t>
  </si>
  <si>
    <t>BALLIU_FUNDA_PARASOL_1_UNIDADES_ACRIL_A1C16324</t>
  </si>
  <si>
    <t>Funda protectora exterior acrílico</t>
  </si>
  <si>
    <t>balliu-funda-protectora-exterior-6f6d4953</t>
  </si>
  <si>
    <t>BALLIU_FUNDA_SOFA_SOFA_INDIVIDUAL_6F6D4953</t>
  </si>
  <si>
    <t>BALLIU_FUNDA_SOFA_SOFA_DOBLE_0595C4C0</t>
  </si>
  <si>
    <t>BALLIU_FUNDA_SOFA_SOFA_TRIPLE_852AF1C6</t>
  </si>
  <si>
    <t>balliu-funda-protectora-exterior-340b2844</t>
  </si>
  <si>
    <t>BALLIU_FUNDA_SILLA_6_UNIDADES_340B2844</t>
  </si>
  <si>
    <t>balliu-cojin-exterior-523e5ae9</t>
  </si>
  <si>
    <t>BALLIU_COJIN_40X40_COJIN_CUADRAL_523E5AE9</t>
  </si>
  <si>
    <t>Cojín exterior</t>
  </si>
  <si>
    <t>balliu-limpiador-para-mobiliario-exterior-d0d3fc26</t>
  </si>
  <si>
    <t>BALLIU_PRODUCTO_LIMPIADOR_LIMPIADOR_TUMBON_D0D3FC26</t>
  </si>
  <si>
    <t>Limpiador para mobiliario exterior</t>
  </si>
  <si>
    <t>TOTAL / MEDIA</t>
  </si>
  <si>
    <t>Fecha</t>
  </si>
  <si>
    <t>Coste sin IVA €</t>
  </si>
  <si>
    <t>PVP rec. sin IVA €</t>
  </si>
  <si>
    <t>PVP con IVA 21% €</t>
  </si>
  <si>
    <t>Margen € (sin IVA)</t>
  </si>
  <si>
    <t>Margen % sobre PVP</t>
  </si>
  <si>
    <t>Markup % sobre coste</t>
  </si>
  <si>
    <t>Δ Coste €</t>
  </si>
  <si>
    <t>Δ Coste %</t>
  </si>
  <si>
    <t>Δ PVP €</t>
  </si>
  <si>
    <t>Δ PVP %</t>
  </si>
  <si>
    <t>MUNDRA 150</t>
  </si>
  <si>
    <t>2026-04-17</t>
  </si>
  <si>
    <t>2026-03-06</t>
  </si>
  <si>
    <t>2026-05-07</t>
  </si>
  <si>
    <t>MUNDRA Ø100</t>
  </si>
  <si>
    <t>PARASOL VIENA 300</t>
  </si>
  <si>
    <t>AVALON-3</t>
  </si>
  <si>
    <t>SILLA CÓRCEGA 3</t>
  </si>
  <si>
    <t>PARASOL SAMSON Ø350</t>
  </si>
  <si>
    <t>SEVILLA BANCO</t>
  </si>
  <si>
    <t>ADEL-7</t>
  </si>
  <si>
    <t>CORCEGA-160x90</t>
  </si>
  <si>
    <t>DOUNVIL-1</t>
  </si>
  <si>
    <t>DOUNVIL-2</t>
  </si>
  <si>
    <t>DOUNVIL-3</t>
  </si>
  <si>
    <t>DOUNVIL-7</t>
  </si>
  <si>
    <t>DOUNVIL-8</t>
  </si>
  <si>
    <t>ADEL-30</t>
  </si>
  <si>
    <t>GULLIVER BANCO</t>
  </si>
  <si>
    <t>ACAPULCO-1</t>
  </si>
  <si>
    <t>ACAPULCO-3</t>
  </si>
  <si>
    <t>MANHATAN-1</t>
  </si>
  <si>
    <t>ACAPULCO-2</t>
  </si>
  <si>
    <t>PÉRGOLA VENECIA</t>
  </si>
  <si>
    <t>ACAPULCO-7</t>
  </si>
  <si>
    <t>ACAPULCO-8</t>
  </si>
  <si>
    <t>SILLA JANEIRO 3</t>
  </si>
  <si>
    <t>LOIRA-30</t>
  </si>
  <si>
    <t>LEISA-1</t>
  </si>
  <si>
    <t>LEISA-2</t>
  </si>
  <si>
    <t>LEISA-3</t>
  </si>
  <si>
    <t>LEISA-7</t>
  </si>
  <si>
    <t>LEISA-8</t>
  </si>
  <si>
    <t>BRESCIA-12</t>
  </si>
  <si>
    <t>MANHATAN-3</t>
  </si>
  <si>
    <t>MANHATAN-7</t>
  </si>
  <si>
    <t>MANHATAN-8</t>
  </si>
  <si>
    <t>LOIRA-7</t>
  </si>
  <si>
    <t>LOIRA-8</t>
  </si>
  <si>
    <t>HASTON-1</t>
  </si>
  <si>
    <t>HASTON-2</t>
  </si>
  <si>
    <t>HASTON-3</t>
  </si>
  <si>
    <t>HASTON-7</t>
  </si>
  <si>
    <t>HASTON-8</t>
  </si>
  <si>
    <t>MANHATAN-2</t>
  </si>
  <si>
    <t>CORCEGA-135x90</t>
  </si>
  <si>
    <t>BASE PARASOL 25KG</t>
  </si>
  <si>
    <t>BICOLOR MESA CENTRO 120</t>
  </si>
  <si>
    <t>BICOLOR MESA CENTRO 135</t>
  </si>
  <si>
    <t>BICOLOR STANDARD-55 REPOSAPIES</t>
  </si>
  <si>
    <t>DIVA-8 BICOLOR SET SOFA 3 PLAZAS</t>
  </si>
  <si>
    <t>DIVA-7 BICOLOR SET SOFA 2 PLAZAS</t>
  </si>
  <si>
    <t>YULIEN BANCO</t>
  </si>
  <si>
    <t>JUEGO LOSAS</t>
  </si>
  <si>
    <t>PARASOL CARACAS 300</t>
  </si>
  <si>
    <t>Hevea — Seguimiento de tarifas</t>
  </si>
  <si>
    <t>Última actualización: 2026-05-07  │  Fuente: proveedores_raw/hevea/*.csv</t>
  </si>
  <si>
    <t>Fechas en seguimiento: 2026-03-06 · 2026-04-17 · 2026-05-07  (3 snapshots)</t>
  </si>
  <si>
    <t>1ª aparición</t>
  </si>
  <si>
    <t>Última aparición</t>
  </si>
  <si>
    <t>Estado</t>
  </si>
  <si>
    <t>PVP rec.
sin IVA €</t>
  </si>
  <si>
    <t>PVP
con IVA €</t>
  </si>
  <si>
    <t>Margen €
(sin IVA)</t>
  </si>
  <si>
    <t>Margen %
sobre PVP</t>
  </si>
  <si>
    <t>Markup %
sobre coste</t>
  </si>
  <si>
    <t>Δ Coste %
vs anterior</t>
  </si>
  <si>
    <t>Δ Coste %
vs origen</t>
  </si>
  <si>
    <t>Nº subidas</t>
  </si>
  <si>
    <t>Tendencia</t>
  </si>
  <si>
    <t>(no en Shopify)</t>
  </si>
  <si>
    <t>DESCATALOGADO ⤺</t>
  </si>
  <si>
    <t>ACTIVO ⤺</t>
  </si>
  <si>
    <t>▁█</t>
  </si>
  <si>
    <t>ACTIVO</t>
  </si>
  <si>
    <t>▁▇█</t>
  </si>
  <si>
    <t>▁██</t>
  </si>
  <si>
    <t>ACTIVO ⚠ ⤺</t>
  </si>
  <si>
    <t>DESCATALOGADO ⚠ ⤺</t>
  </si>
  <si>
    <t>▁▅█</t>
  </si>
  <si>
    <t>▆▁█</t>
  </si>
  <si>
    <t>Variante</t>
  </si>
  <si>
    <t>Grupo</t>
  </si>
  <si>
    <t>Tipo tarifa</t>
  </si>
  <si>
    <t>Valor sin IVA €</t>
  </si>
  <si>
    <t>Valor con IVA €</t>
  </si>
  <si>
    <t>Δ vs anterior €</t>
  </si>
  <si>
    <t>Δ vs anterior %</t>
  </si>
  <si>
    <t>Agata Mesa</t>
  </si>
  <si>
    <t>180 X 90 Encimera aluminio</t>
  </si>
  <si>
    <t>G2</t>
  </si>
  <si>
    <t>COSTE</t>
  </si>
  <si>
    <t>2026-03-30</t>
  </si>
  <si>
    <t>PVP_RECOMENDADO</t>
  </si>
  <si>
    <t>70X70 Encimera aluminio</t>
  </si>
  <si>
    <t>Agora Parasol</t>
  </si>
  <si>
    <t>Parasol tela Balliu</t>
  </si>
  <si>
    <t>Parasol tela acrílica</t>
  </si>
  <si>
    <t>Alba Tumbona</t>
  </si>
  <si>
    <t>Tela Balliu</t>
  </si>
  <si>
    <t>G4</t>
  </si>
  <si>
    <t>Alma Cama Balinesa</t>
  </si>
  <si>
    <t>Tela Nautica</t>
  </si>
  <si>
    <t>Atlanta Mesa</t>
  </si>
  <si>
    <t>140/180X90 Extensible</t>
  </si>
  <si>
    <t>G3</t>
  </si>
  <si>
    <t>200/260X100 Extensible</t>
  </si>
  <si>
    <t>Aura Cama Balinesa</t>
  </si>
  <si>
    <t>Base Hormigón</t>
  </si>
  <si>
    <t>25 Kg</t>
  </si>
  <si>
    <t>30 Kg</t>
  </si>
  <si>
    <t>Bcn Mesa</t>
  </si>
  <si>
    <t>Color Blanco</t>
  </si>
  <si>
    <t>G1</t>
  </si>
  <si>
    <t>Color Natural/Prestige</t>
  </si>
  <si>
    <t>Bimba Silla</t>
  </si>
  <si>
    <t>Blanca (#1)</t>
  </si>
  <si>
    <t>Blanca (#2)</t>
  </si>
  <si>
    <t>Color negro / Tortora</t>
  </si>
  <si>
    <t>Negra</t>
  </si>
  <si>
    <t>Bristol Mini Tumbona</t>
  </si>
  <si>
    <t>Mini Tumbona Bristol (Con cojín)</t>
  </si>
  <si>
    <t>Bruna Silla</t>
  </si>
  <si>
    <t>Con Brazos</t>
  </si>
  <si>
    <t>Sin Brazos</t>
  </si>
  <si>
    <t>Brunei Mesa</t>
  </si>
  <si>
    <t>130X80 Tablero Hpl</t>
  </si>
  <si>
    <t>130X80 Tablero Hpl Gd</t>
  </si>
  <si>
    <t>160X90 Tablero Hpl</t>
  </si>
  <si>
    <t>160X90 Tablero Hpl Gd</t>
  </si>
  <si>
    <t>190X90 Tablero Hpl</t>
  </si>
  <si>
    <t>190X90 Tablero Hpl Gd</t>
  </si>
  <si>
    <t>240X90 Tablero Hpl</t>
  </si>
  <si>
    <t>240X90 Tablero Hpl Gd</t>
  </si>
  <si>
    <t>80X80 Tablero Hpl</t>
  </si>
  <si>
    <t>80X80 Tablero Hpl Gd</t>
  </si>
  <si>
    <t>Caja Seguridad</t>
  </si>
  <si>
    <t>Weguard</t>
  </si>
  <si>
    <t>Cannes Mini Tumbona</t>
  </si>
  <si>
    <t>Mini Tumbona Cannes (Con cojin)</t>
  </si>
  <si>
    <t>Capri Mesa</t>
  </si>
  <si>
    <t>120X80 Pie Doble Tablero Hpl</t>
  </si>
  <si>
    <t>120X80 Pie Doble Tablero Hpl Gd</t>
  </si>
  <si>
    <t>120X80 Pie Doble alto Tablero Hpl</t>
  </si>
  <si>
    <t>120X80 Pie Doble alto Tablero Hpl Gd</t>
  </si>
  <si>
    <t>60X60 Mesa Alta Tablero Hpl Gd (#1)</t>
  </si>
  <si>
    <t>60X60 Mesa Alta Tablero Hpl Gd (#2)</t>
  </si>
  <si>
    <t>70X70 Mesa Alta Tablero Hpl</t>
  </si>
  <si>
    <t>70X70 Mesa Alta Tablero Hpl Gd</t>
  </si>
  <si>
    <t>70X70 Pie Simple Tablero Hpl</t>
  </si>
  <si>
    <t>70X70 Pie Simple Tablero Hpl Gd</t>
  </si>
  <si>
    <t>80X80 Pie Simple Tablero Hpl</t>
  </si>
  <si>
    <t>80X80 Pie Simple Tablero Hpl Gd</t>
  </si>
  <si>
    <t>Diam. 70 Mesa Alta Tablero Hpl</t>
  </si>
  <si>
    <t>Diam. 70 Mesa Alta Tablero Hpl Gd</t>
  </si>
  <si>
    <t>Diam. 70 Mesa Tablero Hpl</t>
  </si>
  <si>
    <t>Diam. 70 Mesa Tablero Hpl Gd</t>
  </si>
  <si>
    <t>Diam. 80 Mesa Tablero Hpl</t>
  </si>
  <si>
    <t>Diam. 80 Mesa Tablero Hpl Gd</t>
  </si>
  <si>
    <t>Diam. 90 Table Hpl Table Top</t>
  </si>
  <si>
    <t>Diam. 90 Table Hpl Table Top Gd</t>
  </si>
  <si>
    <t>Carmen Tumbona</t>
  </si>
  <si>
    <t>Chasis Blanco/Tablillas</t>
  </si>
  <si>
    <t>Chasis Blanco/Tela Balliu</t>
  </si>
  <si>
    <t>Chasis Prestige/Tablillas</t>
  </si>
  <si>
    <t>Chasis Prestige/Tela Balliu</t>
  </si>
  <si>
    <t>Cojin</t>
  </si>
  <si>
    <t>40X40 Cojin cuadral</t>
  </si>
  <si>
    <t>Colchoneta Tumbona</t>
  </si>
  <si>
    <t>Tejido acrilico</t>
  </si>
  <si>
    <t>Tela Balliu / Dryfeel</t>
  </si>
  <si>
    <t>Tela Balliu / Guata</t>
  </si>
  <si>
    <t>Dalia Silla</t>
  </si>
  <si>
    <t>Etna Mesa central</t>
  </si>
  <si>
    <t>Tablero Hpl</t>
  </si>
  <si>
    <t>Tablero Hpl Gd</t>
  </si>
  <si>
    <t>Etna Silla</t>
  </si>
  <si>
    <t>Alta Con Brazos</t>
  </si>
  <si>
    <t>Taburete Etna aluminio</t>
  </si>
  <si>
    <t>Etna Tumbona</t>
  </si>
  <si>
    <t>Tela Balliu con ruedas</t>
  </si>
  <si>
    <t>Etna Tumbona alta</t>
  </si>
  <si>
    <t>Eva Pro Tumbona</t>
  </si>
  <si>
    <t>Chasis Blanco/Tablillas Mario Eskenazi</t>
  </si>
  <si>
    <t>Eva R Tumbona</t>
  </si>
  <si>
    <t>Eva RG Tumbona</t>
  </si>
  <si>
    <t>Chasis Arena/Tela Balliu</t>
  </si>
  <si>
    <t>Eva Rt Tumbona</t>
  </si>
  <si>
    <t>Eva Rtg Tumbona</t>
  </si>
  <si>
    <t>Funda Parasol</t>
  </si>
  <si>
    <t>1 Unidades acrilico</t>
  </si>
  <si>
    <t>Funda Silla</t>
  </si>
  <si>
    <t>6 Unidades</t>
  </si>
  <si>
    <t>Funda Tumbona</t>
  </si>
  <si>
    <t>12 Unidades</t>
  </si>
  <si>
    <t>2 Unidades</t>
  </si>
  <si>
    <t>24 Unidades</t>
  </si>
  <si>
    <t>Funda sofá</t>
  </si>
  <si>
    <t>Sofá doble</t>
  </si>
  <si>
    <t>Sofá individual</t>
  </si>
  <si>
    <t>sofá triple</t>
  </si>
  <si>
    <t>Greta Mesa</t>
  </si>
  <si>
    <t>Tablero Aluminio</t>
  </si>
  <si>
    <t>Greta Silla</t>
  </si>
  <si>
    <t>Aluminio</t>
  </si>
  <si>
    <t>Iris Tumbona</t>
  </si>
  <si>
    <t>Con Ruedas</t>
  </si>
  <si>
    <t>Lola Tumbona</t>
  </si>
  <si>
    <t>Marina Mini Tumbona</t>
  </si>
  <si>
    <t>Mini Tumbona Marina Fija</t>
  </si>
  <si>
    <t>Marina Tumbona</t>
  </si>
  <si>
    <t>Mesa Altea</t>
  </si>
  <si>
    <t>120 X 80 Hpl</t>
  </si>
  <si>
    <t>120 X 80 Hpl Gd</t>
  </si>
  <si>
    <t>70 X 70 Hpl Gd</t>
  </si>
  <si>
    <t>70X70 Hpl</t>
  </si>
  <si>
    <t>80 X 80 Hpl</t>
  </si>
  <si>
    <t>80 X 80 Hpl Gd</t>
  </si>
  <si>
    <t>Diam. 80 Hpl</t>
  </si>
  <si>
    <t>Diam. 80 Hpl Gd</t>
  </si>
  <si>
    <t>Mesa Auxiliar Etna</t>
  </si>
  <si>
    <t>Mesa Java</t>
  </si>
  <si>
    <t>140/180X100 Extensible Hpl</t>
  </si>
  <si>
    <t>140/180X100 Extensible Hpl Gd</t>
  </si>
  <si>
    <t>200/260X100 Extensible Hpl</t>
  </si>
  <si>
    <t>200/260X100 Extensible Hpl Gd</t>
  </si>
  <si>
    <t>Mila Silla</t>
  </si>
  <si>
    <t>Mini Mesa</t>
  </si>
  <si>
    <t>Color Natural/Prestige/Estandar</t>
  </si>
  <si>
    <t>Mini Mesa Eva Pro</t>
  </si>
  <si>
    <t>Color Natural/Pr Estige</t>
  </si>
  <si>
    <t>Noa Auxiliar Mesa</t>
  </si>
  <si>
    <t>Noa Tumbona Apilable</t>
  </si>
  <si>
    <t>Nora Mesa</t>
  </si>
  <si>
    <t>Diametro 70 Aluminio</t>
  </si>
  <si>
    <t>Ocean Parasol</t>
  </si>
  <si>
    <t>Parasol tela Balliu 250 cm.</t>
  </si>
  <si>
    <t>Parasol tela acrílica 250 cm.</t>
  </si>
  <si>
    <t>Olimpia Auxiliar Mesa</t>
  </si>
  <si>
    <t>Mesa auxiliar Tela Balliu</t>
  </si>
  <si>
    <t>Olimpia Mesa</t>
  </si>
  <si>
    <t>Central tablero Hpl</t>
  </si>
  <si>
    <t>Central tablero Hpl Gd</t>
  </si>
  <si>
    <t>Esquinera tablero Hpl</t>
  </si>
  <si>
    <t>Esquinera tablero Hpl Gd</t>
  </si>
  <si>
    <t>Olimpia S Tumbona Apilable</t>
  </si>
  <si>
    <t>Sin Ruedas</t>
  </si>
  <si>
    <t>Olimpia Sofa</t>
  </si>
  <si>
    <t>Doble Tela Balliu</t>
  </si>
  <si>
    <t>Individual Tela Balliu</t>
  </si>
  <si>
    <t>Triple Tela Balliu</t>
  </si>
  <si>
    <t>Pamela Parasol</t>
  </si>
  <si>
    <t>Parasol Brisa</t>
  </si>
  <si>
    <t>Parasol tela Balliu 300X300 cm.</t>
  </si>
  <si>
    <t>Parasol Garbí</t>
  </si>
  <si>
    <t>Central Diam. 300 Cm Tela Balliu</t>
  </si>
  <si>
    <t>Parasol Roma</t>
  </si>
  <si>
    <t>Lateral 300X300 Cm</t>
  </si>
  <si>
    <t>Pasarela Resina</t>
  </si>
  <si>
    <t>Metro Pasarela 120 cm.</t>
  </si>
  <si>
    <t>Pasarela Resina Reciclada 100 %</t>
  </si>
  <si>
    <t>Metro Pasarela blanca reciclada 120 cm.</t>
  </si>
  <si>
    <t>Pie Parasol</t>
  </si>
  <si>
    <t>40 kg</t>
  </si>
  <si>
    <t>40 kg Recubrimiento Plastico</t>
  </si>
  <si>
    <t>Producto Limpiador</t>
  </si>
  <si>
    <t>Limpiador Tumbona/Tejido</t>
  </si>
  <si>
    <t>Selva Mesa</t>
  </si>
  <si>
    <t>120 X 80 Werzalit</t>
  </si>
  <si>
    <t>70 X 70 Werzalit</t>
  </si>
  <si>
    <t>80 X 80 Werzalit</t>
  </si>
  <si>
    <t>Diametro 60 Werzalit</t>
  </si>
  <si>
    <t>Diametro 70 Werzalit</t>
  </si>
  <si>
    <t>Diametro 80 Werzalit</t>
  </si>
  <si>
    <t>Diametro 90 Werzalit</t>
  </si>
  <si>
    <t>Selva Silla</t>
  </si>
  <si>
    <t>Blanca</t>
  </si>
  <si>
    <t>Color</t>
  </si>
  <si>
    <t>Silla Alba</t>
  </si>
  <si>
    <t>Silla Venus</t>
  </si>
  <si>
    <t>Sofa Etna</t>
  </si>
  <si>
    <t>Doble Acrílico</t>
  </si>
  <si>
    <t>Individual Acrílico</t>
  </si>
  <si>
    <t>Triple Acrílico</t>
  </si>
  <si>
    <t>Sofia Mesa</t>
  </si>
  <si>
    <t>70X70 Tablero Hpl</t>
  </si>
  <si>
    <t>70X70 Tablero Hpl Gd</t>
  </si>
  <si>
    <t>Vera Silla</t>
  </si>
  <si>
    <t>L Con Brazos</t>
  </si>
  <si>
    <t>Balliu — Seguimiento de tarifas</t>
  </si>
  <si>
    <t>Última tarifa COSTE: 2026-03-30  │  Última tarifa PVP RECOMENDADO: 2026-05-07  │  PVP con IVA = PVP sin IVA × 1,21  │  Margen € = PVP − Coste (sin IVA)</t>
  </si>
  <si>
    <t>Snapshots COSTE: 2026-03-30   |   Snapshots PVP: 2026-05-07</t>
  </si>
  <si>
    <t>Última fecha
Coste</t>
  </si>
  <si>
    <t>Última fecha
PVP</t>
  </si>
  <si>
    <t>Δ PVP %
vs anterior</t>
  </si>
  <si>
    <t>Tendencia
Coste</t>
  </si>
  <si>
    <t>Tendencia
PVP</t>
  </si>
  <si>
    <t>COMPLETO</t>
  </si>
  <si>
    <t>01 · P&amp;L MENSUAL — escenarios Conservador / Base / Optimista</t>
  </si>
  <si>
    <t>Modelo mensual operativo. Editar valores solo en 00_SUPUESTOS — esta hoja recalcula sola.</t>
  </si>
  <si>
    <t>Concepto</t>
  </si>
  <si>
    <t>Conservador</t>
  </si>
  <si>
    <t>Base</t>
  </si>
  <si>
    <t>Optimista</t>
  </si>
  <si>
    <t>Notas</t>
  </si>
  <si>
    <t>VOLUMEN</t>
  </si>
  <si>
    <t>Pedidos / mes</t>
  </si>
  <si>
    <t>Editar en 00_SUPUESTOS · sección VOLUMEN.</t>
  </si>
  <si>
    <t>AOV (ticket medio con IVA)</t>
  </si>
  <si>
    <t>Mismo AOV en los 3 escenarios.</t>
  </si>
  <si>
    <t>INGRESOS</t>
  </si>
  <si>
    <t>Ingresos brutos (con IVA)</t>
  </si>
  <si>
    <t>Pedidos × AOV.</t>
  </si>
  <si>
    <t>(-) IVA repercutido</t>
  </si>
  <si>
    <t>21% sobre ingresos brutos. No es ingreso, es de Hacienda.</t>
  </si>
  <si>
    <t>› Ingresos netos (sin IVA)</t>
  </si>
  <si>
    <t>Base imponible.</t>
  </si>
  <si>
    <t>COSTE MERCANCÍA</t>
  </si>
  <si>
    <t>Calculado al regenerar (00_SUPUESTOS · Margen_bruto_medio).</t>
  </si>
  <si>
    <t>(-) Coste mercancía</t>
  </si>
  <si>
    <t>Ingresos netos × (1 − margen bruto medio).</t>
  </si>
  <si>
    <t>› Margen bruto</t>
  </si>
  <si>
    <t>Ingresos netos − coste mercancía.</t>
  </si>
  <si>
    <t xml:space="preserve">    Margen bruto %</t>
  </si>
  <si>
    <t>COSTES VARIABLES</t>
  </si>
  <si>
    <t>(-) Comisiones de pago</t>
  </si>
  <si>
    <t>% sobre venta + fija/pedido.</t>
  </si>
  <si>
    <t>(-) Logística salida</t>
  </si>
  <si>
    <t>Pedidos × coste medio mezclado del catálogo.</t>
  </si>
  <si>
    <t>(-) Devoluciones</t>
  </si>
  <si>
    <t>Pedidos × tasa × coste por devolución.</t>
  </si>
  <si>
    <t>(-) Incidencias transporte</t>
  </si>
  <si>
    <t>Pedidos × tasa × coste por incidencia.</t>
  </si>
  <si>
    <t>› Margen contributivo (antes de marketing)</t>
  </si>
  <si>
    <t>Lo que queda para pagar marketing y costes fijos.</t>
  </si>
  <si>
    <t xml:space="preserve">    Margen contributivo %</t>
  </si>
  <si>
    <t>MARKETING</t>
  </si>
  <si>
    <t>ROAS objetivo</t>
  </si>
  <si>
    <t>(-) Inversión marketing</t>
  </si>
  <si>
    <t>Ingresos brutos / ROAS objetivo.</t>
  </si>
  <si>
    <t xml:space="preserve">    % marketing sobre ventas brutas</t>
  </si>
  <si>
    <t>› EBITDA tras marketing</t>
  </si>
  <si>
    <t>COSTES FIJOS</t>
  </si>
  <si>
    <t>(-) Costes fijos mensuales</t>
  </si>
  <si>
    <t>Shopify + dominio + apps + personal (en 00_SUPUESTOS).</t>
  </si>
  <si>
    <t>BENEFICIO OPERATIVO MENSUAL</t>
  </si>
  <si>
    <t xml:space="preserve">    Beneficio neto %</t>
  </si>
  <si>
    <t>KPIs Y BREAK-EVEN</t>
  </si>
  <si>
    <t>Margen contributivo €/pedido</t>
  </si>
  <si>
    <t>Pedidos break-even mensual (cubre fijos)</t>
  </si>
  <si>
    <t>Pedidos mínimos para que ingresos &gt; costes fijos + marketing al ROAS objetivo.</t>
  </si>
  <si>
    <t>Sesiones web necesarias / mes</t>
  </si>
  <si>
    <t>Pedidos / tasa de conversión.</t>
  </si>
  <si>
    <t>CPA medio (coste por adquisición de cliente)</t>
  </si>
  <si>
    <t>Inversión marketing / pedidos. Comparar con margen contributivo €.</t>
  </si>
  <si>
    <t>02 · UNIT ECONOMICS POR SKU — qué deja cada producto realmente</t>
  </si>
  <si>
    <t>Una fila por SKU. Edita supuestos en 00_SUPUESTOS para recalcular todo.</t>
  </si>
  <si>
    <t>PVP sin IVA €</t>
  </si>
  <si>
    <t>PVP con IVA €</t>
  </si>
  <si>
    <t>Margen bruto €</t>
  </si>
  <si>
    <t>Margen bruto %</t>
  </si>
  <si>
    <t>Comisión pago €</t>
  </si>
  <si>
    <t>Logística €</t>
  </si>
  <si>
    <t>Devoluciones €</t>
  </si>
  <si>
    <t>Incidencias €</t>
  </si>
  <si>
    <t>Margen contrib. €</t>
  </si>
  <si>
    <t>Margen contrib. %</t>
  </si>
  <si>
    <t>CAC máximo €</t>
  </si>
  <si>
    <t>ROAS mínimo</t>
  </si>
  <si>
    <t>Categoría</t>
  </si>
  <si>
    <t>03 · ESCENARIOS DE MARKETING — cuánto invertir y qué esperar</t>
  </si>
  <si>
    <t>Modo A: dado un presupuesto, qué pedidos/tráfico/AOV necesito. Modo B: dado un ROAS, cuánto puedo invertir.</t>
  </si>
  <si>
    <t>MODO A — DESDE INVERSIÓN</t>
  </si>
  <si>
    <t>500 € /mes</t>
  </si>
  <si>
    <t>1.500 € /mes</t>
  </si>
  <si>
    <t>3.000 € /mes</t>
  </si>
  <si>
    <t>6.000 € /mes</t>
  </si>
  <si>
    <t>Inversión marketing / mes</t>
  </si>
  <si>
    <t>Editar para simular otros presupuestos.</t>
  </si>
  <si>
    <t>ROAS objetivo (escenario BASE)</t>
  </si>
  <si>
    <t>Por defecto ROAS_base. Editable en 00_SUPUESTOS.</t>
  </si>
  <si>
    <t>Ingresos brutos generados (con IVA)</t>
  </si>
  <si>
    <t>Inversión × ROAS.</t>
  </si>
  <si>
    <t>Pedidos generados</t>
  </si>
  <si>
    <t>Ingresos / AOV.</t>
  </si>
  <si>
    <t>Sesiones web necesarias</t>
  </si>
  <si>
    <t>CPA medio</t>
  </si>
  <si>
    <t>Inversión / pedidos.</t>
  </si>
  <si>
    <t>Margen contributivo total (antes de marketing)</t>
  </si>
  <si>
    <t>Pedidos × (margen bruto unitario − coste variable unitario).</t>
  </si>
  <si>
    <t>› Beneficio operativo</t>
  </si>
  <si>
    <t>MODO B — DESDE ROAS OBJETIVO</t>
  </si>
  <si>
    <t>ROAS 3x</t>
  </si>
  <si>
    <t>ROAS 4x</t>
  </si>
  <si>
    <t>ROAS 5x</t>
  </si>
  <si>
    <t>ROAS 6x</t>
  </si>
  <si>
    <t>Editar para evaluar otros ROAS.</t>
  </si>
  <si>
    <t>Margen contributivo €/pedido (medio catálogo)</t>
  </si>
  <si>
    <t>Margen bruto unitario − coste variable unitario.</t>
  </si>
  <si>
    <t>CAC máximo aceptable / pedido</t>
  </si>
  <si>
    <t>AOV / ROAS objetivo.</t>
  </si>
  <si>
    <t>¿Es rentable a este ROAS?</t>
  </si>
  <si>
    <t>MC/pedido &gt; CAC máximo → invertir.</t>
  </si>
  <si>
    <t>Inversión sostenible / mes (con beneficio ≥ 0)</t>
  </si>
  <si>
    <t>Inversión a partir de la cual cubrimos costes fijos. 0 = no rentable.</t>
  </si>
  <si>
    <t>Pedidos break-even</t>
  </si>
  <si>
    <t>Ingresos brutos break-even</t>
  </si>
  <si>
    <t>04 · PRODUCTOS PRIORIDAD — top 30 por margen contributivo €</t>
  </si>
  <si>
    <t>Vista filtrable de la hoja 02_UNIT_ECONOMICS_SKU. Útil para decidir qué empujar en ads y SEO.</t>
  </si>
  <si>
    <t>#</t>
  </si>
  <si>
    <t>05 · DASHBOARD SANTAVILA — visión 1 página</t>
  </si>
  <si>
    <t>KPIs del modelo financiero. Editar valores en 00_SUPUESTOS para recalcular.</t>
  </si>
  <si>
    <t>🛒 CATÁLOGO</t>
  </si>
  <si>
    <t>💰 P&amp;L MENSUAL — escenario BASE</t>
  </si>
  <si>
    <t>Total SKUs en catálogo</t>
  </si>
  <si>
    <t>Ingresos brutos / mes (con IVA)</t>
  </si>
  <si>
    <t>Margen contrib. medio €/unidad</t>
  </si>
  <si>
    <t>Margen contributivo / mes</t>
  </si>
  <si>
    <t>Margen contrib. medio %</t>
  </si>
  <si>
    <t>% SKUs PUSH (margen alto)</t>
  </si>
  <si>
    <t>Beneficio operativo / mes</t>
  </si>
  <si>
    <t>📊 DISTRIBUCIÓN POR CATEGORÍA</t>
  </si>
  <si>
    <t>🎯 BREAK-EVEN</t>
  </si>
  <si>
    <t>PUSH</t>
  </si>
  <si>
    <t>Pedidos break-even (escenario base)</t>
  </si>
  <si>
    <t>NEUTRAL</t>
  </si>
  <si>
    <t>WATCH</t>
  </si>
  <si>
    <t>CPA medio (escenario base)</t>
  </si>
  <si>
    <t>NO ANUNCIAR</t>
  </si>
  <si>
    <t>ROAS objetivo escenario BASE</t>
  </si>
  <si>
    <t>🏆 TOP 5 PRODUCTOS POR MARGEN CONTRIBUTIVO €</t>
  </si>
  <si>
    <t>PVP €</t>
  </si>
  <si>
    <t>MC €</t>
  </si>
  <si>
    <t>MC %</t>
  </si>
  <si>
    <t>Plan Basic 32€/mes confirmado por usuario.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</si>
</sst>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€\ #,##0.00"/>
    <numFmt numFmtId="165" formatCode="0.0&quot;%&quot;"/>
    <numFmt numFmtId="166" formatCode="\+\€\ #,##0.00;\-\€\ #,##0.00;&quot;—&quot;"/>
    <numFmt numFmtId="167" formatCode="\+0.0&quot;%&quot;;\-0.0&quot;%&quot;;&quot;—&quot;"/>
    <numFmt numFmtId="168" formatCode="0.0%"/>
    <numFmt numFmtId="169" formatCode="0.0&quot;x&quot;"/>
    <numFmt numFmtId="170" formatCode="\€\ #,##0.00;[Red]\-\€\ #,##0.00"/>
  </numFmts>
  <fonts count="38" x14ac:knownFonts="1">
    <font>
      <sz val="11"/>
      <color theme="1"/>
      <name val="Calibri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1A6B2A"/>
      <name val="Calibri"/>
      <family val="2"/>
      <scheme val="minor"/>
    </font>
    <font>
      <sz val="9"/>
      <color rgb="FF7B6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9"/>
      <color rgb="FF1F4E79"/>
      <name val="Calibri"/>
      <family val="2"/>
    </font>
    <font>
      <sz val="9"/>
      <name val="Calibri"/>
      <family val="2"/>
    </font>
    <font>
      <b/>
      <sz val="14"/>
      <color rgb="FFFFFFFF"/>
      <name val="Calibri"/>
      <family val="2"/>
    </font>
    <font>
      <i/>
      <sz val="10"/>
      <color rgb="FF666666"/>
      <name val="Calibri"/>
      <family val="2"/>
    </font>
    <font>
      <i/>
      <sz val="9"/>
      <color rgb="FF9C0006"/>
      <name val="Calibri"/>
      <family val="2"/>
    </font>
    <font>
      <i/>
      <sz val="9"/>
      <color rgb="FF666666"/>
      <name val="Calibri"/>
      <family val="2"/>
    </font>
    <font>
      <b/>
      <i/>
      <sz val="9"/>
      <color rgb="FF9C0006"/>
      <name val="Calibri"/>
      <family val="2"/>
    </font>
    <font>
      <sz val="12"/>
      <color rgb="FF1F4E79"/>
      <name val="Menlo"/>
      <family val="2"/>
    </font>
    <font>
      <sz val="9"/>
      <color rgb="FF2E7D32"/>
      <name val="Calibri"/>
      <family val="2"/>
    </font>
    <font>
      <b/>
      <sz val="9"/>
      <color rgb="FF9C0006"/>
      <name val="Calibri"/>
      <family val="2"/>
    </font>
    <font>
      <b/>
      <sz val="10"/>
      <name val="Calibri"/>
      <family val="2"/>
    </font>
    <font>
      <b/>
      <sz val="9"/>
      <color rgb="FF0B5394"/>
      <name val="Calibri"/>
      <family val="2"/>
    </font>
    <font>
      <b/>
      <sz val="9"/>
      <color rgb="FF0F6B7A"/>
      <name val="Calibri"/>
      <family val="2"/>
    </font>
    <font>
      <b/>
      <sz val="9"/>
      <color rgb="FF2E7D32"/>
      <name val="Calibri"/>
      <family val="2"/>
    </font>
    <font>
      <sz val="12"/>
      <color rgb="FF0B5394"/>
      <name val="Menlo"/>
      <family val="2"/>
    </font>
    <font>
      <sz val="12"/>
      <color rgb="FF0F6B7A"/>
      <name val="Menlo"/>
      <family val="2"/>
    </font>
    <font>
      <b/>
      <sz val="11"/>
      <color rgb="FFFFFFFF"/>
      <name val="Calibri"/>
      <family val="2"/>
    </font>
    <font>
      <sz val="9"/>
      <color rgb="FF666666"/>
      <name val="Menlo"/>
      <family val="2"/>
    </font>
    <font>
      <sz val="10"/>
      <name val="Calibri"/>
      <family val="2"/>
    </font>
    <font>
      <b/>
      <sz val="10"/>
      <color rgb="FF9C5700"/>
      <name val="Calibri"/>
      <family val="2"/>
    </font>
    <font>
      <sz val="9"/>
      <color rgb="FF666666"/>
      <name val="Calibri"/>
      <family val="2"/>
    </font>
    <font>
      <b/>
      <sz val="10"/>
      <color rgb="FF375623"/>
      <name val="Calibri"/>
      <family val="2"/>
    </font>
    <font>
      <b/>
      <sz val="11"/>
      <color rgb="FFFFFFFF"/>
      <name val="Calibri"/>
      <family val="2"/>
    </font>
    <font>
      <sz val="10"/>
      <color rgb="FF375623"/>
      <name val="Calibri"/>
      <family val="2"/>
    </font>
    <font>
      <b/>
      <sz val="12"/>
      <name val="Calibri"/>
      <family val="2"/>
    </font>
    <font>
      <b/>
      <sz val="12"/>
      <color rgb="FFC65911"/>
      <name val="Calibri"/>
      <family val="2"/>
    </font>
    <font>
      <b/>
      <sz val="11"/>
      <color rgb="FFC659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6"/>
      <color rgb="FFFFFFFF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FF1F4E79"/>
      </patternFill>
    </fill>
    <fill>
      <patternFill patternType="solid">
        <fgColor rgb="FFEEF5FF"/>
      </patternFill>
    </fill>
    <fill>
      <patternFill patternType="solid">
        <fgColor rgb="FFDDEEFF"/>
      </patternFill>
    </fill>
    <fill>
      <patternFill patternType="solid">
        <fgColor rgb="FFF5F5DC"/>
      </patternFill>
    </fill>
    <fill>
      <patternFill patternType="solid">
        <fgColor rgb="FF0B5394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8CBAD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4E79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0B5394"/>
      </top>
      <bottom style="thin">
        <color rgb="FFCCCCCC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1">
    <xf numFmtId="0" fontId="0" fillId="0" borderId="2"/>
  </cellStyleXfs>
  <cellXfs count="162">
    <xf numFmtId="0" fontId="0" fillId="0" borderId="0" xfId="0" applyBorder="1"/>
    <xf numFmtId="0" fontId="1" fillId="2" borderId="0" xfId="0" applyFont="1" applyFill="1" applyBorder="1" applyAlignment="1">
      <alignment horizontal="center" vertical="center" wrapText="1"/>
    </xf>
    <xf numFmtId="0" fontId="2" fillId="2" borderId="0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vertical="center"/>
    </xf>
    <xf numFmtId="164" fontId="3" fillId="5" borderId="1" xfId="0" applyNumberFormat="1" applyFont="1" applyFill="1" applyBorder="1" applyAlignment="1">
      <alignment horizontal="right" vertical="center"/>
    </xf>
    <xf numFmtId="165" fontId="4" fillId="5" borderId="1" xfId="0" applyNumberFormat="1" applyFont="1" applyFill="1" applyBorder="1" applyAlignment="1">
      <alignment vertical="center"/>
    </xf>
    <xf numFmtId="4" fontId="3" fillId="5" borderId="1" xfId="0" applyNumberFormat="1" applyFont="1" applyFill="1" applyBorder="1" applyAlignment="1">
      <alignment horizontal="right" vertical="center"/>
    </xf>
    <xf numFmtId="0" fontId="2" fillId="0" borderId="0" xfId="0" applyFont="1" applyBorder="1"/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horizontal="right" vertical="center"/>
    </xf>
    <xf numFmtId="165" fontId="4" fillId="6" borderId="1" xfId="0" applyNumberFormat="1" applyFont="1" applyFill="1" applyBorder="1" applyAlignment="1">
      <alignment vertical="center"/>
    </xf>
    <xf numFmtId="4" fontId="3" fillId="6" borderId="1" xfId="0" applyNumberFormat="1" applyFont="1" applyFill="1" applyBorder="1" applyAlignment="1">
      <alignment horizontal="right" vertical="center"/>
    </xf>
    <xf numFmtId="165" fontId="5" fillId="6" borderId="1" xfId="0" applyNumberFormat="1" applyFont="1" applyFill="1" applyBorder="1" applyAlignment="1">
      <alignment vertical="center"/>
    </xf>
    <xf numFmtId="165" fontId="5" fillId="5" borderId="1" xfId="0" applyNumberFormat="1" applyFont="1" applyFill="1" applyBorder="1" applyAlignment="1">
      <alignment vertical="center"/>
    </xf>
    <xf numFmtId="0" fontId="6" fillId="7" borderId="2" xfId="0" applyFont="1" applyFill="1"/>
    <xf numFmtId="164" fontId="6" fillId="7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center" vertical="center"/>
    </xf>
    <xf numFmtId="4" fontId="6" fillId="7" borderId="1" xfId="0" applyNumberFormat="1" applyFont="1" applyFill="1" applyBorder="1" applyAlignment="1">
      <alignment horizontal="right" vertical="center"/>
    </xf>
    <xf numFmtId="0" fontId="1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vertical="center"/>
    </xf>
    <xf numFmtId="164" fontId="3" fillId="9" borderId="1" xfId="0" applyNumberFormat="1" applyFont="1" applyFill="1" applyBorder="1" applyAlignment="1">
      <alignment horizontal="right" vertical="center"/>
    </xf>
    <xf numFmtId="165" fontId="4" fillId="9" borderId="1" xfId="0" applyNumberFormat="1" applyFont="1" applyFill="1" applyBorder="1" applyAlignment="1">
      <alignment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vertical="center"/>
    </xf>
    <xf numFmtId="164" fontId="3" fillId="10" borderId="1" xfId="0" applyNumberFormat="1" applyFont="1" applyFill="1" applyBorder="1" applyAlignment="1">
      <alignment horizontal="right" vertical="center"/>
    </xf>
    <xf numFmtId="165" fontId="4" fillId="10" borderId="1" xfId="0" applyNumberFormat="1" applyFont="1" applyFill="1" applyBorder="1" applyAlignment="1">
      <alignment vertical="center"/>
    </xf>
    <xf numFmtId="165" fontId="5" fillId="10" borderId="1" xfId="0" applyNumberFormat="1" applyFont="1" applyFill="1" applyBorder="1" applyAlignment="1">
      <alignment vertical="center"/>
    </xf>
    <xf numFmtId="165" fontId="5" fillId="9" borderId="1" xfId="0" applyNumberFormat="1" applyFont="1" applyFill="1" applyBorder="1" applyAlignment="1">
      <alignment vertical="center"/>
    </xf>
    <xf numFmtId="0" fontId="1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vertical="center"/>
    </xf>
    <xf numFmtId="164" fontId="3" fillId="12" borderId="1" xfId="0" applyNumberFormat="1" applyFont="1" applyFill="1" applyBorder="1" applyAlignment="1">
      <alignment horizontal="right" vertical="center"/>
    </xf>
    <xf numFmtId="165" fontId="4" fillId="12" borderId="1" xfId="0" applyNumberFormat="1" applyFont="1" applyFill="1" applyBorder="1" applyAlignment="1">
      <alignment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horizontal="right" vertical="center"/>
    </xf>
    <xf numFmtId="165" fontId="4" fillId="13" borderId="1" xfId="0" applyNumberFormat="1" applyFont="1" applyFill="1" applyBorder="1" applyAlignment="1">
      <alignment vertical="center"/>
    </xf>
    <xf numFmtId="0" fontId="7" fillId="14" borderId="3" xfId="0" applyFont="1" applyFill="1" applyBorder="1" applyAlignment="1">
      <alignment horizontal="center" vertical="center" wrapText="1"/>
    </xf>
    <xf numFmtId="0" fontId="8" fillId="15" borderId="4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center" vertical="center"/>
    </xf>
    <xf numFmtId="164" fontId="9" fillId="15" borderId="4" xfId="0" applyNumberFormat="1" applyFont="1" applyFill="1" applyBorder="1" applyAlignment="1">
      <alignment horizontal="right" vertical="center"/>
    </xf>
    <xf numFmtId="165" fontId="9" fillId="15" borderId="4" xfId="0" applyNumberFormat="1" applyFont="1" applyFill="1" applyBorder="1" applyAlignment="1">
      <alignment horizontal="right" vertical="center"/>
    </xf>
    <xf numFmtId="166" fontId="9" fillId="15" borderId="4" xfId="0" applyNumberFormat="1" applyFont="1" applyFill="1" applyBorder="1" applyAlignment="1">
      <alignment horizontal="right" vertical="center"/>
    </xf>
    <xf numFmtId="167" fontId="9" fillId="15" borderId="4" xfId="0" applyNumberFormat="1" applyFont="1" applyFill="1" applyBorder="1" applyAlignment="1">
      <alignment horizontal="right" vertical="center"/>
    </xf>
    <xf numFmtId="0" fontId="8" fillId="16" borderId="4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center" vertical="center"/>
    </xf>
    <xf numFmtId="164" fontId="9" fillId="16" borderId="4" xfId="0" applyNumberFormat="1" applyFont="1" applyFill="1" applyBorder="1" applyAlignment="1">
      <alignment horizontal="right" vertical="center"/>
    </xf>
    <xf numFmtId="165" fontId="9" fillId="16" borderId="4" xfId="0" applyNumberFormat="1" applyFont="1" applyFill="1" applyBorder="1" applyAlignment="1">
      <alignment horizontal="right" vertical="center"/>
    </xf>
    <xf numFmtId="166" fontId="9" fillId="16" borderId="4" xfId="0" applyNumberFormat="1" applyFont="1" applyFill="1" applyBorder="1" applyAlignment="1">
      <alignment horizontal="right" vertical="center"/>
    </xf>
    <xf numFmtId="167" fontId="9" fillId="16" borderId="4" xfId="0" applyNumberFormat="1" applyFont="1" applyFill="1" applyBorder="1" applyAlignment="1">
      <alignment horizontal="right" vertical="center"/>
    </xf>
    <xf numFmtId="0" fontId="9" fillId="16" borderId="3" xfId="0" applyFont="1" applyFill="1" applyBorder="1" applyAlignment="1">
      <alignment horizontal="left" vertical="center"/>
    </xf>
    <xf numFmtId="0" fontId="9" fillId="16" borderId="3" xfId="0" applyFont="1" applyFill="1" applyBorder="1" applyAlignment="1">
      <alignment horizontal="center" vertical="center"/>
    </xf>
    <xf numFmtId="164" fontId="9" fillId="16" borderId="3" xfId="0" applyNumberFormat="1" applyFont="1" applyFill="1" applyBorder="1" applyAlignment="1">
      <alignment horizontal="right" vertical="center"/>
    </xf>
    <xf numFmtId="165" fontId="9" fillId="16" borderId="3" xfId="0" applyNumberFormat="1" applyFont="1" applyFill="1" applyBorder="1" applyAlignment="1">
      <alignment horizontal="right" vertical="center"/>
    </xf>
    <xf numFmtId="166" fontId="9" fillId="16" borderId="3" xfId="0" applyNumberFormat="1" applyFont="1" applyFill="1" applyBorder="1" applyAlignment="1">
      <alignment horizontal="right" vertical="center"/>
    </xf>
    <xf numFmtId="167" fontId="9" fillId="16" borderId="3" xfId="0" applyNumberFormat="1" applyFont="1" applyFill="1" applyBorder="1" applyAlignment="1">
      <alignment horizontal="right" vertical="center"/>
    </xf>
    <xf numFmtId="0" fontId="9" fillId="15" borderId="3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center" vertical="center"/>
    </xf>
    <xf numFmtId="164" fontId="9" fillId="15" borderId="3" xfId="0" applyNumberFormat="1" applyFont="1" applyFill="1" applyBorder="1" applyAlignment="1">
      <alignment horizontal="right" vertical="center"/>
    </xf>
    <xf numFmtId="165" fontId="9" fillId="15" borderId="3" xfId="0" applyNumberFormat="1" applyFont="1" applyFill="1" applyBorder="1" applyAlignment="1">
      <alignment horizontal="right" vertical="center"/>
    </xf>
    <xf numFmtId="166" fontId="9" fillId="15" borderId="3" xfId="0" applyNumberFormat="1" applyFont="1" applyFill="1" applyBorder="1" applyAlignment="1">
      <alignment horizontal="right" vertical="center"/>
    </xf>
    <xf numFmtId="167" fontId="9" fillId="15" borderId="3" xfId="0" applyNumberFormat="1" applyFont="1" applyFill="1" applyBorder="1" applyAlignment="1">
      <alignment horizontal="right" vertical="center"/>
    </xf>
    <xf numFmtId="0" fontId="12" fillId="16" borderId="3" xfId="0" applyFont="1" applyFill="1" applyBorder="1" applyAlignment="1">
      <alignment horizontal="left" vertical="center"/>
    </xf>
    <xf numFmtId="0" fontId="14" fillId="16" borderId="3" xfId="0" applyFont="1" applyFill="1" applyBorder="1" applyAlignment="1">
      <alignment horizontal="center" vertical="center"/>
    </xf>
    <xf numFmtId="0" fontId="15" fillId="16" borderId="3" xfId="0" applyFont="1" applyFill="1" applyBorder="1" applyAlignment="1">
      <alignment horizontal="center" vertical="center"/>
    </xf>
    <xf numFmtId="0" fontId="17" fillId="15" borderId="3" xfId="0" applyFont="1" applyFill="1" applyBorder="1" applyAlignment="1">
      <alignment horizontal="center" vertical="center"/>
    </xf>
    <xf numFmtId="167" fontId="17" fillId="15" borderId="3" xfId="0" applyNumberFormat="1" applyFont="1" applyFill="1" applyBorder="1" applyAlignment="1">
      <alignment horizontal="right" vertical="center"/>
    </xf>
    <xf numFmtId="0" fontId="15" fillId="15" borderId="3" xfId="0" applyFont="1" applyFill="1" applyBorder="1" applyAlignment="1">
      <alignment horizontal="center" vertical="center"/>
    </xf>
    <xf numFmtId="0" fontId="17" fillId="16" borderId="3" xfId="0" applyFont="1" applyFill="1" applyBorder="1" applyAlignment="1">
      <alignment horizontal="center" vertical="center"/>
    </xf>
    <xf numFmtId="167" fontId="17" fillId="16" borderId="3" xfId="0" applyNumberFormat="1" applyFont="1" applyFill="1" applyBorder="1" applyAlignment="1">
      <alignment horizontal="right" vertical="center"/>
    </xf>
    <xf numFmtId="0" fontId="12" fillId="15" borderId="3" xfId="0" applyFont="1" applyFill="1" applyBorder="1" applyAlignment="1">
      <alignment horizontal="left" vertical="center"/>
    </xf>
    <xf numFmtId="0" fontId="14" fillId="15" borderId="3" xfId="0" applyFont="1" applyFill="1" applyBorder="1" applyAlignment="1">
      <alignment horizontal="center" vertical="center"/>
    </xf>
    <xf numFmtId="0" fontId="16" fillId="16" borderId="3" xfId="0" applyFont="1" applyFill="1" applyBorder="1" applyAlignment="1">
      <alignment horizontal="center" vertical="center"/>
    </xf>
    <xf numFmtId="0" fontId="16" fillId="15" borderId="3" xfId="0" applyFont="1" applyFill="1" applyBorder="1" applyAlignment="1">
      <alignment horizontal="center" vertical="center"/>
    </xf>
    <xf numFmtId="0" fontId="18" fillId="17" borderId="3" xfId="0" applyFont="1" applyFill="1" applyBorder="1" applyAlignment="1">
      <alignment horizontal="right" vertical="center"/>
    </xf>
    <xf numFmtId="164" fontId="18" fillId="17" borderId="3" xfId="0" applyNumberFormat="1" applyFont="1" applyFill="1" applyBorder="1" applyAlignment="1">
      <alignment horizontal="right" vertical="center"/>
    </xf>
    <xf numFmtId="165" fontId="18" fillId="17" borderId="3" xfId="0" applyNumberFormat="1" applyFont="1" applyFill="1" applyBorder="1" applyAlignment="1">
      <alignment horizontal="right" vertical="center"/>
    </xf>
    <xf numFmtId="167" fontId="18" fillId="17" borderId="3" xfId="0" applyNumberFormat="1" applyFont="1" applyFill="1" applyBorder="1" applyAlignment="1">
      <alignment horizontal="right" vertical="center"/>
    </xf>
    <xf numFmtId="1" fontId="18" fillId="17" borderId="3" xfId="0" applyNumberFormat="1" applyFont="1" applyFill="1" applyBorder="1" applyAlignment="1">
      <alignment horizontal="right" vertical="center"/>
    </xf>
    <xf numFmtId="0" fontId="7" fillId="18" borderId="3" xfId="0" applyFont="1" applyFill="1" applyBorder="1" applyAlignment="1">
      <alignment horizontal="center" vertical="center" wrapText="1"/>
    </xf>
    <xf numFmtId="0" fontId="19" fillId="15" borderId="5" xfId="0" applyFont="1" applyFill="1" applyBorder="1" applyAlignment="1">
      <alignment horizontal="left" vertical="center"/>
    </xf>
    <xf numFmtId="0" fontId="19" fillId="15" borderId="5" xfId="0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center" vertical="center"/>
    </xf>
    <xf numFmtId="164" fontId="9" fillId="15" borderId="5" xfId="0" applyNumberFormat="1" applyFont="1" applyFill="1" applyBorder="1" applyAlignment="1">
      <alignment horizontal="right" vertical="center"/>
    </xf>
    <xf numFmtId="166" fontId="9" fillId="15" borderId="5" xfId="0" applyNumberFormat="1" applyFont="1" applyFill="1" applyBorder="1" applyAlignment="1">
      <alignment horizontal="right" vertical="center"/>
    </xf>
    <xf numFmtId="167" fontId="9" fillId="15" borderId="5" xfId="0" applyNumberFormat="1" applyFont="1" applyFill="1" applyBorder="1" applyAlignment="1">
      <alignment horizontal="right" vertical="center"/>
    </xf>
    <xf numFmtId="0" fontId="20" fillId="15" borderId="3" xfId="0" applyFont="1" applyFill="1" applyBorder="1" applyAlignment="1">
      <alignment horizontal="center" vertical="center"/>
    </xf>
    <xf numFmtId="0" fontId="19" fillId="16" borderId="5" xfId="0" applyFont="1" applyFill="1" applyBorder="1" applyAlignment="1">
      <alignment horizontal="left" vertical="center"/>
    </xf>
    <xf numFmtId="0" fontId="19" fillId="16" borderId="5" xfId="0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164" fontId="9" fillId="16" borderId="5" xfId="0" applyNumberFormat="1" applyFont="1" applyFill="1" applyBorder="1" applyAlignment="1">
      <alignment horizontal="right" vertical="center"/>
    </xf>
    <xf numFmtId="166" fontId="9" fillId="16" borderId="5" xfId="0" applyNumberFormat="1" applyFont="1" applyFill="1" applyBorder="1" applyAlignment="1">
      <alignment horizontal="right" vertical="center"/>
    </xf>
    <xf numFmtId="167" fontId="9" fillId="16" borderId="5" xfId="0" applyNumberFormat="1" applyFont="1" applyFill="1" applyBorder="1" applyAlignment="1">
      <alignment horizontal="right" vertical="center"/>
    </xf>
    <xf numFmtId="0" fontId="20" fillId="16" borderId="3" xfId="0" applyFont="1" applyFill="1" applyBorder="1" applyAlignment="1">
      <alignment horizontal="center" vertical="center"/>
    </xf>
    <xf numFmtId="0" fontId="21" fillId="16" borderId="3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1" fillId="15" borderId="3" xfId="0" applyFont="1" applyFill="1" applyBorder="1" applyAlignment="1">
      <alignment horizontal="center" vertical="center"/>
    </xf>
    <xf numFmtId="0" fontId="22" fillId="15" borderId="3" xfId="0" applyFont="1" applyFill="1" applyBorder="1" applyAlignment="1">
      <alignment horizontal="center" vertical="center"/>
    </xf>
    <xf numFmtId="0" fontId="23" fillId="15" borderId="3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/>
    </xf>
    <xf numFmtId="0" fontId="26" fillId="0" borderId="3" xfId="0" applyFont="1" applyBorder="1" applyAlignment="1">
      <alignment horizontal="left" vertical="center" indent="1"/>
    </xf>
    <xf numFmtId="164" fontId="27" fillId="20" borderId="3" xfId="0" applyNumberFormat="1" applyFont="1" applyFill="1" applyBorder="1" applyAlignment="1">
      <alignment horizontal="right" vertical="center"/>
    </xf>
    <xf numFmtId="0" fontId="28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 wrapText="1"/>
    </xf>
    <xf numFmtId="168" fontId="27" fillId="20" borderId="3" xfId="0" applyNumberFormat="1" applyFont="1" applyFill="1" applyBorder="1" applyAlignment="1">
      <alignment horizontal="right" vertical="center"/>
    </xf>
    <xf numFmtId="169" fontId="27" fillId="20" borderId="3" xfId="0" applyNumberFormat="1" applyFont="1" applyFill="1" applyBorder="1" applyAlignment="1">
      <alignment horizontal="right" vertical="center"/>
    </xf>
    <xf numFmtId="1" fontId="27" fillId="20" borderId="3" xfId="0" applyNumberFormat="1" applyFont="1" applyFill="1" applyBorder="1" applyAlignment="1">
      <alignment horizontal="right" vertical="center"/>
    </xf>
    <xf numFmtId="164" fontId="29" fillId="21" borderId="3" xfId="0" applyNumberFormat="1" applyFont="1" applyFill="1" applyBorder="1" applyAlignment="1">
      <alignment horizontal="right" vertical="center"/>
    </xf>
    <xf numFmtId="0" fontId="30" fillId="14" borderId="3" xfId="0" applyFont="1" applyFill="1" applyBorder="1" applyAlignment="1">
      <alignment horizontal="left" vertical="center" indent="1"/>
    </xf>
    <xf numFmtId="1" fontId="29" fillId="21" borderId="3" xfId="0" applyNumberFormat="1" applyFont="1" applyFill="1" applyBorder="1" applyAlignment="1">
      <alignment horizontal="right" vertical="center"/>
    </xf>
    <xf numFmtId="164" fontId="31" fillId="21" borderId="3" xfId="0" applyNumberFormat="1" applyFont="1" applyFill="1" applyBorder="1" applyAlignment="1">
      <alignment horizontal="right" vertical="center"/>
    </xf>
    <xf numFmtId="168" fontId="31" fillId="21" borderId="3" xfId="0" applyNumberFormat="1" applyFont="1" applyFill="1" applyBorder="1" applyAlignment="1">
      <alignment horizontal="right" vertical="center"/>
    </xf>
    <xf numFmtId="169" fontId="31" fillId="21" borderId="3" xfId="0" applyNumberFormat="1" applyFont="1" applyFill="1" applyBorder="1" applyAlignment="1">
      <alignment horizontal="right" vertical="center"/>
    </xf>
    <xf numFmtId="0" fontId="32" fillId="0" borderId="3" xfId="0" applyFont="1" applyBorder="1" applyAlignment="1">
      <alignment horizontal="left" vertical="center" indent="1"/>
    </xf>
    <xf numFmtId="170" fontId="33" fillId="22" borderId="6" xfId="0" applyNumberFormat="1" applyFont="1" applyFill="1" applyBorder="1" applyAlignment="1">
      <alignment horizontal="right" vertical="center"/>
    </xf>
    <xf numFmtId="1" fontId="34" fillId="22" borderId="6" xfId="0" applyNumberFormat="1" applyFont="1" applyFill="1" applyBorder="1" applyAlignment="1">
      <alignment horizontal="right" vertical="center"/>
    </xf>
    <xf numFmtId="3" fontId="31" fillId="21" borderId="3" xfId="0" applyNumberFormat="1" applyFont="1" applyFill="1" applyBorder="1" applyAlignment="1">
      <alignment horizontal="right" vertical="center"/>
    </xf>
    <xf numFmtId="168" fontId="9" fillId="16" borderId="3" xfId="0" applyNumberFormat="1" applyFont="1" applyFill="1" applyBorder="1" applyAlignment="1">
      <alignment horizontal="right" vertical="center"/>
    </xf>
    <xf numFmtId="169" fontId="9" fillId="16" borderId="3" xfId="0" applyNumberFormat="1" applyFont="1" applyFill="1" applyBorder="1" applyAlignment="1">
      <alignment horizontal="right" vertical="center"/>
    </xf>
    <xf numFmtId="0" fontId="9" fillId="16" borderId="3" xfId="0" applyFont="1" applyFill="1" applyBorder="1" applyAlignment="1">
      <alignment horizontal="right" vertical="center"/>
    </xf>
    <xf numFmtId="168" fontId="9" fillId="15" borderId="3" xfId="0" applyNumberFormat="1" applyFont="1" applyFill="1" applyBorder="1" applyAlignment="1">
      <alignment horizontal="right" vertical="center"/>
    </xf>
    <xf numFmtId="169" fontId="9" fillId="15" borderId="3" xfId="0" applyNumberFormat="1" applyFont="1" applyFill="1" applyBorder="1" applyAlignment="1">
      <alignment horizontal="right" vertical="center"/>
    </xf>
    <xf numFmtId="0" fontId="9" fillId="15" borderId="3" xfId="0" applyFont="1" applyFill="1" applyBorder="1" applyAlignment="1">
      <alignment horizontal="right" vertical="center"/>
    </xf>
    <xf numFmtId="0" fontId="35" fillId="17" borderId="0" xfId="0" applyFont="1" applyFill="1" applyBorder="1" applyAlignment="1">
      <alignment horizontal="right" vertical="center"/>
    </xf>
    <xf numFmtId="164" fontId="35" fillId="17" borderId="3" xfId="0" applyNumberFormat="1" applyFont="1" applyFill="1" applyBorder="1" applyAlignment="1">
      <alignment horizontal="right" vertical="center"/>
    </xf>
    <xf numFmtId="168" fontId="35" fillId="17" borderId="3" xfId="0" applyNumberFormat="1" applyFont="1" applyFill="1" applyBorder="1" applyAlignment="1">
      <alignment horizontal="right" vertical="center"/>
    </xf>
    <xf numFmtId="169" fontId="35" fillId="17" borderId="3" xfId="0" applyNumberFormat="1" applyFont="1" applyFill="1" applyBorder="1" applyAlignment="1">
      <alignment horizontal="right" vertical="center"/>
    </xf>
    <xf numFmtId="1" fontId="31" fillId="21" borderId="3" xfId="0" applyNumberFormat="1" applyFont="1" applyFill="1" applyBorder="1" applyAlignment="1">
      <alignment horizontal="right" vertical="center"/>
    </xf>
    <xf numFmtId="0" fontId="36" fillId="0" borderId="3" xfId="0" applyFont="1" applyBorder="1" applyAlignment="1">
      <alignment horizontal="left" vertical="center" indent="1"/>
    </xf>
    <xf numFmtId="170" fontId="34" fillId="22" borderId="6" xfId="0" applyNumberFormat="1" applyFont="1" applyFill="1" applyBorder="1" applyAlignment="1">
      <alignment horizontal="right" vertical="center"/>
    </xf>
    <xf numFmtId="0" fontId="36" fillId="21" borderId="3" xfId="0" applyFont="1" applyFill="1" applyBorder="1" applyAlignment="1">
      <alignment horizontal="center" vertical="center"/>
    </xf>
    <xf numFmtId="0" fontId="18" fillId="16" borderId="3" xfId="0" applyFont="1" applyFill="1" applyBorder="1" applyAlignment="1">
      <alignment horizontal="center" vertical="center"/>
    </xf>
    <xf numFmtId="0" fontId="18" fillId="15" borderId="3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left" vertical="center" indent="2"/>
    </xf>
    <xf numFmtId="3" fontId="34" fillId="22" borderId="6" xfId="0" applyNumberFormat="1" applyFont="1" applyFill="1" applyBorder="1" applyAlignment="1">
      <alignment horizontal="right" vertical="center"/>
    </xf>
    <xf numFmtId="164" fontId="34" fillId="22" borderId="6" xfId="0" applyNumberFormat="1" applyFont="1" applyFill="1" applyBorder="1" applyAlignment="1">
      <alignment horizontal="right" vertical="center"/>
    </xf>
    <xf numFmtId="168" fontId="34" fillId="22" borderId="6" xfId="0" applyNumberFormat="1" applyFont="1" applyFill="1" applyBorder="1" applyAlignment="1">
      <alignment horizontal="right" vertical="center"/>
    </xf>
    <xf numFmtId="3" fontId="36" fillId="23" borderId="3" xfId="0" applyNumberFormat="1" applyFont="1" applyFill="1" applyBorder="1" applyAlignment="1">
      <alignment horizontal="right" vertical="center"/>
    </xf>
    <xf numFmtId="3" fontId="36" fillId="24" borderId="3" xfId="0" applyNumberFormat="1" applyFont="1" applyFill="1" applyBorder="1" applyAlignment="1">
      <alignment horizontal="right" vertical="center"/>
    </xf>
    <xf numFmtId="3" fontId="36" fillId="25" borderId="3" xfId="0" applyNumberFormat="1" applyFont="1" applyFill="1" applyBorder="1" applyAlignment="1">
      <alignment horizontal="right" vertical="center"/>
    </xf>
    <xf numFmtId="3" fontId="36" fillId="26" borderId="3" xfId="0" applyNumberFormat="1" applyFont="1" applyFill="1" applyBorder="1" applyAlignment="1">
      <alignment horizontal="right" vertical="center"/>
    </xf>
    <xf numFmtId="169" fontId="34" fillId="22" borderId="6" xfId="0" applyNumberFormat="1" applyFont="1" applyFill="1" applyBorder="1" applyAlignment="1">
      <alignment horizontal="right" vertical="center"/>
    </xf>
    <xf numFmtId="0" fontId="18" fillId="0" borderId="3" xfId="0" applyFont="1" applyBorder="1" applyAlignment="1">
      <alignment horizontal="center" vertical="center"/>
    </xf>
    <xf numFmtId="0" fontId="26" fillId="0" borderId="3" xfId="0" applyFont="1" applyBorder="1"/>
    <xf numFmtId="164" fontId="26" fillId="0" borderId="3" xfId="0" applyNumberFormat="1" applyFont="1" applyBorder="1"/>
    <xf numFmtId="168" fontId="26" fillId="0" borderId="3" xfId="0" applyNumberFormat="1" applyFont="1" applyBorder="1"/>
    <xf numFmtId="0" fontId="24" fillId="19" borderId="0" xfId="0" applyFont="1" applyFill="1" applyBorder="1" applyAlignment="1">
      <alignment horizontal="left" vertical="center" indent="1"/>
    </xf>
    <xf numFmtId="0" fontId="0" fillId="0" borderId="0" xfId="0" applyBorder="1"/>
    <xf numFmtId="0" fontId="13" fillId="0" borderId="0" xfId="0" applyFont="1" applyBorder="1" applyAlignment="1">
      <alignment horizontal="left" vertical="center" wrapText="1"/>
    </xf>
    <xf numFmtId="0" fontId="10" fillId="14" borderId="0" xfId="0" applyFont="1" applyFill="1" applyBorder="1" applyAlignment="1">
      <alignment horizontal="left" vertical="center" indent="1"/>
    </xf>
    <xf numFmtId="0" fontId="11" fillId="0" borderId="0" xfId="0" applyFont="1" applyBorder="1"/>
    <xf numFmtId="0" fontId="10" fillId="18" borderId="0" xfId="0" applyFont="1" applyFill="1" applyBorder="1" applyAlignment="1">
      <alignment horizontal="left" vertical="center" indent="1"/>
    </xf>
    <xf numFmtId="0" fontId="37" fillId="14" borderId="0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"/>
  <sheetViews>
    <sheetView workbookViewId="0">
      <pane ySplit="4" topLeftCell="A19" activePane="bottomLeft" state="frozen"/>
      <selection pane="bottomLeft" activeCell="F52" sqref="F52"/>
    </sheetView>
  </sheetViews>
  <sheetFormatPr baseColWidth="10" defaultColWidth="8.83203125" defaultRowHeight="15" x14ac:dyDescent="0.2"/>
  <cols>
    <col min="1" max="1" width="30" customWidth="1"/>
    <col min="2" max="2" width="50" customWidth="1"/>
    <col min="3" max="3" width="16" customWidth="1"/>
    <col min="4" max="4" width="14" customWidth="1"/>
    <col min="5" max="5" width="60" customWidth="1"/>
  </cols>
  <sheetData>
    <row r="1" spans="1:5" ht="28" customHeight="1" x14ac:dyDescent="0.2">
      <c r="A1" s="158" t="s">
        <v>0</v>
      </c>
      <c r="B1" s="156"/>
      <c r="C1" s="156"/>
      <c r="D1" s="156"/>
      <c r="E1" s="156"/>
    </row>
    <row r="2" spans="1:5" x14ac:dyDescent="0.2">
      <c r="A2" s="157" t="s">
        <v>1</v>
      </c>
      <c r="B2" s="156"/>
      <c r="C2" s="156"/>
      <c r="D2" s="156"/>
      <c r="E2" s="156"/>
    </row>
    <row r="4" spans="1:5" ht="28" customHeight="1" x14ac:dyDescent="0.2">
      <c r="A4" s="42" t="s">
        <v>2</v>
      </c>
      <c r="B4" s="42" t="s">
        <v>3</v>
      </c>
      <c r="C4" s="42" t="s">
        <v>4</v>
      </c>
      <c r="D4" s="42" t="s">
        <v>5</v>
      </c>
      <c r="E4" s="42" t="s">
        <v>6</v>
      </c>
    </row>
    <row r="5" spans="1:5" ht="22" customHeight="1" x14ac:dyDescent="0.2">
      <c r="A5" s="155" t="s">
        <v>7</v>
      </c>
      <c r="B5" s="156"/>
      <c r="C5" s="156"/>
      <c r="D5" s="156"/>
      <c r="E5" s="156"/>
    </row>
    <row r="6" spans="1:5" x14ac:dyDescent="0.2">
      <c r="A6" s="108" t="s">
        <v>8</v>
      </c>
      <c r="B6" s="109" t="s">
        <v>9</v>
      </c>
      <c r="C6" s="110">
        <v>32</v>
      </c>
      <c r="D6" s="111" t="s">
        <v>10</v>
      </c>
      <c r="E6" s="112" t="s">
        <v>1260</v>
      </c>
    </row>
    <row r="7" spans="1:5" x14ac:dyDescent="0.2">
      <c r="A7" s="108" t="s">
        <v>11</v>
      </c>
      <c r="B7" s="109" t="s">
        <v>12</v>
      </c>
      <c r="C7" s="110">
        <v>1</v>
      </c>
      <c r="D7" s="111" t="s">
        <v>10</v>
      </c>
      <c r="E7" s="112" t="s">
        <v>13</v>
      </c>
    </row>
    <row r="8" spans="1:5" x14ac:dyDescent="0.2">
      <c r="A8" s="108" t="s">
        <v>14</v>
      </c>
      <c r="B8" s="109" t="s">
        <v>15</v>
      </c>
      <c r="C8" s="110">
        <v>30</v>
      </c>
      <c r="D8" s="111" t="s">
        <v>10</v>
      </c>
      <c r="E8" s="112" t="s">
        <v>16</v>
      </c>
    </row>
    <row r="9" spans="1:5" x14ac:dyDescent="0.2">
      <c r="A9" s="108" t="s">
        <v>17</v>
      </c>
      <c r="B9" s="109" t="s">
        <v>18</v>
      </c>
      <c r="C9" s="110">
        <v>0</v>
      </c>
      <c r="D9" s="111" t="s">
        <v>10</v>
      </c>
      <c r="E9" s="112" t="s">
        <v>19</v>
      </c>
    </row>
    <row r="10" spans="1:5" ht="22" customHeight="1" x14ac:dyDescent="0.2">
      <c r="A10" s="155" t="s">
        <v>20</v>
      </c>
      <c r="B10" s="156"/>
      <c r="C10" s="156"/>
      <c r="D10" s="156"/>
      <c r="E10" s="156"/>
    </row>
    <row r="11" spans="1:5" ht="26" x14ac:dyDescent="0.2">
      <c r="A11" s="108" t="s">
        <v>21</v>
      </c>
      <c r="B11" s="109" t="s">
        <v>22</v>
      </c>
      <c r="C11" s="113">
        <v>2.1000000000000001E-2</v>
      </c>
      <c r="D11" s="111" t="s">
        <v>23</v>
      </c>
      <c r="E11" s="112" t="s">
        <v>24</v>
      </c>
    </row>
    <row r="12" spans="1:5" x14ac:dyDescent="0.2">
      <c r="A12" s="108" t="s">
        <v>25</v>
      </c>
      <c r="B12" s="109" t="s">
        <v>26</v>
      </c>
      <c r="C12" s="110">
        <v>0.3</v>
      </c>
      <c r="D12" s="111" t="s">
        <v>27</v>
      </c>
      <c r="E12" s="112" t="s">
        <v>28</v>
      </c>
    </row>
    <row r="13" spans="1:5" ht="22" customHeight="1" x14ac:dyDescent="0.2">
      <c r="A13" s="155" t="s">
        <v>29</v>
      </c>
      <c r="B13" s="156"/>
      <c r="C13" s="156"/>
      <c r="D13" s="156"/>
      <c r="E13" s="156"/>
    </row>
    <row r="14" spans="1:5" x14ac:dyDescent="0.2">
      <c r="A14" s="108" t="s">
        <v>30</v>
      </c>
      <c r="B14" s="109" t="s">
        <v>31</v>
      </c>
      <c r="C14" s="110">
        <v>900</v>
      </c>
      <c r="D14" s="111" t="s">
        <v>32</v>
      </c>
      <c r="E14" s="112" t="s">
        <v>33</v>
      </c>
    </row>
    <row r="15" spans="1:5" x14ac:dyDescent="0.2">
      <c r="A15" s="108" t="s">
        <v>34</v>
      </c>
      <c r="B15" s="109" t="s">
        <v>35</v>
      </c>
      <c r="C15" s="110">
        <v>30</v>
      </c>
      <c r="D15" s="111" t="s">
        <v>27</v>
      </c>
      <c r="E15" s="112" t="s">
        <v>36</v>
      </c>
    </row>
    <row r="16" spans="1:5" x14ac:dyDescent="0.2">
      <c r="A16" s="108" t="s">
        <v>37</v>
      </c>
      <c r="B16" s="109" t="s">
        <v>38</v>
      </c>
      <c r="C16" s="110">
        <v>30</v>
      </c>
      <c r="D16" s="111" t="s">
        <v>27</v>
      </c>
      <c r="E16" s="112" t="s">
        <v>39</v>
      </c>
    </row>
    <row r="17" spans="1:5" x14ac:dyDescent="0.2">
      <c r="A17" s="108" t="s">
        <v>40</v>
      </c>
      <c r="B17" s="109" t="s">
        <v>41</v>
      </c>
      <c r="C17" s="110">
        <v>22</v>
      </c>
      <c r="D17" s="111" t="s">
        <v>27</v>
      </c>
      <c r="E17" s="112" t="s">
        <v>42</v>
      </c>
    </row>
    <row r="18" spans="1:5" ht="22" customHeight="1" x14ac:dyDescent="0.2">
      <c r="A18" s="155" t="s">
        <v>43</v>
      </c>
      <c r="B18" s="156"/>
      <c r="C18" s="156"/>
      <c r="D18" s="156"/>
      <c r="E18" s="156"/>
    </row>
    <row r="19" spans="1:5" x14ac:dyDescent="0.2">
      <c r="A19" s="108" t="s">
        <v>44</v>
      </c>
      <c r="B19" s="109" t="s">
        <v>45</v>
      </c>
      <c r="C19" s="113">
        <v>0.04</v>
      </c>
      <c r="D19" s="111" t="s">
        <v>23</v>
      </c>
      <c r="E19" s="112" t="s">
        <v>46</v>
      </c>
    </row>
    <row r="20" spans="1:5" x14ac:dyDescent="0.2">
      <c r="A20" s="108" t="s">
        <v>47</v>
      </c>
      <c r="B20" s="109" t="s">
        <v>48</v>
      </c>
      <c r="C20" s="110">
        <v>50</v>
      </c>
      <c r="D20" s="111" t="s">
        <v>32</v>
      </c>
      <c r="E20" s="112" t="s">
        <v>49</v>
      </c>
    </row>
    <row r="21" spans="1:5" x14ac:dyDescent="0.2">
      <c r="A21" s="108" t="s">
        <v>50</v>
      </c>
      <c r="B21" s="109" t="s">
        <v>51</v>
      </c>
      <c r="C21" s="113">
        <v>0.02</v>
      </c>
      <c r="D21" s="111" t="s">
        <v>23</v>
      </c>
      <c r="E21" s="112" t="s">
        <v>52</v>
      </c>
    </row>
    <row r="22" spans="1:5" x14ac:dyDescent="0.2">
      <c r="A22" s="108" t="s">
        <v>53</v>
      </c>
      <c r="B22" s="109" t="s">
        <v>54</v>
      </c>
      <c r="C22" s="110">
        <v>80</v>
      </c>
      <c r="D22" s="111" t="s">
        <v>32</v>
      </c>
      <c r="E22" s="112" t="s">
        <v>55</v>
      </c>
    </row>
    <row r="23" spans="1:5" ht="22" customHeight="1" x14ac:dyDescent="0.2">
      <c r="A23" s="155" t="s">
        <v>56</v>
      </c>
      <c r="B23" s="156"/>
      <c r="C23" s="156"/>
      <c r="D23" s="156"/>
      <c r="E23" s="156"/>
    </row>
    <row r="24" spans="1:5" x14ac:dyDescent="0.2">
      <c r="A24" s="108" t="s">
        <v>57</v>
      </c>
      <c r="B24" s="109" t="s">
        <v>58</v>
      </c>
      <c r="C24" s="114">
        <v>5</v>
      </c>
      <c r="D24" s="111" t="s">
        <v>59</v>
      </c>
      <c r="E24" s="112" t="s">
        <v>60</v>
      </c>
    </row>
    <row r="25" spans="1:5" x14ac:dyDescent="0.2">
      <c r="A25" s="108" t="s">
        <v>61</v>
      </c>
      <c r="B25" s="109" t="s">
        <v>62</v>
      </c>
      <c r="C25" s="114">
        <v>4</v>
      </c>
      <c r="D25" s="111" t="s">
        <v>59</v>
      </c>
      <c r="E25" s="112" t="s">
        <v>63</v>
      </c>
    </row>
    <row r="26" spans="1:5" x14ac:dyDescent="0.2">
      <c r="A26" s="108" t="s">
        <v>64</v>
      </c>
      <c r="B26" s="109" t="s">
        <v>65</v>
      </c>
      <c r="C26" s="114">
        <v>3</v>
      </c>
      <c r="D26" s="111" t="s">
        <v>59</v>
      </c>
      <c r="E26" s="112" t="s">
        <v>66</v>
      </c>
    </row>
    <row r="27" spans="1:5" ht="22" customHeight="1" x14ac:dyDescent="0.2">
      <c r="A27" s="155" t="s">
        <v>67</v>
      </c>
      <c r="B27" s="156"/>
      <c r="C27" s="156"/>
      <c r="D27" s="156"/>
      <c r="E27" s="156"/>
    </row>
    <row r="28" spans="1:5" x14ac:dyDescent="0.2">
      <c r="A28" s="108" t="s">
        <v>68</v>
      </c>
      <c r="B28" s="109" t="s">
        <v>69</v>
      </c>
      <c r="C28" s="113">
        <v>8.0000000000000002E-3</v>
      </c>
      <c r="D28" s="111" t="s">
        <v>23</v>
      </c>
      <c r="E28" s="112" t="s">
        <v>70</v>
      </c>
    </row>
    <row r="29" spans="1:5" x14ac:dyDescent="0.2">
      <c r="A29" s="108" t="s">
        <v>71</v>
      </c>
      <c r="B29" s="109" t="s">
        <v>72</v>
      </c>
      <c r="C29" s="110">
        <v>500</v>
      </c>
      <c r="D29" s="111" t="s">
        <v>32</v>
      </c>
      <c r="E29" s="112" t="s">
        <v>73</v>
      </c>
    </row>
    <row r="30" spans="1:5" ht="22" customHeight="1" x14ac:dyDescent="0.2">
      <c r="A30" s="155" t="s">
        <v>74</v>
      </c>
      <c r="B30" s="156"/>
      <c r="C30" s="156"/>
      <c r="D30" s="156"/>
      <c r="E30" s="156"/>
    </row>
    <row r="31" spans="1:5" x14ac:dyDescent="0.2">
      <c r="A31" s="108" t="s">
        <v>75</v>
      </c>
      <c r="B31" s="109" t="s">
        <v>76</v>
      </c>
      <c r="C31" s="115">
        <v>15</v>
      </c>
      <c r="D31" s="111" t="s">
        <v>77</v>
      </c>
      <c r="E31" s="112" t="s">
        <v>78</v>
      </c>
    </row>
    <row r="32" spans="1:5" x14ac:dyDescent="0.2">
      <c r="A32" s="108" t="s">
        <v>79</v>
      </c>
      <c r="B32" s="109" t="s">
        <v>80</v>
      </c>
      <c r="C32" s="115">
        <v>30</v>
      </c>
      <c r="D32" s="111" t="s">
        <v>77</v>
      </c>
      <c r="E32" s="112" t="s">
        <v>81</v>
      </c>
    </row>
    <row r="33" spans="1:5" x14ac:dyDescent="0.2">
      <c r="A33" s="108" t="s">
        <v>82</v>
      </c>
      <c r="B33" s="109" t="s">
        <v>83</v>
      </c>
      <c r="C33" s="115">
        <v>60</v>
      </c>
      <c r="D33" s="111" t="s">
        <v>77</v>
      </c>
      <c r="E33" s="112" t="s">
        <v>84</v>
      </c>
    </row>
    <row r="34" spans="1:5" ht="22" customHeight="1" x14ac:dyDescent="0.2">
      <c r="A34" s="155" t="s">
        <v>85</v>
      </c>
      <c r="B34" s="156"/>
      <c r="C34" s="156"/>
      <c r="D34" s="156"/>
      <c r="E34" s="156"/>
    </row>
    <row r="35" spans="1:5" x14ac:dyDescent="0.2">
      <c r="A35" s="108" t="s">
        <v>86</v>
      </c>
      <c r="B35" s="109" t="s">
        <v>87</v>
      </c>
      <c r="C35" s="113">
        <v>0.21</v>
      </c>
      <c r="D35" s="111" t="s">
        <v>23</v>
      </c>
      <c r="E35" s="112" t="s">
        <v>88</v>
      </c>
    </row>
    <row r="36" spans="1:5" ht="22" customHeight="1" x14ac:dyDescent="0.2">
      <c r="A36" s="155" t="s">
        <v>89</v>
      </c>
      <c r="B36" s="156"/>
      <c r="C36" s="156"/>
      <c r="D36" s="156"/>
      <c r="E36" s="156"/>
    </row>
    <row r="37" spans="1:5" ht="26" x14ac:dyDescent="0.2">
      <c r="A37" s="108" t="s">
        <v>90</v>
      </c>
      <c r="B37" s="109" t="s">
        <v>91</v>
      </c>
      <c r="C37" s="113">
        <v>0.35454875444839851</v>
      </c>
      <c r="D37" s="111" t="s">
        <v>23</v>
      </c>
      <c r="E37" s="112" t="s">
        <v>92</v>
      </c>
    </row>
    <row r="38" spans="1:5" ht="22" customHeight="1" x14ac:dyDescent="0.2">
      <c r="A38" s="155" t="s">
        <v>93</v>
      </c>
      <c r="B38" s="156"/>
      <c r="C38" s="156"/>
      <c r="D38" s="156"/>
      <c r="E38" s="156"/>
    </row>
    <row r="39" spans="1:5" x14ac:dyDescent="0.2">
      <c r="A39" s="108" t="s">
        <v>94</v>
      </c>
      <c r="B39" s="109" t="s">
        <v>95</v>
      </c>
      <c r="C39" s="113">
        <v>0.3</v>
      </c>
      <c r="D39" s="111" t="s">
        <v>23</v>
      </c>
      <c r="E39" s="112" t="s">
        <v>96</v>
      </c>
    </row>
    <row r="40" spans="1:5" x14ac:dyDescent="0.2">
      <c r="A40" s="108" t="s">
        <v>97</v>
      </c>
      <c r="B40" s="109" t="s">
        <v>98</v>
      </c>
      <c r="C40" s="110">
        <v>100</v>
      </c>
      <c r="D40" s="111" t="s">
        <v>32</v>
      </c>
      <c r="E40" s="112" t="s">
        <v>99</v>
      </c>
    </row>
    <row r="41" spans="1:5" x14ac:dyDescent="0.2">
      <c r="A41" s="108" t="s">
        <v>100</v>
      </c>
      <c r="B41" s="109" t="s">
        <v>101</v>
      </c>
      <c r="C41" s="113">
        <v>0.15</v>
      </c>
      <c r="D41" s="111" t="s">
        <v>23</v>
      </c>
      <c r="E41" s="112" t="s">
        <v>102</v>
      </c>
    </row>
    <row r="42" spans="1:5" x14ac:dyDescent="0.2">
      <c r="A42" s="108" t="s">
        <v>103</v>
      </c>
      <c r="B42" s="109" t="s">
        <v>104</v>
      </c>
      <c r="C42" s="113">
        <v>0.05</v>
      </c>
      <c r="D42" s="111" t="s">
        <v>23</v>
      </c>
      <c r="E42" s="112" t="s">
        <v>105</v>
      </c>
    </row>
    <row r="44" spans="1:5" x14ac:dyDescent="0.2">
      <c r="A44" s="155" t="s">
        <v>106</v>
      </c>
      <c r="B44" s="156"/>
      <c r="C44" s="156"/>
      <c r="D44" s="156"/>
      <c r="E44" s="156"/>
    </row>
    <row r="45" spans="1:5" x14ac:dyDescent="0.2">
      <c r="B45" s="109" t="s">
        <v>107</v>
      </c>
      <c r="C45" s="116">
        <f>Shopify_plan+Dominio+Apps+Personal_fijo</f>
        <v>63</v>
      </c>
      <c r="E45" s="107" t="s">
        <v>108</v>
      </c>
    </row>
    <row r="46" spans="1:5" x14ac:dyDescent="0.2">
      <c r="B46" s="109" t="s">
        <v>109</v>
      </c>
      <c r="C46" s="116">
        <f>AOV*Comision_pago_pct + Comision_pago_fija + Coste_medio_envio_pedido + Tasa_devolucion*Coste_devolucion + Tasa_incidencia*Coste_incidencia</f>
        <v>36.4</v>
      </c>
      <c r="E46" s="107" t="s">
        <v>110</v>
      </c>
    </row>
  </sheetData>
  <mergeCells count="13">
    <mergeCell ref="A44:E44"/>
    <mergeCell ref="A18:E18"/>
    <mergeCell ref="A27:E27"/>
    <mergeCell ref="A1:E1"/>
    <mergeCell ref="A5:E5"/>
    <mergeCell ref="A23:E23"/>
    <mergeCell ref="A13:E13"/>
    <mergeCell ref="A36:E36"/>
    <mergeCell ref="A30:E30"/>
    <mergeCell ref="A34:E34"/>
    <mergeCell ref="A38:E38"/>
    <mergeCell ref="A2:E2"/>
    <mergeCell ref="A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ySplit="2" topLeftCell="A268" activePane="bottomLeft" state="frozen"/>
      <selection pane="bottomLeft"/>
    </sheetView>
  </sheetViews>
  <sheetFormatPr baseColWidth="10" defaultColWidth="14.5" defaultRowHeight="15" customHeight="1" x14ac:dyDescent="0.2"/>
  <cols>
    <col min="1" max="1" width="12" customWidth="1"/>
    <col min="2" max="2" width="51" bestFit="1" customWidth="1"/>
    <col min="3" max="3" width="13.1640625" customWidth="1"/>
    <col min="4" max="4" width="52" customWidth="1"/>
    <col min="5" max="5" width="18" customWidth="1"/>
    <col min="6" max="6" width="20" customWidth="1"/>
    <col min="7" max="7" width="14" customWidth="1"/>
    <col min="8" max="8" width="12" customWidth="1"/>
    <col min="9" max="9" width="18" customWidth="1"/>
    <col min="10" max="10" width="14" customWidth="1"/>
    <col min="11" max="11" width="12.83203125" customWidth="1"/>
    <col min="12" max="12" width="9.1640625" bestFit="1" customWidth="1"/>
    <col min="13" max="26" width="8.6640625" customWidth="1"/>
  </cols>
  <sheetData>
    <row r="1" spans="1:26" ht="31.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>
        <v>0.6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1.5" customHeight="1" x14ac:dyDescent="0.2">
      <c r="A2" s="3" t="s">
        <v>111</v>
      </c>
      <c r="B2" s="3" t="s">
        <v>112</v>
      </c>
      <c r="C2" s="3" t="s">
        <v>113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  <c r="K2" s="4" t="s">
        <v>121</v>
      </c>
      <c r="L2" s="4" t="s">
        <v>122</v>
      </c>
      <c r="M2" s="4" t="s">
        <v>123</v>
      </c>
      <c r="N2" s="4" t="s">
        <v>124</v>
      </c>
    </row>
    <row r="3" spans="1:26" ht="15.75" customHeight="1" x14ac:dyDescent="0.2">
      <c r="A3" s="5" t="s">
        <v>125</v>
      </c>
      <c r="B3" s="5" t="s">
        <v>126</v>
      </c>
      <c r="C3" s="5" t="s">
        <v>127</v>
      </c>
      <c r="D3" s="6" t="s">
        <v>128</v>
      </c>
      <c r="E3" s="7">
        <v>618</v>
      </c>
      <c r="F3" s="7">
        <v>1185.8</v>
      </c>
      <c r="G3" s="7">
        <v>362</v>
      </c>
      <c r="H3" s="8">
        <v>36.94</v>
      </c>
      <c r="I3" s="7">
        <v>980</v>
      </c>
      <c r="J3" s="7">
        <v>0</v>
      </c>
      <c r="K3" s="7">
        <f t="shared" ref="K3:K66" si="0">G3-J3</f>
        <v>362</v>
      </c>
      <c r="L3" s="7">
        <f t="shared" ref="L3:L66" si="1">K3*$L$1</f>
        <v>217.2</v>
      </c>
      <c r="M3" s="9">
        <f t="shared" ref="M3:M66" si="2">F3/K3</f>
        <v>3.2756906077348065</v>
      </c>
      <c r="N3" s="10" t="str">
        <f t="shared" ref="N3:N66" si="3">IF(M3&lt;3.5,"SI",IF(M3&lt;4.5,IF(K3&gt;=100,"SI",IF(K3&gt;=40,"CUIDADO","NO")),IF(AND(M3&lt;5.5,F3&gt;=500,K3&gt;=80),"CUIDADO","NO")))</f>
        <v>SI</v>
      </c>
    </row>
    <row r="4" spans="1:26" ht="15.75" customHeight="1" x14ac:dyDescent="0.2">
      <c r="A4" s="11" t="s">
        <v>125</v>
      </c>
      <c r="B4" s="11" t="s">
        <v>129</v>
      </c>
      <c r="C4" s="11" t="s">
        <v>130</v>
      </c>
      <c r="D4" s="12" t="s">
        <v>131</v>
      </c>
      <c r="E4" s="13">
        <v>927</v>
      </c>
      <c r="F4" s="13">
        <v>1778.7</v>
      </c>
      <c r="G4" s="13">
        <v>543</v>
      </c>
      <c r="H4" s="14">
        <v>36.94</v>
      </c>
      <c r="I4" s="13">
        <v>1470</v>
      </c>
      <c r="J4" s="13">
        <v>0</v>
      </c>
      <c r="K4" s="13">
        <f t="shared" si="0"/>
        <v>543</v>
      </c>
      <c r="L4" s="13">
        <f t="shared" si="1"/>
        <v>325.8</v>
      </c>
      <c r="M4" s="15">
        <f t="shared" si="2"/>
        <v>3.2756906077348069</v>
      </c>
      <c r="N4" s="10" t="str">
        <f t="shared" si="3"/>
        <v>SI</v>
      </c>
    </row>
    <row r="5" spans="1:26" ht="15.75" customHeight="1" x14ac:dyDescent="0.2">
      <c r="A5" s="5" t="s">
        <v>125</v>
      </c>
      <c r="B5" s="5" t="s">
        <v>132</v>
      </c>
      <c r="C5" s="5" t="s">
        <v>133</v>
      </c>
      <c r="D5" s="6" t="s">
        <v>134</v>
      </c>
      <c r="E5" s="7">
        <v>1223</v>
      </c>
      <c r="F5" s="7">
        <v>2347.4</v>
      </c>
      <c r="G5" s="7">
        <v>717</v>
      </c>
      <c r="H5" s="8">
        <v>36.96</v>
      </c>
      <c r="I5" s="7">
        <v>1940</v>
      </c>
      <c r="J5" s="7">
        <v>0</v>
      </c>
      <c r="K5" s="7">
        <f t="shared" si="0"/>
        <v>717</v>
      </c>
      <c r="L5" s="7">
        <f t="shared" si="1"/>
        <v>430.2</v>
      </c>
      <c r="M5" s="9">
        <f t="shared" si="2"/>
        <v>3.2739191073919107</v>
      </c>
      <c r="N5" s="10" t="str">
        <f t="shared" si="3"/>
        <v>SI</v>
      </c>
    </row>
    <row r="6" spans="1:26" ht="15.75" customHeight="1" x14ac:dyDescent="0.2">
      <c r="A6" s="11" t="s">
        <v>125</v>
      </c>
      <c r="B6" s="11" t="s">
        <v>135</v>
      </c>
      <c r="C6" s="11" t="s">
        <v>136</v>
      </c>
      <c r="D6" s="12" t="s">
        <v>137</v>
      </c>
      <c r="E6" s="13">
        <v>275</v>
      </c>
      <c r="F6" s="13">
        <v>526.35</v>
      </c>
      <c r="G6" s="13">
        <v>160</v>
      </c>
      <c r="H6" s="16">
        <v>36.78</v>
      </c>
      <c r="I6" s="13">
        <v>435</v>
      </c>
      <c r="J6" s="13">
        <v>50</v>
      </c>
      <c r="K6" s="13">
        <f t="shared" si="0"/>
        <v>110</v>
      </c>
      <c r="L6" s="13">
        <f t="shared" si="1"/>
        <v>66</v>
      </c>
      <c r="M6" s="15">
        <f t="shared" si="2"/>
        <v>4.7850000000000001</v>
      </c>
      <c r="N6" s="10" t="str">
        <f t="shared" si="3"/>
        <v>CUIDADO</v>
      </c>
    </row>
    <row r="7" spans="1:26" ht="15.75" customHeight="1" x14ac:dyDescent="0.2">
      <c r="A7" s="5" t="s">
        <v>125</v>
      </c>
      <c r="B7" s="5" t="s">
        <v>135</v>
      </c>
      <c r="C7" s="5" t="s">
        <v>136</v>
      </c>
      <c r="D7" s="6" t="s">
        <v>138</v>
      </c>
      <c r="E7" s="7">
        <v>2435</v>
      </c>
      <c r="F7" s="7">
        <v>4676.6499999999996</v>
      </c>
      <c r="G7" s="7">
        <v>1430</v>
      </c>
      <c r="H7" s="8">
        <v>37</v>
      </c>
      <c r="I7" s="7">
        <v>3865</v>
      </c>
      <c r="J7" s="7">
        <v>0</v>
      </c>
      <c r="K7" s="7">
        <f t="shared" si="0"/>
        <v>1430</v>
      </c>
      <c r="L7" s="7">
        <f t="shared" si="1"/>
        <v>858</v>
      </c>
      <c r="M7" s="9">
        <f t="shared" si="2"/>
        <v>3.2703846153846152</v>
      </c>
      <c r="N7" s="10" t="str">
        <f t="shared" si="3"/>
        <v>SI</v>
      </c>
    </row>
    <row r="8" spans="1:26" ht="15.75" customHeight="1" x14ac:dyDescent="0.2">
      <c r="A8" s="11" t="s">
        <v>125</v>
      </c>
      <c r="B8" s="11" t="s">
        <v>139</v>
      </c>
      <c r="C8" s="11" t="s">
        <v>140</v>
      </c>
      <c r="D8" s="12" t="s">
        <v>141</v>
      </c>
      <c r="E8" s="13">
        <v>2732</v>
      </c>
      <c r="F8" s="13">
        <v>5245.35</v>
      </c>
      <c r="G8" s="13">
        <v>1603</v>
      </c>
      <c r="H8" s="14">
        <v>36.979999999999997</v>
      </c>
      <c r="I8" s="13">
        <v>4335</v>
      </c>
      <c r="J8" s="13">
        <v>0</v>
      </c>
      <c r="K8" s="13">
        <f t="shared" si="0"/>
        <v>1603</v>
      </c>
      <c r="L8" s="13">
        <f t="shared" si="1"/>
        <v>961.8</v>
      </c>
      <c r="M8" s="15">
        <f t="shared" si="2"/>
        <v>3.2722083593262634</v>
      </c>
      <c r="N8" s="10" t="str">
        <f t="shared" si="3"/>
        <v>SI</v>
      </c>
    </row>
    <row r="9" spans="1:26" ht="15.75" customHeight="1" x14ac:dyDescent="0.2">
      <c r="A9" s="5" t="s">
        <v>125</v>
      </c>
      <c r="B9" s="5" t="s">
        <v>142</v>
      </c>
      <c r="C9" s="5" t="s">
        <v>143</v>
      </c>
      <c r="D9" s="6" t="s">
        <v>144</v>
      </c>
      <c r="E9" s="7">
        <v>413</v>
      </c>
      <c r="F9" s="7">
        <v>792.55</v>
      </c>
      <c r="G9" s="7">
        <v>242</v>
      </c>
      <c r="H9" s="17">
        <v>36.950000000000003</v>
      </c>
      <c r="I9" s="7">
        <v>655</v>
      </c>
      <c r="J9" s="7">
        <v>50</v>
      </c>
      <c r="K9" s="7">
        <f t="shared" si="0"/>
        <v>192</v>
      </c>
      <c r="L9" s="7">
        <f t="shared" si="1"/>
        <v>115.19999999999999</v>
      </c>
      <c r="M9" s="9">
        <f t="shared" si="2"/>
        <v>4.1278645833333334</v>
      </c>
      <c r="N9" s="10" t="str">
        <f t="shared" si="3"/>
        <v>SI</v>
      </c>
    </row>
    <row r="10" spans="1:26" ht="15.75" customHeight="1" x14ac:dyDescent="0.2">
      <c r="A10" s="11" t="s">
        <v>125</v>
      </c>
      <c r="B10" s="11" t="s">
        <v>145</v>
      </c>
      <c r="C10" s="11" t="s">
        <v>146</v>
      </c>
      <c r="D10" s="12" t="s">
        <v>147</v>
      </c>
      <c r="E10" s="13">
        <v>608</v>
      </c>
      <c r="F10" s="13">
        <v>1167.6500000000001</v>
      </c>
      <c r="G10" s="13">
        <v>357</v>
      </c>
      <c r="H10" s="14">
        <v>36.99</v>
      </c>
      <c r="I10" s="13">
        <v>965</v>
      </c>
      <c r="J10" s="13">
        <v>0</v>
      </c>
      <c r="K10" s="13">
        <f t="shared" si="0"/>
        <v>357</v>
      </c>
      <c r="L10" s="13">
        <f t="shared" si="1"/>
        <v>214.2</v>
      </c>
      <c r="M10" s="15">
        <f t="shared" si="2"/>
        <v>3.270728291316527</v>
      </c>
      <c r="N10" s="10" t="str">
        <f t="shared" si="3"/>
        <v>SI</v>
      </c>
    </row>
    <row r="11" spans="1:26" ht="15.75" customHeight="1" x14ac:dyDescent="0.2">
      <c r="A11" s="5" t="s">
        <v>125</v>
      </c>
      <c r="B11" s="5" t="s">
        <v>148</v>
      </c>
      <c r="C11" s="5" t="s">
        <v>149</v>
      </c>
      <c r="D11" s="6" t="s">
        <v>150</v>
      </c>
      <c r="E11" s="7">
        <v>772</v>
      </c>
      <c r="F11" s="7">
        <v>1482.25</v>
      </c>
      <c r="G11" s="7">
        <v>453</v>
      </c>
      <c r="H11" s="8">
        <v>36.979999999999997</v>
      </c>
      <c r="I11" s="7">
        <v>1225</v>
      </c>
      <c r="J11" s="7">
        <v>0</v>
      </c>
      <c r="K11" s="7">
        <f t="shared" si="0"/>
        <v>453</v>
      </c>
      <c r="L11" s="7">
        <f t="shared" si="1"/>
        <v>271.8</v>
      </c>
      <c r="M11" s="9">
        <f t="shared" si="2"/>
        <v>3.2720750551876381</v>
      </c>
      <c r="N11" s="10" t="str">
        <f t="shared" si="3"/>
        <v>SI</v>
      </c>
    </row>
    <row r="12" spans="1:26" ht="15.75" customHeight="1" x14ac:dyDescent="0.2">
      <c r="A12" s="11" t="s">
        <v>125</v>
      </c>
      <c r="B12" s="11" t="s">
        <v>151</v>
      </c>
      <c r="C12" s="11" t="s">
        <v>152</v>
      </c>
      <c r="D12" s="12" t="s">
        <v>153</v>
      </c>
      <c r="E12" s="13">
        <v>177</v>
      </c>
      <c r="F12" s="13">
        <v>338.8</v>
      </c>
      <c r="G12" s="13">
        <v>103</v>
      </c>
      <c r="H12" s="14">
        <v>36.79</v>
      </c>
      <c r="I12" s="13">
        <v>280</v>
      </c>
      <c r="J12" s="13">
        <v>0</v>
      </c>
      <c r="K12" s="13">
        <f t="shared" si="0"/>
        <v>103</v>
      </c>
      <c r="L12" s="13">
        <f t="shared" si="1"/>
        <v>61.8</v>
      </c>
      <c r="M12" s="15">
        <f t="shared" si="2"/>
        <v>3.2893203883495148</v>
      </c>
      <c r="N12" s="10" t="str">
        <f t="shared" si="3"/>
        <v>SI</v>
      </c>
    </row>
    <row r="13" spans="1:26" ht="15.75" customHeight="1" x14ac:dyDescent="0.2">
      <c r="A13" s="5" t="s">
        <v>125</v>
      </c>
      <c r="B13" s="5" t="s">
        <v>154</v>
      </c>
      <c r="C13" s="5" t="s">
        <v>155</v>
      </c>
      <c r="D13" s="6" t="s">
        <v>156</v>
      </c>
      <c r="E13" s="7">
        <v>246</v>
      </c>
      <c r="F13" s="7">
        <v>471.9</v>
      </c>
      <c r="G13" s="7">
        <v>144</v>
      </c>
      <c r="H13" s="17">
        <v>36.92</v>
      </c>
      <c r="I13" s="7">
        <v>390</v>
      </c>
      <c r="J13" s="7">
        <v>50</v>
      </c>
      <c r="K13" s="7">
        <f t="shared" si="0"/>
        <v>94</v>
      </c>
      <c r="L13" s="7">
        <f t="shared" si="1"/>
        <v>56.4</v>
      </c>
      <c r="M13" s="9">
        <f t="shared" si="2"/>
        <v>5.0202127659574467</v>
      </c>
      <c r="N13" s="10" t="str">
        <f t="shared" si="3"/>
        <v>NO</v>
      </c>
    </row>
    <row r="14" spans="1:26" ht="15.75" customHeight="1" x14ac:dyDescent="0.2">
      <c r="A14" s="11" t="s">
        <v>125</v>
      </c>
      <c r="B14" s="11" t="s">
        <v>157</v>
      </c>
      <c r="C14" s="11" t="s">
        <v>158</v>
      </c>
      <c r="D14" s="12" t="s">
        <v>159</v>
      </c>
      <c r="E14" s="13">
        <v>1610</v>
      </c>
      <c r="F14" s="13">
        <v>3091.55</v>
      </c>
      <c r="G14" s="13">
        <v>945</v>
      </c>
      <c r="H14" s="14">
        <v>36.99</v>
      </c>
      <c r="I14" s="13">
        <v>2555</v>
      </c>
      <c r="J14" s="13">
        <v>0</v>
      </c>
      <c r="K14" s="13">
        <f t="shared" si="0"/>
        <v>945</v>
      </c>
      <c r="L14" s="13">
        <f t="shared" si="1"/>
        <v>567</v>
      </c>
      <c r="M14" s="15">
        <f t="shared" si="2"/>
        <v>3.2714814814814819</v>
      </c>
      <c r="N14" s="10" t="str">
        <f t="shared" si="3"/>
        <v>SI</v>
      </c>
    </row>
    <row r="15" spans="1:26" ht="15.75" customHeight="1" x14ac:dyDescent="0.2">
      <c r="A15" s="5" t="s">
        <v>125</v>
      </c>
      <c r="B15" s="5" t="s">
        <v>160</v>
      </c>
      <c r="C15" s="5" t="s">
        <v>161</v>
      </c>
      <c r="D15" s="6" t="s">
        <v>162</v>
      </c>
      <c r="E15" s="7">
        <v>1843</v>
      </c>
      <c r="F15" s="7">
        <v>3539.25</v>
      </c>
      <c r="G15" s="7">
        <v>1082</v>
      </c>
      <c r="H15" s="8">
        <v>36.99</v>
      </c>
      <c r="I15" s="7">
        <v>2925</v>
      </c>
      <c r="J15" s="7">
        <v>0</v>
      </c>
      <c r="K15" s="7">
        <f t="shared" si="0"/>
        <v>1082</v>
      </c>
      <c r="L15" s="7">
        <f t="shared" si="1"/>
        <v>649.19999999999993</v>
      </c>
      <c r="M15" s="9">
        <f t="shared" si="2"/>
        <v>3.2710258780036967</v>
      </c>
      <c r="N15" s="10" t="str">
        <f t="shared" si="3"/>
        <v>SI</v>
      </c>
    </row>
    <row r="16" spans="1:26" ht="15.75" customHeight="1" x14ac:dyDescent="0.2">
      <c r="A16" s="11" t="s">
        <v>125</v>
      </c>
      <c r="B16" s="11" t="s">
        <v>163</v>
      </c>
      <c r="C16" s="11" t="s">
        <v>164</v>
      </c>
      <c r="D16" s="12" t="s">
        <v>165</v>
      </c>
      <c r="E16" s="13">
        <v>498</v>
      </c>
      <c r="F16" s="13">
        <v>955.9</v>
      </c>
      <c r="G16" s="13">
        <v>292</v>
      </c>
      <c r="H16" s="14">
        <v>36.96</v>
      </c>
      <c r="I16" s="13">
        <v>790</v>
      </c>
      <c r="J16" s="13">
        <v>50</v>
      </c>
      <c r="K16" s="13">
        <f t="shared" si="0"/>
        <v>242</v>
      </c>
      <c r="L16" s="13">
        <f t="shared" si="1"/>
        <v>145.19999999999999</v>
      </c>
      <c r="M16" s="15">
        <f t="shared" si="2"/>
        <v>3.9499999999999997</v>
      </c>
      <c r="N16" s="10" t="str">
        <f t="shared" si="3"/>
        <v>SI</v>
      </c>
    </row>
    <row r="17" spans="1:14" ht="15.75" customHeight="1" x14ac:dyDescent="0.2">
      <c r="A17" s="5" t="s">
        <v>125</v>
      </c>
      <c r="B17" s="5" t="s">
        <v>166</v>
      </c>
      <c r="C17" s="5" t="s">
        <v>167</v>
      </c>
      <c r="D17" s="6" t="s">
        <v>168</v>
      </c>
      <c r="E17" s="7">
        <v>728</v>
      </c>
      <c r="F17" s="7">
        <v>1397.55</v>
      </c>
      <c r="G17" s="7">
        <v>427</v>
      </c>
      <c r="H17" s="8">
        <v>36.97</v>
      </c>
      <c r="I17" s="7">
        <v>1155</v>
      </c>
      <c r="J17" s="7">
        <v>0</v>
      </c>
      <c r="K17" s="7">
        <f t="shared" si="0"/>
        <v>427</v>
      </c>
      <c r="L17" s="7">
        <f t="shared" si="1"/>
        <v>256.2</v>
      </c>
      <c r="M17" s="9">
        <f t="shared" si="2"/>
        <v>3.2729508196721309</v>
      </c>
      <c r="N17" s="10" t="str">
        <f t="shared" si="3"/>
        <v>SI</v>
      </c>
    </row>
    <row r="18" spans="1:14" ht="15.75" customHeight="1" x14ac:dyDescent="0.2">
      <c r="A18" s="11" t="s">
        <v>125</v>
      </c>
      <c r="B18" s="11" t="s">
        <v>169</v>
      </c>
      <c r="C18" s="11" t="s">
        <v>170</v>
      </c>
      <c r="D18" s="12" t="s">
        <v>171</v>
      </c>
      <c r="E18" s="13">
        <v>923</v>
      </c>
      <c r="F18" s="13">
        <v>1772.65</v>
      </c>
      <c r="G18" s="13">
        <v>542</v>
      </c>
      <c r="H18" s="14">
        <v>37</v>
      </c>
      <c r="I18" s="13">
        <v>1465</v>
      </c>
      <c r="J18" s="13">
        <v>0</v>
      </c>
      <c r="K18" s="13">
        <f t="shared" si="0"/>
        <v>542</v>
      </c>
      <c r="L18" s="13">
        <f t="shared" si="1"/>
        <v>325.2</v>
      </c>
      <c r="M18" s="15">
        <f t="shared" si="2"/>
        <v>3.2705719557195572</v>
      </c>
      <c r="N18" s="10" t="str">
        <f t="shared" si="3"/>
        <v>SI</v>
      </c>
    </row>
    <row r="19" spans="1:14" ht="15.75" customHeight="1" x14ac:dyDescent="0.2">
      <c r="A19" s="5" t="s">
        <v>125</v>
      </c>
      <c r="B19" s="5" t="s">
        <v>172</v>
      </c>
      <c r="C19" s="5" t="s">
        <v>173</v>
      </c>
      <c r="D19" s="6" t="s">
        <v>174</v>
      </c>
      <c r="E19" s="7">
        <v>262</v>
      </c>
      <c r="F19" s="7">
        <v>502.15</v>
      </c>
      <c r="G19" s="7">
        <v>153</v>
      </c>
      <c r="H19" s="17">
        <v>36.869999999999997</v>
      </c>
      <c r="I19" s="7">
        <v>415</v>
      </c>
      <c r="J19" s="7">
        <v>50</v>
      </c>
      <c r="K19" s="7">
        <f t="shared" si="0"/>
        <v>103</v>
      </c>
      <c r="L19" s="7">
        <f t="shared" si="1"/>
        <v>61.8</v>
      </c>
      <c r="M19" s="9">
        <f t="shared" si="2"/>
        <v>4.8752427184466018</v>
      </c>
      <c r="N19" s="10" t="str">
        <f t="shared" si="3"/>
        <v>CUIDADO</v>
      </c>
    </row>
    <row r="20" spans="1:14" ht="15.75" customHeight="1" x14ac:dyDescent="0.2">
      <c r="A20" s="11" t="s">
        <v>125</v>
      </c>
      <c r="B20" s="11" t="s">
        <v>175</v>
      </c>
      <c r="C20" s="11" t="s">
        <v>176</v>
      </c>
      <c r="D20" s="12" t="s">
        <v>177</v>
      </c>
      <c r="E20" s="13">
        <v>202</v>
      </c>
      <c r="F20" s="13">
        <v>387.2</v>
      </c>
      <c r="G20" s="13">
        <v>118</v>
      </c>
      <c r="H20" s="14">
        <v>36.880000000000003</v>
      </c>
      <c r="I20" s="13">
        <v>320</v>
      </c>
      <c r="J20" s="13">
        <v>50</v>
      </c>
      <c r="K20" s="13">
        <f t="shared" si="0"/>
        <v>68</v>
      </c>
      <c r="L20" s="13">
        <f t="shared" si="1"/>
        <v>40.799999999999997</v>
      </c>
      <c r="M20" s="15">
        <f t="shared" si="2"/>
        <v>5.6941176470588237</v>
      </c>
      <c r="N20" s="10" t="str">
        <f t="shared" si="3"/>
        <v>NO</v>
      </c>
    </row>
    <row r="21" spans="1:14" ht="15.75" customHeight="1" x14ac:dyDescent="0.2">
      <c r="A21" s="5" t="s">
        <v>125</v>
      </c>
      <c r="B21" s="5" t="s">
        <v>178</v>
      </c>
      <c r="C21" s="5" t="s">
        <v>179</v>
      </c>
      <c r="D21" s="6" t="s">
        <v>180</v>
      </c>
      <c r="E21" s="7">
        <v>1988</v>
      </c>
      <c r="F21" s="7">
        <v>3817.55</v>
      </c>
      <c r="G21" s="7">
        <v>1167</v>
      </c>
      <c r="H21" s="8">
        <v>36.99</v>
      </c>
      <c r="I21" s="7">
        <v>3155</v>
      </c>
      <c r="J21" s="7">
        <v>0</v>
      </c>
      <c r="K21" s="7">
        <f t="shared" si="0"/>
        <v>1167</v>
      </c>
      <c r="L21" s="7">
        <f t="shared" si="1"/>
        <v>700.19999999999993</v>
      </c>
      <c r="M21" s="9">
        <f t="shared" si="2"/>
        <v>3.2712510711225367</v>
      </c>
      <c r="N21" s="10" t="str">
        <f t="shared" si="3"/>
        <v>SI</v>
      </c>
    </row>
    <row r="22" spans="1:14" ht="15.75" customHeight="1" x14ac:dyDescent="0.2">
      <c r="A22" s="11" t="s">
        <v>125</v>
      </c>
      <c r="B22" s="11" t="s">
        <v>181</v>
      </c>
      <c r="C22" s="11" t="s">
        <v>182</v>
      </c>
      <c r="D22" s="12" t="s">
        <v>183</v>
      </c>
      <c r="E22" s="13">
        <v>2183</v>
      </c>
      <c r="F22" s="13">
        <v>4192.6499999999996</v>
      </c>
      <c r="G22" s="13">
        <v>1282</v>
      </c>
      <c r="H22" s="14">
        <v>37</v>
      </c>
      <c r="I22" s="13">
        <v>3465</v>
      </c>
      <c r="J22" s="13">
        <v>0</v>
      </c>
      <c r="K22" s="13">
        <f t="shared" si="0"/>
        <v>1282</v>
      </c>
      <c r="L22" s="13">
        <f t="shared" si="1"/>
        <v>769.19999999999993</v>
      </c>
      <c r="M22" s="15">
        <f t="shared" si="2"/>
        <v>3.2703978159126361</v>
      </c>
      <c r="N22" s="10" t="str">
        <f t="shared" si="3"/>
        <v>SI</v>
      </c>
    </row>
    <row r="23" spans="1:14" ht="15.75" customHeight="1" x14ac:dyDescent="0.2">
      <c r="A23" s="5" t="s">
        <v>125</v>
      </c>
      <c r="B23" s="5" t="s">
        <v>184</v>
      </c>
      <c r="C23" s="5" t="s">
        <v>185</v>
      </c>
      <c r="D23" s="6" t="s">
        <v>186</v>
      </c>
      <c r="E23" s="7">
        <v>530</v>
      </c>
      <c r="F23" s="7">
        <v>1016.4</v>
      </c>
      <c r="G23" s="7">
        <v>310</v>
      </c>
      <c r="H23" s="8">
        <v>36.9</v>
      </c>
      <c r="I23" s="7">
        <v>840</v>
      </c>
      <c r="J23" s="7">
        <v>50</v>
      </c>
      <c r="K23" s="7">
        <f t="shared" si="0"/>
        <v>260</v>
      </c>
      <c r="L23" s="7">
        <f t="shared" si="1"/>
        <v>156</v>
      </c>
      <c r="M23" s="9">
        <f t="shared" si="2"/>
        <v>3.9092307692307693</v>
      </c>
      <c r="N23" s="10" t="str">
        <f t="shared" si="3"/>
        <v>SI</v>
      </c>
    </row>
    <row r="24" spans="1:14" ht="15.75" customHeight="1" x14ac:dyDescent="0.2">
      <c r="A24" s="11" t="s">
        <v>125</v>
      </c>
      <c r="B24" s="11" t="s">
        <v>187</v>
      </c>
      <c r="C24" s="11" t="s">
        <v>188</v>
      </c>
      <c r="D24" s="12" t="s">
        <v>189</v>
      </c>
      <c r="E24" s="13">
        <v>756</v>
      </c>
      <c r="F24" s="13">
        <v>1452</v>
      </c>
      <c r="G24" s="13">
        <v>444</v>
      </c>
      <c r="H24" s="14">
        <v>37</v>
      </c>
      <c r="I24" s="13">
        <v>1200</v>
      </c>
      <c r="J24" s="13">
        <v>0</v>
      </c>
      <c r="K24" s="13">
        <f t="shared" si="0"/>
        <v>444</v>
      </c>
      <c r="L24" s="13">
        <f t="shared" si="1"/>
        <v>266.39999999999998</v>
      </c>
      <c r="M24" s="15">
        <f t="shared" si="2"/>
        <v>3.2702702702702702</v>
      </c>
      <c r="N24" s="10" t="str">
        <f t="shared" si="3"/>
        <v>SI</v>
      </c>
    </row>
    <row r="25" spans="1:14" ht="15.75" customHeight="1" x14ac:dyDescent="0.2">
      <c r="A25" s="5" t="s">
        <v>125</v>
      </c>
      <c r="B25" s="5" t="s">
        <v>190</v>
      </c>
      <c r="C25" s="5" t="s">
        <v>191</v>
      </c>
      <c r="D25" s="6" t="s">
        <v>192</v>
      </c>
      <c r="E25" s="7">
        <v>958</v>
      </c>
      <c r="F25" s="7">
        <v>1839.2</v>
      </c>
      <c r="G25" s="7">
        <v>562</v>
      </c>
      <c r="H25" s="8">
        <v>36.97</v>
      </c>
      <c r="I25" s="7">
        <v>1520</v>
      </c>
      <c r="J25" s="7">
        <v>0</v>
      </c>
      <c r="K25" s="7">
        <f t="shared" si="0"/>
        <v>562</v>
      </c>
      <c r="L25" s="7">
        <f t="shared" si="1"/>
        <v>337.2</v>
      </c>
      <c r="M25" s="9">
        <f t="shared" si="2"/>
        <v>3.2725978647686835</v>
      </c>
      <c r="N25" s="10" t="str">
        <f t="shared" si="3"/>
        <v>SI</v>
      </c>
    </row>
    <row r="26" spans="1:14" ht="15.75" customHeight="1" x14ac:dyDescent="0.2">
      <c r="A26" s="11" t="s">
        <v>125</v>
      </c>
      <c r="B26" s="11" t="s">
        <v>193</v>
      </c>
      <c r="C26" s="11" t="s">
        <v>194</v>
      </c>
      <c r="D26" s="12" t="s">
        <v>195</v>
      </c>
      <c r="E26" s="13">
        <v>171</v>
      </c>
      <c r="F26" s="13">
        <v>326.7</v>
      </c>
      <c r="G26" s="13">
        <v>99</v>
      </c>
      <c r="H26" s="16">
        <v>36.67</v>
      </c>
      <c r="I26" s="13">
        <v>270</v>
      </c>
      <c r="J26" s="13">
        <v>0</v>
      </c>
      <c r="K26" s="13">
        <f t="shared" si="0"/>
        <v>99</v>
      </c>
      <c r="L26" s="13">
        <f t="shared" si="1"/>
        <v>59.4</v>
      </c>
      <c r="M26" s="15">
        <f t="shared" si="2"/>
        <v>3.3</v>
      </c>
      <c r="N26" s="10" t="str">
        <f t="shared" si="3"/>
        <v>SI</v>
      </c>
    </row>
    <row r="27" spans="1:14" ht="15.75" customHeight="1" x14ac:dyDescent="0.2">
      <c r="A27" s="5" t="s">
        <v>125</v>
      </c>
      <c r="B27" s="5" t="s">
        <v>196</v>
      </c>
      <c r="C27" s="5" t="s">
        <v>197</v>
      </c>
      <c r="D27" s="6" t="s">
        <v>198</v>
      </c>
      <c r="E27" s="7">
        <v>1991</v>
      </c>
      <c r="F27" s="7">
        <v>3823.6</v>
      </c>
      <c r="G27" s="7">
        <v>1169</v>
      </c>
      <c r="H27" s="8">
        <v>36.99</v>
      </c>
      <c r="I27" s="7">
        <v>3160</v>
      </c>
      <c r="J27" s="7">
        <v>0</v>
      </c>
      <c r="K27" s="7">
        <f t="shared" si="0"/>
        <v>1169</v>
      </c>
      <c r="L27" s="7">
        <f t="shared" si="1"/>
        <v>701.4</v>
      </c>
      <c r="M27" s="9">
        <f t="shared" si="2"/>
        <v>3.2708297690333619</v>
      </c>
      <c r="N27" s="10" t="str">
        <f t="shared" si="3"/>
        <v>SI</v>
      </c>
    </row>
    <row r="28" spans="1:14" ht="15.75" customHeight="1" x14ac:dyDescent="0.2">
      <c r="A28" s="11" t="s">
        <v>125</v>
      </c>
      <c r="B28" s="11" t="s">
        <v>199</v>
      </c>
      <c r="C28" s="11" t="s">
        <v>200</v>
      </c>
      <c r="D28" s="12" t="s">
        <v>201</v>
      </c>
      <c r="E28" s="13">
        <v>2262</v>
      </c>
      <c r="F28" s="13">
        <v>4343.8999999999996</v>
      </c>
      <c r="G28" s="13">
        <v>1328</v>
      </c>
      <c r="H28" s="14">
        <v>36.99</v>
      </c>
      <c r="I28" s="13">
        <v>3590</v>
      </c>
      <c r="J28" s="13">
        <v>0</v>
      </c>
      <c r="K28" s="13">
        <f t="shared" si="0"/>
        <v>1328</v>
      </c>
      <c r="L28" s="13">
        <f t="shared" si="1"/>
        <v>796.8</v>
      </c>
      <c r="M28" s="15">
        <f t="shared" si="2"/>
        <v>3.2710090361445778</v>
      </c>
      <c r="N28" s="10" t="str">
        <f t="shared" si="3"/>
        <v>SI</v>
      </c>
    </row>
    <row r="29" spans="1:14" ht="15.75" customHeight="1" x14ac:dyDescent="0.2">
      <c r="A29" s="5" t="s">
        <v>125</v>
      </c>
      <c r="B29" s="5" t="s">
        <v>202</v>
      </c>
      <c r="C29" s="5" t="s">
        <v>203</v>
      </c>
      <c r="D29" s="6" t="s">
        <v>204</v>
      </c>
      <c r="E29" s="7">
        <v>413</v>
      </c>
      <c r="F29" s="7">
        <v>792.55</v>
      </c>
      <c r="G29" s="7">
        <v>242</v>
      </c>
      <c r="H29" s="17">
        <v>36.950000000000003</v>
      </c>
      <c r="I29" s="7">
        <v>655</v>
      </c>
      <c r="J29" s="7">
        <v>50</v>
      </c>
      <c r="K29" s="7">
        <f t="shared" si="0"/>
        <v>192</v>
      </c>
      <c r="L29" s="7">
        <f t="shared" si="1"/>
        <v>115.19999999999999</v>
      </c>
      <c r="M29" s="9">
        <f t="shared" si="2"/>
        <v>4.1278645833333334</v>
      </c>
      <c r="N29" s="10" t="str">
        <f t="shared" si="3"/>
        <v>SI</v>
      </c>
    </row>
    <row r="30" spans="1:14" ht="15.75" customHeight="1" x14ac:dyDescent="0.2">
      <c r="A30" s="11" t="s">
        <v>125</v>
      </c>
      <c r="B30" s="11" t="s">
        <v>205</v>
      </c>
      <c r="C30" s="11" t="s">
        <v>206</v>
      </c>
      <c r="D30" s="12" t="s">
        <v>207</v>
      </c>
      <c r="E30" s="13">
        <v>775</v>
      </c>
      <c r="F30" s="13">
        <v>1488.3</v>
      </c>
      <c r="G30" s="13">
        <v>455</v>
      </c>
      <c r="H30" s="14">
        <v>36.99</v>
      </c>
      <c r="I30" s="13">
        <v>1230</v>
      </c>
      <c r="J30" s="13">
        <v>0</v>
      </c>
      <c r="K30" s="13">
        <f t="shared" si="0"/>
        <v>455</v>
      </c>
      <c r="L30" s="13">
        <f t="shared" si="1"/>
        <v>273</v>
      </c>
      <c r="M30" s="15">
        <f t="shared" si="2"/>
        <v>3.2709890109890107</v>
      </c>
      <c r="N30" s="10" t="str">
        <f t="shared" si="3"/>
        <v>SI</v>
      </c>
    </row>
    <row r="31" spans="1:14" ht="15.75" customHeight="1" x14ac:dyDescent="0.2">
      <c r="A31" s="5" t="s">
        <v>125</v>
      </c>
      <c r="B31" s="5" t="s">
        <v>208</v>
      </c>
      <c r="C31" s="5" t="s">
        <v>209</v>
      </c>
      <c r="D31" s="6" t="s">
        <v>210</v>
      </c>
      <c r="E31" s="7">
        <v>549</v>
      </c>
      <c r="F31" s="7">
        <v>1052.7</v>
      </c>
      <c r="G31" s="7">
        <v>321</v>
      </c>
      <c r="H31" s="8">
        <v>36.9</v>
      </c>
      <c r="I31" s="7">
        <v>870</v>
      </c>
      <c r="J31" s="7">
        <v>50</v>
      </c>
      <c r="K31" s="7">
        <f t="shared" si="0"/>
        <v>271</v>
      </c>
      <c r="L31" s="7">
        <f t="shared" si="1"/>
        <v>162.6</v>
      </c>
      <c r="M31" s="9">
        <f t="shared" si="2"/>
        <v>3.8845018450184505</v>
      </c>
      <c r="N31" s="10" t="str">
        <f t="shared" si="3"/>
        <v>SI</v>
      </c>
    </row>
    <row r="32" spans="1:14" ht="15.75" customHeight="1" x14ac:dyDescent="0.2">
      <c r="A32" s="11" t="s">
        <v>125</v>
      </c>
      <c r="B32" s="11" t="s">
        <v>211</v>
      </c>
      <c r="C32" s="11" t="s">
        <v>212</v>
      </c>
      <c r="D32" s="12" t="s">
        <v>213</v>
      </c>
      <c r="E32" s="13">
        <v>196</v>
      </c>
      <c r="F32" s="13">
        <v>375.1</v>
      </c>
      <c r="G32" s="13">
        <v>114</v>
      </c>
      <c r="H32" s="16">
        <v>36.770000000000003</v>
      </c>
      <c r="I32" s="13">
        <v>310</v>
      </c>
      <c r="J32" s="13">
        <v>50</v>
      </c>
      <c r="K32" s="13">
        <f t="shared" si="0"/>
        <v>64</v>
      </c>
      <c r="L32" s="13">
        <f t="shared" si="1"/>
        <v>38.4</v>
      </c>
      <c r="M32" s="15">
        <f t="shared" si="2"/>
        <v>5.8609375000000004</v>
      </c>
      <c r="N32" s="10" t="str">
        <f t="shared" si="3"/>
        <v>NO</v>
      </c>
    </row>
    <row r="33" spans="1:14" ht="15.75" customHeight="1" x14ac:dyDescent="0.2">
      <c r="A33" s="5" t="s">
        <v>125</v>
      </c>
      <c r="B33" s="5" t="s">
        <v>214</v>
      </c>
      <c r="C33" s="5" t="s">
        <v>215</v>
      </c>
      <c r="D33" s="6" t="s">
        <v>216</v>
      </c>
      <c r="E33" s="7">
        <v>1569</v>
      </c>
      <c r="F33" s="7">
        <v>3012.9</v>
      </c>
      <c r="G33" s="7">
        <v>921</v>
      </c>
      <c r="H33" s="8">
        <v>36.99</v>
      </c>
      <c r="I33" s="7">
        <v>2490</v>
      </c>
      <c r="J33" s="7">
        <v>0</v>
      </c>
      <c r="K33" s="7">
        <f t="shared" si="0"/>
        <v>921</v>
      </c>
      <c r="L33" s="7">
        <f t="shared" si="1"/>
        <v>552.6</v>
      </c>
      <c r="M33" s="9">
        <f t="shared" si="2"/>
        <v>3.2713355048859936</v>
      </c>
      <c r="N33" s="10" t="str">
        <f t="shared" si="3"/>
        <v>SI</v>
      </c>
    </row>
    <row r="34" spans="1:14" ht="15.75" customHeight="1" x14ac:dyDescent="0.2">
      <c r="A34" s="11" t="s">
        <v>125</v>
      </c>
      <c r="B34" s="11" t="s">
        <v>217</v>
      </c>
      <c r="C34" s="11" t="s">
        <v>218</v>
      </c>
      <c r="D34" s="12" t="s">
        <v>219</v>
      </c>
      <c r="E34" s="13">
        <v>1796</v>
      </c>
      <c r="F34" s="13">
        <v>3448.5</v>
      </c>
      <c r="G34" s="13">
        <v>1054</v>
      </c>
      <c r="H34" s="14">
        <v>36.979999999999997</v>
      </c>
      <c r="I34" s="13">
        <v>2850</v>
      </c>
      <c r="J34" s="13">
        <v>0</v>
      </c>
      <c r="K34" s="13">
        <f t="shared" si="0"/>
        <v>1054</v>
      </c>
      <c r="L34" s="13">
        <f t="shared" si="1"/>
        <v>632.4</v>
      </c>
      <c r="M34" s="15">
        <f t="shared" si="2"/>
        <v>3.271821631878558</v>
      </c>
      <c r="N34" s="10" t="str">
        <f t="shared" si="3"/>
        <v>SI</v>
      </c>
    </row>
    <row r="35" spans="1:14" ht="15.75" customHeight="1" x14ac:dyDescent="0.2">
      <c r="A35" s="5" t="s">
        <v>125</v>
      </c>
      <c r="B35" s="5" t="s">
        <v>220</v>
      </c>
      <c r="C35" s="5" t="s">
        <v>221</v>
      </c>
      <c r="D35" s="6" t="s">
        <v>222</v>
      </c>
      <c r="E35" s="7">
        <v>508</v>
      </c>
      <c r="F35" s="7">
        <v>974.05</v>
      </c>
      <c r="G35" s="7">
        <v>297</v>
      </c>
      <c r="H35" s="8">
        <v>36.89</v>
      </c>
      <c r="I35" s="7">
        <v>805</v>
      </c>
      <c r="J35" s="7">
        <v>50</v>
      </c>
      <c r="K35" s="7">
        <f t="shared" si="0"/>
        <v>247</v>
      </c>
      <c r="L35" s="7">
        <f t="shared" si="1"/>
        <v>148.19999999999999</v>
      </c>
      <c r="M35" s="9">
        <f t="shared" si="2"/>
        <v>3.9435222672064776</v>
      </c>
      <c r="N35" s="10" t="str">
        <f t="shared" si="3"/>
        <v>SI</v>
      </c>
    </row>
    <row r="36" spans="1:14" ht="15.75" customHeight="1" x14ac:dyDescent="0.2">
      <c r="A36" s="11" t="s">
        <v>125</v>
      </c>
      <c r="B36" s="11" t="s">
        <v>223</v>
      </c>
      <c r="C36" s="11" t="s">
        <v>224</v>
      </c>
      <c r="D36" s="12" t="s">
        <v>225</v>
      </c>
      <c r="E36" s="13">
        <v>722</v>
      </c>
      <c r="F36" s="13">
        <v>1385.45</v>
      </c>
      <c r="G36" s="13">
        <v>423</v>
      </c>
      <c r="H36" s="14">
        <v>36.94</v>
      </c>
      <c r="I36" s="13">
        <v>1145</v>
      </c>
      <c r="J36" s="13">
        <v>0</v>
      </c>
      <c r="K36" s="13">
        <f t="shared" si="0"/>
        <v>423</v>
      </c>
      <c r="L36" s="13">
        <f t="shared" si="1"/>
        <v>253.79999999999998</v>
      </c>
      <c r="M36" s="15">
        <f t="shared" si="2"/>
        <v>3.2752955082742319</v>
      </c>
      <c r="N36" s="10" t="str">
        <f t="shared" si="3"/>
        <v>SI</v>
      </c>
    </row>
    <row r="37" spans="1:14" ht="15.75" customHeight="1" x14ac:dyDescent="0.2">
      <c r="A37" s="5" t="s">
        <v>125</v>
      </c>
      <c r="B37" s="5" t="s">
        <v>226</v>
      </c>
      <c r="C37" s="5" t="s">
        <v>227</v>
      </c>
      <c r="D37" s="6" t="s">
        <v>228</v>
      </c>
      <c r="E37" s="7">
        <v>999</v>
      </c>
      <c r="F37" s="7">
        <v>1917.85</v>
      </c>
      <c r="G37" s="7">
        <v>586</v>
      </c>
      <c r="H37" s="8">
        <v>36.97</v>
      </c>
      <c r="I37" s="7">
        <v>1585</v>
      </c>
      <c r="J37" s="7">
        <v>0</v>
      </c>
      <c r="K37" s="7">
        <f t="shared" si="0"/>
        <v>586</v>
      </c>
      <c r="L37" s="7">
        <f t="shared" si="1"/>
        <v>351.59999999999997</v>
      </c>
      <c r="M37" s="9">
        <f t="shared" si="2"/>
        <v>3.2727815699658702</v>
      </c>
      <c r="N37" s="10" t="str">
        <f t="shared" si="3"/>
        <v>SI</v>
      </c>
    </row>
    <row r="38" spans="1:14" ht="15.75" customHeight="1" x14ac:dyDescent="0.2">
      <c r="A38" s="11" t="s">
        <v>125</v>
      </c>
      <c r="B38" s="11" t="s">
        <v>229</v>
      </c>
      <c r="C38" s="11" t="s">
        <v>230</v>
      </c>
      <c r="D38" s="12" t="s">
        <v>231</v>
      </c>
      <c r="E38" s="13">
        <v>98</v>
      </c>
      <c r="F38" s="13">
        <v>187.55</v>
      </c>
      <c r="G38" s="13">
        <v>57</v>
      </c>
      <c r="H38" s="16">
        <v>36.770000000000003</v>
      </c>
      <c r="I38" s="13">
        <v>155</v>
      </c>
      <c r="J38" s="13">
        <v>0</v>
      </c>
      <c r="K38" s="13">
        <f t="shared" si="0"/>
        <v>57</v>
      </c>
      <c r="L38" s="13">
        <f t="shared" si="1"/>
        <v>34.199999999999996</v>
      </c>
      <c r="M38" s="15">
        <f t="shared" si="2"/>
        <v>3.2903508771929828</v>
      </c>
      <c r="N38" s="10" t="str">
        <f t="shared" si="3"/>
        <v>SI</v>
      </c>
    </row>
    <row r="39" spans="1:14" ht="15.75" customHeight="1" x14ac:dyDescent="0.2">
      <c r="A39" s="5" t="s">
        <v>125</v>
      </c>
      <c r="B39" s="5" t="s">
        <v>232</v>
      </c>
      <c r="C39" s="5" t="s">
        <v>233</v>
      </c>
      <c r="D39" s="6" t="s">
        <v>234</v>
      </c>
      <c r="E39" s="7">
        <v>268</v>
      </c>
      <c r="F39" s="7">
        <v>514.25</v>
      </c>
      <c r="G39" s="7">
        <v>157</v>
      </c>
      <c r="H39" s="8">
        <v>36.94</v>
      </c>
      <c r="I39" s="7">
        <v>425</v>
      </c>
      <c r="J39" s="7">
        <v>50</v>
      </c>
      <c r="K39" s="7">
        <f t="shared" si="0"/>
        <v>107</v>
      </c>
      <c r="L39" s="7">
        <f t="shared" si="1"/>
        <v>64.2</v>
      </c>
      <c r="M39" s="9">
        <f t="shared" si="2"/>
        <v>4.80607476635514</v>
      </c>
      <c r="N39" s="10" t="str">
        <f t="shared" si="3"/>
        <v>CUIDADO</v>
      </c>
    </row>
    <row r="40" spans="1:14" ht="15.75" customHeight="1" x14ac:dyDescent="0.2">
      <c r="A40" s="11" t="s">
        <v>125</v>
      </c>
      <c r="B40" s="11" t="s">
        <v>235</v>
      </c>
      <c r="C40" s="11" t="s">
        <v>236</v>
      </c>
      <c r="D40" s="12" t="s">
        <v>237</v>
      </c>
      <c r="E40" s="13">
        <v>454</v>
      </c>
      <c r="F40" s="13">
        <v>871.2</v>
      </c>
      <c r="G40" s="13">
        <v>266</v>
      </c>
      <c r="H40" s="14">
        <v>36.94</v>
      </c>
      <c r="I40" s="13">
        <v>720</v>
      </c>
      <c r="J40" s="13">
        <v>50</v>
      </c>
      <c r="K40" s="13">
        <f t="shared" si="0"/>
        <v>216</v>
      </c>
      <c r="L40" s="13">
        <f t="shared" si="1"/>
        <v>129.6</v>
      </c>
      <c r="M40" s="15">
        <f t="shared" si="2"/>
        <v>4.0333333333333332</v>
      </c>
      <c r="N40" s="10" t="str">
        <f t="shared" si="3"/>
        <v>SI</v>
      </c>
    </row>
    <row r="41" spans="1:14" ht="15.75" customHeight="1" x14ac:dyDescent="0.2">
      <c r="A41" s="5" t="s">
        <v>125</v>
      </c>
      <c r="B41" s="5" t="s">
        <v>238</v>
      </c>
      <c r="C41" s="5" t="s">
        <v>239</v>
      </c>
      <c r="D41" s="6" t="s">
        <v>240</v>
      </c>
      <c r="E41" s="7">
        <v>596</v>
      </c>
      <c r="F41" s="7">
        <v>1143.45</v>
      </c>
      <c r="G41" s="7">
        <v>349</v>
      </c>
      <c r="H41" s="8">
        <v>36.93</v>
      </c>
      <c r="I41" s="7">
        <v>945</v>
      </c>
      <c r="J41" s="7">
        <v>0</v>
      </c>
      <c r="K41" s="7">
        <f t="shared" si="0"/>
        <v>349</v>
      </c>
      <c r="L41" s="7">
        <f t="shared" si="1"/>
        <v>209.4</v>
      </c>
      <c r="M41" s="9">
        <f t="shared" si="2"/>
        <v>3.2763610315186247</v>
      </c>
      <c r="N41" s="10" t="str">
        <f t="shared" si="3"/>
        <v>SI</v>
      </c>
    </row>
    <row r="42" spans="1:14" ht="15.75" customHeight="1" x14ac:dyDescent="0.2">
      <c r="A42" s="11" t="s">
        <v>125</v>
      </c>
      <c r="B42" s="11" t="s">
        <v>241</v>
      </c>
      <c r="C42" s="11" t="s">
        <v>242</v>
      </c>
      <c r="D42" s="12" t="s">
        <v>243</v>
      </c>
      <c r="E42" s="13">
        <v>177</v>
      </c>
      <c r="F42" s="13">
        <v>338.8</v>
      </c>
      <c r="G42" s="13">
        <v>103</v>
      </c>
      <c r="H42" s="14">
        <v>36.79</v>
      </c>
      <c r="I42" s="13">
        <v>280</v>
      </c>
      <c r="J42" s="13">
        <v>0</v>
      </c>
      <c r="K42" s="13">
        <f t="shared" si="0"/>
        <v>103</v>
      </c>
      <c r="L42" s="13">
        <f t="shared" si="1"/>
        <v>61.8</v>
      </c>
      <c r="M42" s="15">
        <f t="shared" si="2"/>
        <v>3.2893203883495148</v>
      </c>
      <c r="N42" s="10" t="str">
        <f t="shared" si="3"/>
        <v>SI</v>
      </c>
    </row>
    <row r="43" spans="1:14" ht="15.75" customHeight="1" x14ac:dyDescent="0.2">
      <c r="A43" s="5" t="s">
        <v>125</v>
      </c>
      <c r="B43" s="5" t="s">
        <v>244</v>
      </c>
      <c r="C43" s="5" t="s">
        <v>245</v>
      </c>
      <c r="D43" s="6" t="s">
        <v>246</v>
      </c>
      <c r="E43" s="7">
        <v>246</v>
      </c>
      <c r="F43" s="7">
        <v>471.9</v>
      </c>
      <c r="G43" s="7">
        <v>144</v>
      </c>
      <c r="H43" s="17">
        <v>36.92</v>
      </c>
      <c r="I43" s="7">
        <v>390</v>
      </c>
      <c r="J43" s="7">
        <v>50</v>
      </c>
      <c r="K43" s="7">
        <f t="shared" si="0"/>
        <v>94</v>
      </c>
      <c r="L43" s="7">
        <f t="shared" si="1"/>
        <v>56.4</v>
      </c>
      <c r="M43" s="9">
        <f t="shared" si="2"/>
        <v>5.0202127659574467</v>
      </c>
      <c r="N43" s="10" t="str">
        <f t="shared" si="3"/>
        <v>NO</v>
      </c>
    </row>
    <row r="44" spans="1:14" ht="15.75" customHeight="1" x14ac:dyDescent="0.2">
      <c r="A44" s="11" t="s">
        <v>125</v>
      </c>
      <c r="B44" s="11" t="s">
        <v>247</v>
      </c>
      <c r="C44" s="11" t="s">
        <v>248</v>
      </c>
      <c r="D44" s="12" t="s">
        <v>249</v>
      </c>
      <c r="E44" s="13">
        <v>1166</v>
      </c>
      <c r="F44" s="13">
        <v>2238.5</v>
      </c>
      <c r="G44" s="13">
        <v>684</v>
      </c>
      <c r="H44" s="14">
        <v>36.97</v>
      </c>
      <c r="I44" s="13">
        <v>1850</v>
      </c>
      <c r="J44" s="13">
        <v>0</v>
      </c>
      <c r="K44" s="13">
        <f t="shared" si="0"/>
        <v>684</v>
      </c>
      <c r="L44" s="13">
        <f t="shared" si="1"/>
        <v>410.4</v>
      </c>
      <c r="M44" s="15">
        <f t="shared" si="2"/>
        <v>3.2726608187134505</v>
      </c>
      <c r="N44" s="10" t="str">
        <f t="shared" si="3"/>
        <v>SI</v>
      </c>
    </row>
    <row r="45" spans="1:14" ht="15.75" customHeight="1" x14ac:dyDescent="0.2">
      <c r="A45" s="5" t="s">
        <v>125</v>
      </c>
      <c r="B45" s="5" t="s">
        <v>250</v>
      </c>
      <c r="C45" s="5" t="s">
        <v>251</v>
      </c>
      <c r="D45" s="6" t="s">
        <v>252</v>
      </c>
      <c r="E45" s="7">
        <v>1377</v>
      </c>
      <c r="F45" s="7">
        <v>2643.85</v>
      </c>
      <c r="G45" s="7">
        <v>808</v>
      </c>
      <c r="H45" s="8">
        <v>36.979999999999997</v>
      </c>
      <c r="I45" s="7">
        <v>2185</v>
      </c>
      <c r="J45" s="7">
        <v>0</v>
      </c>
      <c r="K45" s="7">
        <f t="shared" si="0"/>
        <v>808</v>
      </c>
      <c r="L45" s="7">
        <f t="shared" si="1"/>
        <v>484.79999999999995</v>
      </c>
      <c r="M45" s="9">
        <f t="shared" si="2"/>
        <v>3.2720915841584159</v>
      </c>
      <c r="N45" s="10" t="str">
        <f t="shared" si="3"/>
        <v>SI</v>
      </c>
    </row>
    <row r="46" spans="1:14" ht="15.75" customHeight="1" x14ac:dyDescent="0.2">
      <c r="A46" s="11" t="s">
        <v>125</v>
      </c>
      <c r="B46" s="11" t="s">
        <v>253</v>
      </c>
      <c r="C46" s="11" t="s">
        <v>254</v>
      </c>
      <c r="D46" s="12" t="s">
        <v>255</v>
      </c>
      <c r="E46" s="13">
        <v>312</v>
      </c>
      <c r="F46" s="13">
        <v>598.95000000000005</v>
      </c>
      <c r="G46" s="13">
        <v>183</v>
      </c>
      <c r="H46" s="16">
        <v>36.97</v>
      </c>
      <c r="I46" s="13">
        <v>495</v>
      </c>
      <c r="J46" s="13">
        <v>50</v>
      </c>
      <c r="K46" s="13">
        <f t="shared" si="0"/>
        <v>133</v>
      </c>
      <c r="L46" s="13">
        <f t="shared" si="1"/>
        <v>79.8</v>
      </c>
      <c r="M46" s="15">
        <f t="shared" si="2"/>
        <v>4.503383458646617</v>
      </c>
      <c r="N46" s="10" t="str">
        <f t="shared" si="3"/>
        <v>CUIDADO</v>
      </c>
    </row>
    <row r="47" spans="1:14" ht="15.75" customHeight="1" x14ac:dyDescent="0.2">
      <c r="A47" s="5" t="s">
        <v>125</v>
      </c>
      <c r="B47" s="5" t="s">
        <v>256</v>
      </c>
      <c r="C47" s="5" t="s">
        <v>257</v>
      </c>
      <c r="D47" s="6" t="s">
        <v>258</v>
      </c>
      <c r="E47" s="7">
        <v>495</v>
      </c>
      <c r="F47" s="7">
        <v>949.85</v>
      </c>
      <c r="G47" s="7">
        <v>290</v>
      </c>
      <c r="H47" s="8">
        <v>36.94</v>
      </c>
      <c r="I47" s="7">
        <v>785</v>
      </c>
      <c r="J47" s="7">
        <v>50</v>
      </c>
      <c r="K47" s="7">
        <f t="shared" si="0"/>
        <v>240</v>
      </c>
      <c r="L47" s="7">
        <f t="shared" si="1"/>
        <v>144</v>
      </c>
      <c r="M47" s="9">
        <f t="shared" si="2"/>
        <v>3.9577083333333336</v>
      </c>
      <c r="N47" s="10" t="str">
        <f t="shared" si="3"/>
        <v>SI</v>
      </c>
    </row>
    <row r="48" spans="1:14" ht="15.75" customHeight="1" x14ac:dyDescent="0.2">
      <c r="A48" s="11" t="s">
        <v>125</v>
      </c>
      <c r="B48" s="11" t="s">
        <v>259</v>
      </c>
      <c r="C48" s="11" t="s">
        <v>260</v>
      </c>
      <c r="D48" s="12" t="s">
        <v>261</v>
      </c>
      <c r="E48" s="13">
        <v>627</v>
      </c>
      <c r="F48" s="13">
        <v>1203.95</v>
      </c>
      <c r="G48" s="13">
        <v>368</v>
      </c>
      <c r="H48" s="14">
        <v>36.979999999999997</v>
      </c>
      <c r="I48" s="13">
        <v>995</v>
      </c>
      <c r="J48" s="13">
        <v>0</v>
      </c>
      <c r="K48" s="13">
        <f t="shared" si="0"/>
        <v>368</v>
      </c>
      <c r="L48" s="13">
        <f t="shared" si="1"/>
        <v>220.79999999999998</v>
      </c>
      <c r="M48" s="15">
        <f t="shared" si="2"/>
        <v>3.2716032608695653</v>
      </c>
      <c r="N48" s="10" t="str">
        <f t="shared" si="3"/>
        <v>SI</v>
      </c>
    </row>
    <row r="49" spans="1:14" ht="15.75" customHeight="1" x14ac:dyDescent="0.2">
      <c r="A49" s="5" t="s">
        <v>125</v>
      </c>
      <c r="B49" s="5" t="s">
        <v>262</v>
      </c>
      <c r="C49" s="5" t="s">
        <v>263</v>
      </c>
      <c r="D49" s="6" t="s">
        <v>264</v>
      </c>
      <c r="E49" s="7">
        <v>1465</v>
      </c>
      <c r="F49" s="7">
        <v>2813.25</v>
      </c>
      <c r="G49" s="7">
        <v>860</v>
      </c>
      <c r="H49" s="8">
        <v>36.99</v>
      </c>
      <c r="I49" s="7">
        <v>2325</v>
      </c>
      <c r="J49" s="7">
        <v>0</v>
      </c>
      <c r="K49" s="7">
        <f t="shared" si="0"/>
        <v>860</v>
      </c>
      <c r="L49" s="7">
        <f t="shared" si="1"/>
        <v>516</v>
      </c>
      <c r="M49" s="9">
        <f t="shared" si="2"/>
        <v>3.2712209302325581</v>
      </c>
      <c r="N49" s="10" t="str">
        <f t="shared" si="3"/>
        <v>SI</v>
      </c>
    </row>
    <row r="50" spans="1:14" ht="15.75" customHeight="1" x14ac:dyDescent="0.2">
      <c r="A50" s="11" t="s">
        <v>125</v>
      </c>
      <c r="B50" s="11" t="s">
        <v>265</v>
      </c>
      <c r="C50" s="11" t="s">
        <v>266</v>
      </c>
      <c r="D50" s="12" t="s">
        <v>267</v>
      </c>
      <c r="E50" s="13">
        <v>1635</v>
      </c>
      <c r="F50" s="13">
        <v>3139.95</v>
      </c>
      <c r="G50" s="13">
        <v>960</v>
      </c>
      <c r="H50" s="14">
        <v>36.99</v>
      </c>
      <c r="I50" s="13">
        <v>2595</v>
      </c>
      <c r="J50" s="13">
        <v>0</v>
      </c>
      <c r="K50" s="13">
        <f t="shared" si="0"/>
        <v>960</v>
      </c>
      <c r="L50" s="13">
        <f t="shared" si="1"/>
        <v>576</v>
      </c>
      <c r="M50" s="15">
        <f t="shared" si="2"/>
        <v>3.2707812499999998</v>
      </c>
      <c r="N50" s="10" t="str">
        <f t="shared" si="3"/>
        <v>SI</v>
      </c>
    </row>
    <row r="51" spans="1:14" ht="15.75" customHeight="1" x14ac:dyDescent="0.2">
      <c r="A51" s="5" t="s">
        <v>125</v>
      </c>
      <c r="B51" s="5" t="s">
        <v>268</v>
      </c>
      <c r="C51" s="5" t="s">
        <v>269</v>
      </c>
      <c r="D51" s="6" t="s">
        <v>270</v>
      </c>
      <c r="E51" s="7">
        <v>186</v>
      </c>
      <c r="F51" s="7">
        <v>356.95</v>
      </c>
      <c r="G51" s="7">
        <v>109</v>
      </c>
      <c r="H51" s="17">
        <v>36.950000000000003</v>
      </c>
      <c r="I51" s="7">
        <v>295</v>
      </c>
      <c r="J51" s="7">
        <v>0</v>
      </c>
      <c r="K51" s="7">
        <f t="shared" si="0"/>
        <v>109</v>
      </c>
      <c r="L51" s="7">
        <f t="shared" si="1"/>
        <v>65.399999999999991</v>
      </c>
      <c r="M51" s="9">
        <f t="shared" si="2"/>
        <v>3.2747706422018346</v>
      </c>
      <c r="N51" s="10" t="str">
        <f t="shared" si="3"/>
        <v>SI</v>
      </c>
    </row>
    <row r="52" spans="1:14" ht="15.75" customHeight="1" x14ac:dyDescent="0.2">
      <c r="A52" s="11" t="s">
        <v>125</v>
      </c>
      <c r="B52" s="11" t="s">
        <v>271</v>
      </c>
      <c r="C52" s="11" t="s">
        <v>272</v>
      </c>
      <c r="D52" s="12" t="s">
        <v>273</v>
      </c>
      <c r="E52" s="13">
        <v>530</v>
      </c>
      <c r="F52" s="13">
        <v>1016.4</v>
      </c>
      <c r="G52" s="13">
        <v>310</v>
      </c>
      <c r="H52" s="14">
        <v>36.9</v>
      </c>
      <c r="I52" s="13">
        <v>840</v>
      </c>
      <c r="J52" s="13">
        <v>50</v>
      </c>
      <c r="K52" s="13">
        <f t="shared" si="0"/>
        <v>260</v>
      </c>
      <c r="L52" s="13">
        <f t="shared" si="1"/>
        <v>156</v>
      </c>
      <c r="M52" s="15">
        <f t="shared" si="2"/>
        <v>3.9092307692307693</v>
      </c>
      <c r="N52" s="10" t="str">
        <f t="shared" si="3"/>
        <v>SI</v>
      </c>
    </row>
    <row r="53" spans="1:14" ht="15.75" customHeight="1" x14ac:dyDescent="0.2">
      <c r="A53" s="5" t="s">
        <v>125</v>
      </c>
      <c r="B53" s="5" t="s">
        <v>274</v>
      </c>
      <c r="C53" s="5" t="s">
        <v>275</v>
      </c>
      <c r="D53" s="6" t="s">
        <v>276</v>
      </c>
      <c r="E53" s="7">
        <v>823</v>
      </c>
      <c r="F53" s="7">
        <v>1579.05</v>
      </c>
      <c r="G53" s="7">
        <v>482</v>
      </c>
      <c r="H53" s="8">
        <v>36.93</v>
      </c>
      <c r="I53" s="7">
        <v>1305</v>
      </c>
      <c r="J53" s="7">
        <v>0</v>
      </c>
      <c r="K53" s="7">
        <f t="shared" si="0"/>
        <v>482</v>
      </c>
      <c r="L53" s="7">
        <f t="shared" si="1"/>
        <v>289.2</v>
      </c>
      <c r="M53" s="9">
        <f t="shared" si="2"/>
        <v>3.2760373443983402</v>
      </c>
      <c r="N53" s="10" t="str">
        <f t="shared" si="3"/>
        <v>SI</v>
      </c>
    </row>
    <row r="54" spans="1:14" ht="15.75" customHeight="1" x14ac:dyDescent="0.2">
      <c r="A54" s="11" t="s">
        <v>125</v>
      </c>
      <c r="B54" s="11" t="s">
        <v>277</v>
      </c>
      <c r="C54" s="11" t="s">
        <v>278</v>
      </c>
      <c r="D54" s="12" t="s">
        <v>279</v>
      </c>
      <c r="E54" s="13">
        <v>1097</v>
      </c>
      <c r="F54" s="13">
        <v>2105.4</v>
      </c>
      <c r="G54" s="13">
        <v>643</v>
      </c>
      <c r="H54" s="14">
        <v>36.950000000000003</v>
      </c>
      <c r="I54" s="13">
        <v>1740</v>
      </c>
      <c r="J54" s="13">
        <v>0</v>
      </c>
      <c r="K54" s="13">
        <f t="shared" si="0"/>
        <v>643</v>
      </c>
      <c r="L54" s="13">
        <f t="shared" si="1"/>
        <v>385.8</v>
      </c>
      <c r="M54" s="15">
        <f t="shared" si="2"/>
        <v>3.2743390357698292</v>
      </c>
      <c r="N54" s="10" t="str">
        <f t="shared" si="3"/>
        <v>SI</v>
      </c>
    </row>
    <row r="55" spans="1:14" ht="15.75" customHeight="1" x14ac:dyDescent="0.2">
      <c r="A55" s="5" t="s">
        <v>125</v>
      </c>
      <c r="B55" s="5" t="s">
        <v>280</v>
      </c>
      <c r="C55" s="5" t="s">
        <v>281</v>
      </c>
      <c r="D55" s="6" t="s">
        <v>282</v>
      </c>
      <c r="E55" s="7">
        <v>297</v>
      </c>
      <c r="F55" s="7">
        <v>568.70000000000005</v>
      </c>
      <c r="G55" s="7">
        <v>173</v>
      </c>
      <c r="H55" s="17">
        <v>36.81</v>
      </c>
      <c r="I55" s="7">
        <v>470</v>
      </c>
      <c r="J55" s="7">
        <v>50</v>
      </c>
      <c r="K55" s="7">
        <f t="shared" si="0"/>
        <v>123</v>
      </c>
      <c r="L55" s="7">
        <f t="shared" si="1"/>
        <v>73.8</v>
      </c>
      <c r="M55" s="9">
        <f t="shared" si="2"/>
        <v>4.6235772357723581</v>
      </c>
      <c r="N55" s="10" t="str">
        <f t="shared" si="3"/>
        <v>CUIDADO</v>
      </c>
    </row>
    <row r="56" spans="1:14" ht="15.75" customHeight="1" x14ac:dyDescent="0.2">
      <c r="A56" s="11" t="s">
        <v>125</v>
      </c>
      <c r="B56" s="11" t="s">
        <v>283</v>
      </c>
      <c r="C56" s="11" t="s">
        <v>284</v>
      </c>
      <c r="D56" s="12" t="s">
        <v>285</v>
      </c>
      <c r="E56" s="13">
        <v>215</v>
      </c>
      <c r="F56" s="13">
        <v>411.4</v>
      </c>
      <c r="G56" s="13">
        <v>125</v>
      </c>
      <c r="H56" s="14">
        <v>36.76</v>
      </c>
      <c r="I56" s="13">
        <v>340</v>
      </c>
      <c r="J56" s="13">
        <v>50</v>
      </c>
      <c r="K56" s="13">
        <f t="shared" si="0"/>
        <v>75</v>
      </c>
      <c r="L56" s="13">
        <f t="shared" si="1"/>
        <v>45</v>
      </c>
      <c r="M56" s="15">
        <f t="shared" si="2"/>
        <v>5.4853333333333332</v>
      </c>
      <c r="N56" s="10" t="str">
        <f t="shared" si="3"/>
        <v>NO</v>
      </c>
    </row>
    <row r="57" spans="1:14" ht="15.75" customHeight="1" x14ac:dyDescent="0.2">
      <c r="A57" s="5" t="s">
        <v>125</v>
      </c>
      <c r="B57" s="5" t="s">
        <v>286</v>
      </c>
      <c r="C57" s="5" t="s">
        <v>287</v>
      </c>
      <c r="D57" s="6" t="s">
        <v>288</v>
      </c>
      <c r="E57" s="7">
        <v>2174</v>
      </c>
      <c r="F57" s="7">
        <v>4174.5</v>
      </c>
      <c r="G57" s="7">
        <v>1276</v>
      </c>
      <c r="H57" s="8">
        <v>36.99</v>
      </c>
      <c r="I57" s="7">
        <v>3450</v>
      </c>
      <c r="J57" s="7">
        <v>0</v>
      </c>
      <c r="K57" s="7">
        <f t="shared" si="0"/>
        <v>1276</v>
      </c>
      <c r="L57" s="7">
        <f t="shared" si="1"/>
        <v>765.6</v>
      </c>
      <c r="M57" s="9">
        <f t="shared" si="2"/>
        <v>3.271551724137931</v>
      </c>
      <c r="N57" s="10" t="str">
        <f t="shared" si="3"/>
        <v>SI</v>
      </c>
    </row>
    <row r="58" spans="1:14" ht="15.75" customHeight="1" x14ac:dyDescent="0.2">
      <c r="A58" s="11" t="s">
        <v>125</v>
      </c>
      <c r="B58" s="11" t="s">
        <v>289</v>
      </c>
      <c r="C58" s="11" t="s">
        <v>290</v>
      </c>
      <c r="D58" s="12" t="s">
        <v>291</v>
      </c>
      <c r="E58" s="13">
        <v>2451</v>
      </c>
      <c r="F58" s="13">
        <v>4706.8999999999996</v>
      </c>
      <c r="G58" s="13">
        <v>1439</v>
      </c>
      <c r="H58" s="14">
        <v>36.99</v>
      </c>
      <c r="I58" s="13">
        <v>3890</v>
      </c>
      <c r="J58" s="13">
        <v>0</v>
      </c>
      <c r="K58" s="13">
        <f t="shared" si="0"/>
        <v>1439</v>
      </c>
      <c r="L58" s="13">
        <f t="shared" si="1"/>
        <v>863.4</v>
      </c>
      <c r="M58" s="15">
        <f t="shared" si="2"/>
        <v>3.270952050034746</v>
      </c>
      <c r="N58" s="10" t="str">
        <f t="shared" si="3"/>
        <v>SI</v>
      </c>
    </row>
    <row r="59" spans="1:14" ht="15.75" customHeight="1" x14ac:dyDescent="0.2">
      <c r="A59" s="5" t="s">
        <v>125</v>
      </c>
      <c r="B59" s="5" t="s">
        <v>292</v>
      </c>
      <c r="C59" s="5" t="s">
        <v>293</v>
      </c>
      <c r="D59" s="6" t="s">
        <v>294</v>
      </c>
      <c r="E59" s="7">
        <v>492</v>
      </c>
      <c r="F59" s="7">
        <v>943.8</v>
      </c>
      <c r="G59" s="7">
        <v>288</v>
      </c>
      <c r="H59" s="8">
        <v>36.92</v>
      </c>
      <c r="I59" s="7">
        <v>780</v>
      </c>
      <c r="J59" s="7">
        <v>50</v>
      </c>
      <c r="K59" s="7">
        <f t="shared" si="0"/>
        <v>238</v>
      </c>
      <c r="L59" s="7">
        <f t="shared" si="1"/>
        <v>142.79999999999998</v>
      </c>
      <c r="M59" s="9">
        <f t="shared" si="2"/>
        <v>3.9655462184873946</v>
      </c>
      <c r="N59" s="10" t="str">
        <f t="shared" si="3"/>
        <v>SI</v>
      </c>
    </row>
    <row r="60" spans="1:14" ht="15.75" customHeight="1" x14ac:dyDescent="0.2">
      <c r="A60" s="11" t="s">
        <v>125</v>
      </c>
      <c r="B60" s="11" t="s">
        <v>295</v>
      </c>
      <c r="C60" s="11" t="s">
        <v>296</v>
      </c>
      <c r="D60" s="12" t="s">
        <v>297</v>
      </c>
      <c r="E60" s="13">
        <v>709</v>
      </c>
      <c r="F60" s="13">
        <v>1361.25</v>
      </c>
      <c r="G60" s="13">
        <v>416</v>
      </c>
      <c r="H60" s="14">
        <v>36.979999999999997</v>
      </c>
      <c r="I60" s="13">
        <v>1125</v>
      </c>
      <c r="J60" s="13">
        <v>0</v>
      </c>
      <c r="K60" s="13">
        <f t="shared" si="0"/>
        <v>416</v>
      </c>
      <c r="L60" s="13">
        <f t="shared" si="1"/>
        <v>249.6</v>
      </c>
      <c r="M60" s="15">
        <f t="shared" si="2"/>
        <v>3.2722355769230771</v>
      </c>
      <c r="N60" s="10" t="str">
        <f t="shared" si="3"/>
        <v>SI</v>
      </c>
    </row>
    <row r="61" spans="1:14" ht="15.75" customHeight="1" x14ac:dyDescent="0.2">
      <c r="A61" s="5" t="s">
        <v>125</v>
      </c>
      <c r="B61" s="5" t="s">
        <v>298</v>
      </c>
      <c r="C61" s="5" t="s">
        <v>299</v>
      </c>
      <c r="D61" s="6" t="s">
        <v>300</v>
      </c>
      <c r="E61" s="7">
        <v>876</v>
      </c>
      <c r="F61" s="7">
        <v>1681.9</v>
      </c>
      <c r="G61" s="7">
        <v>514</v>
      </c>
      <c r="H61" s="8">
        <v>36.979999999999997</v>
      </c>
      <c r="I61" s="7">
        <v>1390</v>
      </c>
      <c r="J61" s="7">
        <v>0</v>
      </c>
      <c r="K61" s="7">
        <f t="shared" si="0"/>
        <v>514</v>
      </c>
      <c r="L61" s="7">
        <f t="shared" si="1"/>
        <v>308.39999999999998</v>
      </c>
      <c r="M61" s="9">
        <f t="shared" si="2"/>
        <v>3.2721789883268486</v>
      </c>
      <c r="N61" s="10" t="str">
        <f t="shared" si="3"/>
        <v>SI</v>
      </c>
    </row>
    <row r="62" spans="1:14" ht="15.75" customHeight="1" x14ac:dyDescent="0.2">
      <c r="A62" s="11" t="s">
        <v>125</v>
      </c>
      <c r="B62" s="11" t="s">
        <v>301</v>
      </c>
      <c r="C62" s="11" t="s">
        <v>302</v>
      </c>
      <c r="D62" s="12" t="s">
        <v>303</v>
      </c>
      <c r="E62" s="13">
        <v>372</v>
      </c>
      <c r="F62" s="13">
        <v>713.9</v>
      </c>
      <c r="G62" s="13">
        <v>218</v>
      </c>
      <c r="H62" s="14">
        <v>36.950000000000003</v>
      </c>
      <c r="I62" s="13">
        <v>590</v>
      </c>
      <c r="J62" s="13">
        <v>50</v>
      </c>
      <c r="K62" s="13">
        <f t="shared" si="0"/>
        <v>168</v>
      </c>
      <c r="L62" s="13">
        <f t="shared" si="1"/>
        <v>100.8</v>
      </c>
      <c r="M62" s="15">
        <f t="shared" si="2"/>
        <v>4.2494047619047617</v>
      </c>
      <c r="N62" s="10" t="str">
        <f t="shared" si="3"/>
        <v>SI</v>
      </c>
    </row>
    <row r="63" spans="1:14" ht="15.75" customHeight="1" x14ac:dyDescent="0.2">
      <c r="A63" s="5" t="s">
        <v>125</v>
      </c>
      <c r="B63" s="5" t="s">
        <v>304</v>
      </c>
      <c r="C63" s="5" t="s">
        <v>305</v>
      </c>
      <c r="D63" s="6" t="s">
        <v>306</v>
      </c>
      <c r="E63" s="7">
        <v>435</v>
      </c>
      <c r="F63" s="7">
        <v>834.9</v>
      </c>
      <c r="G63" s="7">
        <v>255</v>
      </c>
      <c r="H63" s="8">
        <v>36.96</v>
      </c>
      <c r="I63" s="7">
        <v>690</v>
      </c>
      <c r="J63" s="7">
        <v>50</v>
      </c>
      <c r="K63" s="7">
        <f t="shared" si="0"/>
        <v>205</v>
      </c>
      <c r="L63" s="7">
        <f t="shared" si="1"/>
        <v>123</v>
      </c>
      <c r="M63" s="9">
        <f t="shared" si="2"/>
        <v>4.0726829268292679</v>
      </c>
      <c r="N63" s="10" t="str">
        <f t="shared" si="3"/>
        <v>SI</v>
      </c>
    </row>
    <row r="64" spans="1:14" ht="15.75" customHeight="1" x14ac:dyDescent="0.2">
      <c r="A64" s="11" t="s">
        <v>125</v>
      </c>
      <c r="B64" s="11" t="s">
        <v>307</v>
      </c>
      <c r="C64" s="11" t="s">
        <v>308</v>
      </c>
      <c r="D64" s="12" t="s">
        <v>309</v>
      </c>
      <c r="E64" s="13">
        <v>265</v>
      </c>
      <c r="F64" s="13">
        <v>508.2</v>
      </c>
      <c r="G64" s="13">
        <v>155</v>
      </c>
      <c r="H64" s="14">
        <v>36.9</v>
      </c>
      <c r="I64" s="13">
        <v>420</v>
      </c>
      <c r="J64" s="13">
        <v>50</v>
      </c>
      <c r="K64" s="13">
        <f t="shared" si="0"/>
        <v>105</v>
      </c>
      <c r="L64" s="13">
        <f t="shared" si="1"/>
        <v>63</v>
      </c>
      <c r="M64" s="15">
        <f t="shared" si="2"/>
        <v>4.84</v>
      </c>
      <c r="N64" s="10" t="str">
        <f t="shared" si="3"/>
        <v>CUIDADO</v>
      </c>
    </row>
    <row r="65" spans="1:14" ht="15.75" customHeight="1" x14ac:dyDescent="0.2">
      <c r="A65" s="5" t="s">
        <v>125</v>
      </c>
      <c r="B65" s="5" t="s">
        <v>310</v>
      </c>
      <c r="C65" s="5" t="s">
        <v>311</v>
      </c>
      <c r="D65" s="6" t="s">
        <v>312</v>
      </c>
      <c r="E65" s="7">
        <v>2064</v>
      </c>
      <c r="F65" s="7">
        <v>3962.75</v>
      </c>
      <c r="G65" s="7">
        <v>1211</v>
      </c>
      <c r="H65" s="8">
        <v>36.979999999999997</v>
      </c>
      <c r="I65" s="7">
        <v>3275</v>
      </c>
      <c r="J65" s="7">
        <v>0</v>
      </c>
      <c r="K65" s="7">
        <f t="shared" si="0"/>
        <v>1211</v>
      </c>
      <c r="L65" s="7">
        <f t="shared" si="1"/>
        <v>726.6</v>
      </c>
      <c r="M65" s="9">
        <f t="shared" si="2"/>
        <v>3.2722956234516927</v>
      </c>
      <c r="N65" s="10" t="str">
        <f t="shared" si="3"/>
        <v>SI</v>
      </c>
    </row>
    <row r="66" spans="1:14" ht="15.75" customHeight="1" x14ac:dyDescent="0.2">
      <c r="A66" s="11" t="s">
        <v>125</v>
      </c>
      <c r="B66" s="11" t="s">
        <v>313</v>
      </c>
      <c r="C66" s="11" t="s">
        <v>314</v>
      </c>
      <c r="D66" s="12" t="s">
        <v>315</v>
      </c>
      <c r="E66" s="13">
        <v>2294</v>
      </c>
      <c r="F66" s="13">
        <v>4404.3999999999996</v>
      </c>
      <c r="G66" s="13">
        <v>1346</v>
      </c>
      <c r="H66" s="14">
        <v>36.979999999999997</v>
      </c>
      <c r="I66" s="13">
        <v>3640</v>
      </c>
      <c r="J66" s="13">
        <v>0</v>
      </c>
      <c r="K66" s="13">
        <f t="shared" si="0"/>
        <v>1346</v>
      </c>
      <c r="L66" s="13">
        <f t="shared" si="1"/>
        <v>807.6</v>
      </c>
      <c r="M66" s="15">
        <f t="shared" si="2"/>
        <v>3.2722139673105497</v>
      </c>
      <c r="N66" s="10" t="str">
        <f t="shared" si="3"/>
        <v>SI</v>
      </c>
    </row>
    <row r="67" spans="1:14" ht="15.75" customHeight="1" x14ac:dyDescent="0.2">
      <c r="A67" s="5" t="s">
        <v>125</v>
      </c>
      <c r="B67" s="5" t="s">
        <v>316</v>
      </c>
      <c r="C67" s="5" t="s">
        <v>317</v>
      </c>
      <c r="D67" s="6" t="s">
        <v>318</v>
      </c>
      <c r="E67" s="7">
        <v>334</v>
      </c>
      <c r="F67" s="7">
        <v>641.29999999999995</v>
      </c>
      <c r="G67" s="7">
        <v>196</v>
      </c>
      <c r="H67" s="8">
        <v>36.979999999999997</v>
      </c>
      <c r="I67" s="7">
        <v>530</v>
      </c>
      <c r="J67" s="7">
        <v>50</v>
      </c>
      <c r="K67" s="7">
        <f t="shared" ref="K67:K130" si="4">G67-J67</f>
        <v>146</v>
      </c>
      <c r="L67" s="7">
        <f t="shared" ref="L67:L130" si="5">K67*$L$1</f>
        <v>87.6</v>
      </c>
      <c r="M67" s="9">
        <f t="shared" ref="M67:M130" si="6">F67/K67</f>
        <v>4.3924657534246574</v>
      </c>
      <c r="N67" s="10" t="str">
        <f t="shared" ref="N67:N130" si="7">IF(M67&lt;3.5,"SI",IF(M67&lt;4.5,IF(K67&gt;=100,"SI",IF(K67&gt;=40,"CUIDADO","NO")),IF(AND(M67&lt;5.5,F67&gt;=500,K67&gt;=80),"CUIDADO","NO")))</f>
        <v>SI</v>
      </c>
    </row>
    <row r="68" spans="1:14" ht="15.75" customHeight="1" x14ac:dyDescent="0.2">
      <c r="A68" s="11" t="s">
        <v>125</v>
      </c>
      <c r="B68" s="11" t="s">
        <v>319</v>
      </c>
      <c r="C68" s="11" t="s">
        <v>320</v>
      </c>
      <c r="D68" s="12" t="s">
        <v>321</v>
      </c>
      <c r="E68" s="13">
        <v>473</v>
      </c>
      <c r="F68" s="13">
        <v>907.5</v>
      </c>
      <c r="G68" s="13">
        <v>277</v>
      </c>
      <c r="H68" s="14">
        <v>36.93</v>
      </c>
      <c r="I68" s="13">
        <v>750</v>
      </c>
      <c r="J68" s="13">
        <v>50</v>
      </c>
      <c r="K68" s="13">
        <f t="shared" si="4"/>
        <v>227</v>
      </c>
      <c r="L68" s="13">
        <f t="shared" si="5"/>
        <v>136.19999999999999</v>
      </c>
      <c r="M68" s="15">
        <f t="shared" si="6"/>
        <v>3.9977973568281939</v>
      </c>
      <c r="N68" s="10" t="str">
        <f t="shared" si="7"/>
        <v>SI</v>
      </c>
    </row>
    <row r="69" spans="1:14" ht="15.75" customHeight="1" x14ac:dyDescent="0.2">
      <c r="A69" s="5" t="s">
        <v>125</v>
      </c>
      <c r="B69" s="5" t="s">
        <v>322</v>
      </c>
      <c r="C69" s="5" t="s">
        <v>323</v>
      </c>
      <c r="D69" s="6" t="s">
        <v>324</v>
      </c>
      <c r="E69" s="7">
        <v>612</v>
      </c>
      <c r="F69" s="7">
        <v>1173.7</v>
      </c>
      <c r="G69" s="7">
        <v>358</v>
      </c>
      <c r="H69" s="8">
        <v>36.909999999999997</v>
      </c>
      <c r="I69" s="7">
        <v>970</v>
      </c>
      <c r="J69" s="7">
        <v>0</v>
      </c>
      <c r="K69" s="7">
        <f t="shared" si="4"/>
        <v>358</v>
      </c>
      <c r="L69" s="7">
        <f t="shared" si="5"/>
        <v>214.79999999999998</v>
      </c>
      <c r="M69" s="9">
        <f t="shared" si="6"/>
        <v>3.278491620111732</v>
      </c>
      <c r="N69" s="10" t="str">
        <f t="shared" si="7"/>
        <v>SI</v>
      </c>
    </row>
    <row r="70" spans="1:14" ht="15.75" customHeight="1" x14ac:dyDescent="0.2">
      <c r="A70" s="11" t="s">
        <v>125</v>
      </c>
      <c r="B70" s="11" t="s">
        <v>325</v>
      </c>
      <c r="C70" s="11" t="s">
        <v>326</v>
      </c>
      <c r="D70" s="12" t="s">
        <v>327</v>
      </c>
      <c r="E70" s="13">
        <v>1320</v>
      </c>
      <c r="F70" s="13">
        <v>2534.9499999999998</v>
      </c>
      <c r="G70" s="13">
        <v>775</v>
      </c>
      <c r="H70" s="14">
        <v>36.99</v>
      </c>
      <c r="I70" s="13">
        <v>2095</v>
      </c>
      <c r="J70" s="13">
        <v>0</v>
      </c>
      <c r="K70" s="13">
        <f t="shared" si="4"/>
        <v>775</v>
      </c>
      <c r="L70" s="13">
        <f t="shared" si="5"/>
        <v>465</v>
      </c>
      <c r="M70" s="15">
        <f t="shared" si="6"/>
        <v>3.2709032258064514</v>
      </c>
      <c r="N70" s="10" t="str">
        <f t="shared" si="7"/>
        <v>SI</v>
      </c>
    </row>
    <row r="71" spans="1:14" ht="15.75" customHeight="1" x14ac:dyDescent="0.2">
      <c r="A71" s="5" t="s">
        <v>125</v>
      </c>
      <c r="B71" s="5" t="s">
        <v>328</v>
      </c>
      <c r="C71" s="5" t="s">
        <v>329</v>
      </c>
      <c r="D71" s="6" t="s">
        <v>330</v>
      </c>
      <c r="E71" s="7">
        <v>1509</v>
      </c>
      <c r="F71" s="7">
        <v>2897.95</v>
      </c>
      <c r="G71" s="7">
        <v>886</v>
      </c>
      <c r="H71" s="8">
        <v>36.99</v>
      </c>
      <c r="I71" s="7">
        <v>2395</v>
      </c>
      <c r="J71" s="7">
        <v>0</v>
      </c>
      <c r="K71" s="7">
        <f t="shared" si="4"/>
        <v>886</v>
      </c>
      <c r="L71" s="7">
        <f t="shared" si="5"/>
        <v>531.6</v>
      </c>
      <c r="M71" s="9">
        <f t="shared" si="6"/>
        <v>3.2708239277652367</v>
      </c>
      <c r="N71" s="10" t="str">
        <f t="shared" si="7"/>
        <v>SI</v>
      </c>
    </row>
    <row r="72" spans="1:14" ht="15.75" customHeight="1" x14ac:dyDescent="0.2">
      <c r="A72" s="11" t="s">
        <v>125</v>
      </c>
      <c r="B72" s="11" t="s">
        <v>331</v>
      </c>
      <c r="C72" s="11" t="s">
        <v>332</v>
      </c>
      <c r="D72" s="12" t="s">
        <v>333</v>
      </c>
      <c r="E72" s="13">
        <v>303</v>
      </c>
      <c r="F72" s="13">
        <v>580.79999999999995</v>
      </c>
      <c r="G72" s="13">
        <v>177</v>
      </c>
      <c r="H72" s="14">
        <v>36.880000000000003</v>
      </c>
      <c r="I72" s="13">
        <v>480</v>
      </c>
      <c r="J72" s="13">
        <v>50</v>
      </c>
      <c r="K72" s="13">
        <f t="shared" si="4"/>
        <v>127</v>
      </c>
      <c r="L72" s="13">
        <f t="shared" si="5"/>
        <v>76.2</v>
      </c>
      <c r="M72" s="15">
        <f t="shared" si="6"/>
        <v>4.573228346456693</v>
      </c>
      <c r="N72" s="10" t="str">
        <f t="shared" si="7"/>
        <v>CUIDADO</v>
      </c>
    </row>
    <row r="73" spans="1:14" ht="15.75" customHeight="1" x14ac:dyDescent="0.2">
      <c r="A73" s="5" t="s">
        <v>125</v>
      </c>
      <c r="B73" s="5" t="s">
        <v>334</v>
      </c>
      <c r="C73" s="5" t="s">
        <v>335</v>
      </c>
      <c r="D73" s="6" t="s">
        <v>336</v>
      </c>
      <c r="E73" s="7">
        <v>473</v>
      </c>
      <c r="F73" s="7">
        <v>907.5</v>
      </c>
      <c r="G73" s="7">
        <v>277</v>
      </c>
      <c r="H73" s="8">
        <v>36.93</v>
      </c>
      <c r="I73" s="7">
        <v>750</v>
      </c>
      <c r="J73" s="7">
        <v>50</v>
      </c>
      <c r="K73" s="7">
        <f t="shared" si="4"/>
        <v>227</v>
      </c>
      <c r="L73" s="7">
        <f t="shared" si="5"/>
        <v>136.19999999999999</v>
      </c>
      <c r="M73" s="9">
        <f t="shared" si="6"/>
        <v>3.9977973568281939</v>
      </c>
      <c r="N73" s="10" t="str">
        <f t="shared" si="7"/>
        <v>SI</v>
      </c>
    </row>
    <row r="74" spans="1:14" ht="15.75" customHeight="1" x14ac:dyDescent="0.2">
      <c r="A74" s="11" t="s">
        <v>125</v>
      </c>
      <c r="B74" s="11" t="s">
        <v>337</v>
      </c>
      <c r="C74" s="11" t="s">
        <v>338</v>
      </c>
      <c r="D74" s="12" t="s">
        <v>339</v>
      </c>
      <c r="E74" s="13">
        <v>612</v>
      </c>
      <c r="F74" s="13">
        <v>1173.7</v>
      </c>
      <c r="G74" s="13">
        <v>358</v>
      </c>
      <c r="H74" s="14">
        <v>36.909999999999997</v>
      </c>
      <c r="I74" s="13">
        <v>970</v>
      </c>
      <c r="J74" s="13">
        <v>0</v>
      </c>
      <c r="K74" s="13">
        <f t="shared" si="4"/>
        <v>358</v>
      </c>
      <c r="L74" s="13">
        <f t="shared" si="5"/>
        <v>214.79999999999998</v>
      </c>
      <c r="M74" s="15">
        <f t="shared" si="6"/>
        <v>3.278491620111732</v>
      </c>
      <c r="N74" s="10" t="str">
        <f t="shared" si="7"/>
        <v>SI</v>
      </c>
    </row>
    <row r="75" spans="1:14" ht="15.75" customHeight="1" x14ac:dyDescent="0.2">
      <c r="A75" s="5" t="s">
        <v>125</v>
      </c>
      <c r="B75" s="5" t="s">
        <v>340</v>
      </c>
      <c r="C75" s="5" t="s">
        <v>341</v>
      </c>
      <c r="D75" s="6" t="s">
        <v>342</v>
      </c>
      <c r="E75" s="7">
        <v>1251</v>
      </c>
      <c r="F75" s="7">
        <v>2401.85</v>
      </c>
      <c r="G75" s="7">
        <v>734</v>
      </c>
      <c r="H75" s="8">
        <v>36.979999999999997</v>
      </c>
      <c r="I75" s="7">
        <v>1985</v>
      </c>
      <c r="J75" s="7">
        <v>0</v>
      </c>
      <c r="K75" s="7">
        <f t="shared" si="4"/>
        <v>734</v>
      </c>
      <c r="L75" s="7">
        <f t="shared" si="5"/>
        <v>440.4</v>
      </c>
      <c r="M75" s="9">
        <f t="shared" si="6"/>
        <v>3.2722752043596728</v>
      </c>
      <c r="N75" s="10" t="str">
        <f t="shared" si="7"/>
        <v>SI</v>
      </c>
    </row>
    <row r="76" spans="1:14" ht="15.75" customHeight="1" x14ac:dyDescent="0.2">
      <c r="A76" s="11" t="s">
        <v>125</v>
      </c>
      <c r="B76" s="11" t="s">
        <v>343</v>
      </c>
      <c r="C76" s="11" t="s">
        <v>344</v>
      </c>
      <c r="D76" s="12" t="s">
        <v>345</v>
      </c>
      <c r="E76" s="13">
        <v>1446</v>
      </c>
      <c r="F76" s="13">
        <v>2776.95</v>
      </c>
      <c r="G76" s="13">
        <v>849</v>
      </c>
      <c r="H76" s="14">
        <v>36.99</v>
      </c>
      <c r="I76" s="13">
        <v>2295</v>
      </c>
      <c r="J76" s="13">
        <v>0</v>
      </c>
      <c r="K76" s="13">
        <f t="shared" si="4"/>
        <v>849</v>
      </c>
      <c r="L76" s="13">
        <f t="shared" si="5"/>
        <v>509.4</v>
      </c>
      <c r="M76" s="15">
        <f t="shared" si="6"/>
        <v>3.2708480565371021</v>
      </c>
      <c r="N76" s="10" t="str">
        <f t="shared" si="7"/>
        <v>SI</v>
      </c>
    </row>
    <row r="77" spans="1:14" ht="15.75" customHeight="1" x14ac:dyDescent="0.2">
      <c r="A77" s="5" t="s">
        <v>125</v>
      </c>
      <c r="B77" s="5" t="s">
        <v>346</v>
      </c>
      <c r="C77" s="5" t="s">
        <v>347</v>
      </c>
      <c r="D77" s="6" t="s">
        <v>348</v>
      </c>
      <c r="E77" s="7">
        <v>174</v>
      </c>
      <c r="F77" s="7">
        <v>332.75</v>
      </c>
      <c r="G77" s="7">
        <v>101</v>
      </c>
      <c r="H77" s="17">
        <v>36.729999999999997</v>
      </c>
      <c r="I77" s="7">
        <v>275</v>
      </c>
      <c r="J77" s="7">
        <v>0</v>
      </c>
      <c r="K77" s="7">
        <f t="shared" si="4"/>
        <v>101</v>
      </c>
      <c r="L77" s="7">
        <f t="shared" si="5"/>
        <v>60.599999999999994</v>
      </c>
      <c r="M77" s="9">
        <f t="shared" si="6"/>
        <v>3.2945544554455446</v>
      </c>
      <c r="N77" s="10" t="str">
        <f t="shared" si="7"/>
        <v>SI</v>
      </c>
    </row>
    <row r="78" spans="1:14" ht="15.75" customHeight="1" x14ac:dyDescent="0.2">
      <c r="A78" s="11" t="s">
        <v>125</v>
      </c>
      <c r="B78" s="11" t="s">
        <v>154</v>
      </c>
      <c r="C78" s="11" t="s">
        <v>155</v>
      </c>
      <c r="D78" s="12" t="s">
        <v>349</v>
      </c>
      <c r="E78" s="13">
        <v>230</v>
      </c>
      <c r="F78" s="13">
        <v>441.65</v>
      </c>
      <c r="G78" s="13">
        <v>135</v>
      </c>
      <c r="H78" s="14">
        <v>36.99</v>
      </c>
      <c r="I78" s="13">
        <v>365</v>
      </c>
      <c r="J78" s="13">
        <v>50</v>
      </c>
      <c r="K78" s="13">
        <f t="shared" si="4"/>
        <v>85</v>
      </c>
      <c r="L78" s="13">
        <f t="shared" si="5"/>
        <v>51</v>
      </c>
      <c r="M78" s="15">
        <f t="shared" si="6"/>
        <v>5.195882352941176</v>
      </c>
      <c r="N78" s="10" t="str">
        <f t="shared" si="7"/>
        <v>NO</v>
      </c>
    </row>
    <row r="79" spans="1:14" ht="15.75" customHeight="1" x14ac:dyDescent="0.2">
      <c r="A79" s="5" t="s">
        <v>125</v>
      </c>
      <c r="B79" s="5" t="s">
        <v>350</v>
      </c>
      <c r="C79" s="5" t="s">
        <v>351</v>
      </c>
      <c r="D79" s="6" t="s">
        <v>352</v>
      </c>
      <c r="E79" s="7">
        <v>290</v>
      </c>
      <c r="F79" s="7">
        <v>556.6</v>
      </c>
      <c r="G79" s="7">
        <v>170</v>
      </c>
      <c r="H79" s="8">
        <v>36.96</v>
      </c>
      <c r="I79" s="7">
        <v>460</v>
      </c>
      <c r="J79" s="7">
        <v>50</v>
      </c>
      <c r="K79" s="7">
        <f t="shared" si="4"/>
        <v>120</v>
      </c>
      <c r="L79" s="7">
        <f t="shared" si="5"/>
        <v>72</v>
      </c>
      <c r="M79" s="9">
        <f t="shared" si="6"/>
        <v>4.6383333333333336</v>
      </c>
      <c r="N79" s="10" t="str">
        <f t="shared" si="7"/>
        <v>CUIDADO</v>
      </c>
    </row>
    <row r="80" spans="1:14" ht="15.75" customHeight="1" x14ac:dyDescent="0.2">
      <c r="A80" s="11" t="s">
        <v>125</v>
      </c>
      <c r="B80" s="11" t="s">
        <v>353</v>
      </c>
      <c r="C80" s="11" t="s">
        <v>354</v>
      </c>
      <c r="D80" s="12" t="s">
        <v>355</v>
      </c>
      <c r="E80" s="13">
        <v>473</v>
      </c>
      <c r="F80" s="13">
        <v>907.5</v>
      </c>
      <c r="G80" s="13">
        <v>277</v>
      </c>
      <c r="H80" s="14">
        <v>36.93</v>
      </c>
      <c r="I80" s="13">
        <v>750</v>
      </c>
      <c r="J80" s="13">
        <v>50</v>
      </c>
      <c r="K80" s="13">
        <f t="shared" si="4"/>
        <v>227</v>
      </c>
      <c r="L80" s="13">
        <f t="shared" si="5"/>
        <v>136.19999999999999</v>
      </c>
      <c r="M80" s="15">
        <f t="shared" si="6"/>
        <v>3.9977973568281939</v>
      </c>
      <c r="N80" s="10" t="str">
        <f t="shared" si="7"/>
        <v>SI</v>
      </c>
    </row>
    <row r="81" spans="1:14" ht="15.75" customHeight="1" x14ac:dyDescent="0.2">
      <c r="A81" s="5" t="s">
        <v>125</v>
      </c>
      <c r="B81" s="5" t="s">
        <v>356</v>
      </c>
      <c r="C81" s="5" t="s">
        <v>357</v>
      </c>
      <c r="D81" s="6" t="s">
        <v>358</v>
      </c>
      <c r="E81" s="7">
        <v>624</v>
      </c>
      <c r="F81" s="7">
        <v>1197.9000000000001</v>
      </c>
      <c r="G81" s="7">
        <v>366</v>
      </c>
      <c r="H81" s="8">
        <v>36.97</v>
      </c>
      <c r="I81" s="7">
        <v>990</v>
      </c>
      <c r="J81" s="7">
        <v>0</v>
      </c>
      <c r="K81" s="7">
        <f t="shared" si="4"/>
        <v>366</v>
      </c>
      <c r="L81" s="7">
        <f t="shared" si="5"/>
        <v>219.6</v>
      </c>
      <c r="M81" s="9">
        <f t="shared" si="6"/>
        <v>3.2729508196721313</v>
      </c>
      <c r="N81" s="10" t="str">
        <f t="shared" si="7"/>
        <v>SI</v>
      </c>
    </row>
    <row r="82" spans="1:14" ht="15.75" customHeight="1" x14ac:dyDescent="0.2">
      <c r="A82" s="11" t="s">
        <v>125</v>
      </c>
      <c r="B82" s="11" t="s">
        <v>359</v>
      </c>
      <c r="C82" s="11" t="s">
        <v>360</v>
      </c>
      <c r="D82" s="12" t="s">
        <v>361</v>
      </c>
      <c r="E82" s="13">
        <v>1226</v>
      </c>
      <c r="F82" s="13">
        <v>2353.4499999999998</v>
      </c>
      <c r="G82" s="13">
        <v>719</v>
      </c>
      <c r="H82" s="14">
        <v>36.97</v>
      </c>
      <c r="I82" s="13">
        <v>1945</v>
      </c>
      <c r="J82" s="13">
        <v>0</v>
      </c>
      <c r="K82" s="13">
        <f t="shared" si="4"/>
        <v>719</v>
      </c>
      <c r="L82" s="13">
        <f t="shared" si="5"/>
        <v>431.4</v>
      </c>
      <c r="M82" s="15">
        <f t="shared" si="6"/>
        <v>3.2732267037552152</v>
      </c>
      <c r="N82" s="10" t="str">
        <f t="shared" si="7"/>
        <v>SI</v>
      </c>
    </row>
    <row r="83" spans="1:14" ht="15.75" customHeight="1" x14ac:dyDescent="0.2">
      <c r="A83" s="5" t="s">
        <v>125</v>
      </c>
      <c r="B83" s="5" t="s">
        <v>362</v>
      </c>
      <c r="C83" s="5" t="s">
        <v>363</v>
      </c>
      <c r="D83" s="6" t="s">
        <v>364</v>
      </c>
      <c r="E83" s="7">
        <v>1434</v>
      </c>
      <c r="F83" s="7">
        <v>2752.75</v>
      </c>
      <c r="G83" s="7">
        <v>841</v>
      </c>
      <c r="H83" s="8">
        <v>36.97</v>
      </c>
      <c r="I83" s="7">
        <v>2275</v>
      </c>
      <c r="J83" s="7">
        <v>0</v>
      </c>
      <c r="K83" s="7">
        <f t="shared" si="4"/>
        <v>841</v>
      </c>
      <c r="L83" s="7">
        <f t="shared" si="5"/>
        <v>504.59999999999997</v>
      </c>
      <c r="M83" s="9">
        <f t="shared" si="6"/>
        <v>3.2731866825208087</v>
      </c>
      <c r="N83" s="10" t="str">
        <f t="shared" si="7"/>
        <v>SI</v>
      </c>
    </row>
    <row r="84" spans="1:14" ht="15.75" customHeight="1" x14ac:dyDescent="0.2">
      <c r="A84" s="11" t="s">
        <v>125</v>
      </c>
      <c r="B84" s="11" t="s">
        <v>365</v>
      </c>
      <c r="C84" s="11" t="s">
        <v>366</v>
      </c>
      <c r="D84" s="12" t="s">
        <v>367</v>
      </c>
      <c r="E84" s="13">
        <v>306</v>
      </c>
      <c r="F84" s="13">
        <v>586.85</v>
      </c>
      <c r="G84" s="13">
        <v>179</v>
      </c>
      <c r="H84" s="14">
        <v>36.909999999999997</v>
      </c>
      <c r="I84" s="13">
        <v>485</v>
      </c>
      <c r="J84" s="13">
        <v>50</v>
      </c>
      <c r="K84" s="13">
        <f t="shared" si="4"/>
        <v>129</v>
      </c>
      <c r="L84" s="13">
        <f t="shared" si="5"/>
        <v>77.399999999999991</v>
      </c>
      <c r="M84" s="15">
        <f t="shared" si="6"/>
        <v>4.5492248062015506</v>
      </c>
      <c r="N84" s="10" t="str">
        <f t="shared" si="7"/>
        <v>CUIDADO</v>
      </c>
    </row>
    <row r="85" spans="1:14" ht="15.75" customHeight="1" x14ac:dyDescent="0.2">
      <c r="A85" s="5" t="s">
        <v>125</v>
      </c>
      <c r="B85" s="5" t="s">
        <v>368</v>
      </c>
      <c r="C85" s="5" t="s">
        <v>369</v>
      </c>
      <c r="D85" s="6" t="s">
        <v>370</v>
      </c>
      <c r="E85" s="7">
        <v>438</v>
      </c>
      <c r="F85" s="7">
        <v>840.95</v>
      </c>
      <c r="G85" s="7">
        <v>257</v>
      </c>
      <c r="H85" s="17">
        <v>36.979999999999997</v>
      </c>
      <c r="I85" s="7">
        <v>695</v>
      </c>
      <c r="J85" s="7">
        <v>50</v>
      </c>
      <c r="K85" s="7">
        <f t="shared" si="4"/>
        <v>207</v>
      </c>
      <c r="L85" s="7">
        <f t="shared" si="5"/>
        <v>124.19999999999999</v>
      </c>
      <c r="M85" s="9">
        <f t="shared" si="6"/>
        <v>4.0625603864734305</v>
      </c>
      <c r="N85" s="10" t="str">
        <f t="shared" si="7"/>
        <v>SI</v>
      </c>
    </row>
    <row r="86" spans="1:14" ht="15.75" customHeight="1" x14ac:dyDescent="0.2">
      <c r="A86" s="11" t="s">
        <v>125</v>
      </c>
      <c r="B86" s="11" t="s">
        <v>371</v>
      </c>
      <c r="C86" s="11" t="s">
        <v>372</v>
      </c>
      <c r="D86" s="12" t="s">
        <v>373</v>
      </c>
      <c r="E86" s="13">
        <v>599</v>
      </c>
      <c r="F86" s="13">
        <v>1149.5</v>
      </c>
      <c r="G86" s="13">
        <v>351</v>
      </c>
      <c r="H86" s="14">
        <v>36.950000000000003</v>
      </c>
      <c r="I86" s="13">
        <v>950</v>
      </c>
      <c r="J86" s="13">
        <v>0</v>
      </c>
      <c r="K86" s="13">
        <f t="shared" si="4"/>
        <v>351</v>
      </c>
      <c r="L86" s="13">
        <f t="shared" si="5"/>
        <v>210.6</v>
      </c>
      <c r="M86" s="15">
        <f t="shared" si="6"/>
        <v>3.274928774928775</v>
      </c>
      <c r="N86" s="10" t="str">
        <f t="shared" si="7"/>
        <v>SI</v>
      </c>
    </row>
    <row r="87" spans="1:14" ht="15.75" customHeight="1" x14ac:dyDescent="0.2">
      <c r="A87" s="5" t="s">
        <v>125</v>
      </c>
      <c r="B87" s="5" t="s">
        <v>374</v>
      </c>
      <c r="C87" s="5" t="s">
        <v>375</v>
      </c>
      <c r="D87" s="6" t="s">
        <v>376</v>
      </c>
      <c r="E87" s="7">
        <v>174</v>
      </c>
      <c r="F87" s="7">
        <v>332.75</v>
      </c>
      <c r="G87" s="7">
        <v>101</v>
      </c>
      <c r="H87" s="17">
        <v>36.729999999999997</v>
      </c>
      <c r="I87" s="7">
        <v>275</v>
      </c>
      <c r="J87" s="7">
        <v>0</v>
      </c>
      <c r="K87" s="7">
        <f t="shared" si="4"/>
        <v>101</v>
      </c>
      <c r="L87" s="7">
        <f t="shared" si="5"/>
        <v>60.599999999999994</v>
      </c>
      <c r="M87" s="9">
        <f t="shared" si="6"/>
        <v>3.2945544554455446</v>
      </c>
      <c r="N87" s="10" t="str">
        <f t="shared" si="7"/>
        <v>SI</v>
      </c>
    </row>
    <row r="88" spans="1:14" ht="15.75" customHeight="1" x14ac:dyDescent="0.2">
      <c r="A88" s="11" t="s">
        <v>125</v>
      </c>
      <c r="B88" s="11" t="s">
        <v>377</v>
      </c>
      <c r="C88" s="11" t="s">
        <v>378</v>
      </c>
      <c r="D88" s="12" t="s">
        <v>379</v>
      </c>
      <c r="E88" s="13">
        <v>230</v>
      </c>
      <c r="F88" s="13">
        <v>441.65</v>
      </c>
      <c r="G88" s="13">
        <v>135</v>
      </c>
      <c r="H88" s="14">
        <v>36.99</v>
      </c>
      <c r="I88" s="13">
        <v>365</v>
      </c>
      <c r="J88" s="13">
        <v>50</v>
      </c>
      <c r="K88" s="13">
        <f t="shared" si="4"/>
        <v>85</v>
      </c>
      <c r="L88" s="13">
        <f t="shared" si="5"/>
        <v>51</v>
      </c>
      <c r="M88" s="15">
        <f t="shared" si="6"/>
        <v>5.195882352941176</v>
      </c>
      <c r="N88" s="10" t="str">
        <f t="shared" si="7"/>
        <v>NO</v>
      </c>
    </row>
    <row r="89" spans="1:14" ht="15.75" customHeight="1" x14ac:dyDescent="0.2">
      <c r="A89" s="5" t="s">
        <v>125</v>
      </c>
      <c r="B89" s="5" t="s">
        <v>380</v>
      </c>
      <c r="C89" s="5" t="s">
        <v>381</v>
      </c>
      <c r="D89" s="6" t="s">
        <v>382</v>
      </c>
      <c r="E89" s="7">
        <v>1223</v>
      </c>
      <c r="F89" s="7">
        <v>2347.4</v>
      </c>
      <c r="G89" s="7">
        <v>717</v>
      </c>
      <c r="H89" s="8">
        <v>36.96</v>
      </c>
      <c r="I89" s="7">
        <v>1940</v>
      </c>
      <c r="J89" s="7">
        <v>0</v>
      </c>
      <c r="K89" s="7">
        <f t="shared" si="4"/>
        <v>717</v>
      </c>
      <c r="L89" s="7">
        <f t="shared" si="5"/>
        <v>430.2</v>
      </c>
      <c r="M89" s="9">
        <f t="shared" si="6"/>
        <v>3.2739191073919107</v>
      </c>
      <c r="N89" s="10" t="str">
        <f t="shared" si="7"/>
        <v>SI</v>
      </c>
    </row>
    <row r="90" spans="1:14" ht="15.75" customHeight="1" x14ac:dyDescent="0.2">
      <c r="A90" s="11" t="s">
        <v>125</v>
      </c>
      <c r="B90" s="11" t="s">
        <v>371</v>
      </c>
      <c r="C90" s="11" t="s">
        <v>372</v>
      </c>
      <c r="D90" s="12" t="s">
        <v>383</v>
      </c>
      <c r="E90" s="13">
        <v>1440</v>
      </c>
      <c r="F90" s="13">
        <v>2764.85</v>
      </c>
      <c r="G90" s="13">
        <v>845</v>
      </c>
      <c r="H90" s="14">
        <v>36.979999999999997</v>
      </c>
      <c r="I90" s="13">
        <v>2285</v>
      </c>
      <c r="J90" s="13">
        <v>0</v>
      </c>
      <c r="K90" s="13">
        <f t="shared" si="4"/>
        <v>845</v>
      </c>
      <c r="L90" s="13">
        <f t="shared" si="5"/>
        <v>507</v>
      </c>
      <c r="M90" s="15">
        <f t="shared" si="6"/>
        <v>3.2720118343195264</v>
      </c>
      <c r="N90" s="10" t="str">
        <f t="shared" si="7"/>
        <v>SI</v>
      </c>
    </row>
    <row r="91" spans="1:14" ht="15.75" customHeight="1" x14ac:dyDescent="0.2">
      <c r="A91" s="5" t="s">
        <v>125</v>
      </c>
      <c r="B91" s="5" t="s">
        <v>384</v>
      </c>
      <c r="C91" s="5" t="s">
        <v>385</v>
      </c>
      <c r="D91" s="6" t="s">
        <v>386</v>
      </c>
      <c r="E91" s="7">
        <v>1065</v>
      </c>
      <c r="F91" s="7">
        <v>2044.9</v>
      </c>
      <c r="G91" s="7">
        <v>625</v>
      </c>
      <c r="H91" s="8">
        <v>36.979999999999997</v>
      </c>
      <c r="I91" s="7">
        <v>1690</v>
      </c>
      <c r="J91" s="7">
        <v>0</v>
      </c>
      <c r="K91" s="7">
        <f t="shared" si="4"/>
        <v>625</v>
      </c>
      <c r="L91" s="7">
        <f t="shared" si="5"/>
        <v>375</v>
      </c>
      <c r="M91" s="9">
        <f t="shared" si="6"/>
        <v>3.2718400000000001</v>
      </c>
      <c r="N91" s="10" t="str">
        <f t="shared" si="7"/>
        <v>SI</v>
      </c>
    </row>
    <row r="92" spans="1:14" ht="15.75" customHeight="1" x14ac:dyDescent="0.2">
      <c r="A92" s="11" t="s">
        <v>125</v>
      </c>
      <c r="B92" s="11" t="s">
        <v>387</v>
      </c>
      <c r="C92" s="11" t="s">
        <v>388</v>
      </c>
      <c r="D92" s="12" t="s">
        <v>389</v>
      </c>
      <c r="E92" s="13">
        <v>243</v>
      </c>
      <c r="F92" s="13">
        <v>465.85</v>
      </c>
      <c r="G92" s="13">
        <v>142</v>
      </c>
      <c r="H92" s="14">
        <v>36.880000000000003</v>
      </c>
      <c r="I92" s="13">
        <v>385</v>
      </c>
      <c r="J92" s="13">
        <v>50</v>
      </c>
      <c r="K92" s="13">
        <f t="shared" si="4"/>
        <v>92</v>
      </c>
      <c r="L92" s="13">
        <f t="shared" si="5"/>
        <v>55.199999999999996</v>
      </c>
      <c r="M92" s="15">
        <f t="shared" si="6"/>
        <v>5.0635869565217391</v>
      </c>
      <c r="N92" s="10" t="str">
        <f t="shared" si="7"/>
        <v>NO</v>
      </c>
    </row>
    <row r="93" spans="1:14" ht="15.75" customHeight="1" x14ac:dyDescent="0.2">
      <c r="A93" s="5" t="s">
        <v>125</v>
      </c>
      <c r="B93" s="5" t="s">
        <v>390</v>
      </c>
      <c r="C93" s="5" t="s">
        <v>391</v>
      </c>
      <c r="D93" s="6" t="s">
        <v>392</v>
      </c>
      <c r="E93" s="7">
        <v>372</v>
      </c>
      <c r="F93" s="7">
        <v>713.9</v>
      </c>
      <c r="G93" s="7">
        <v>218</v>
      </c>
      <c r="H93" s="8">
        <v>36.950000000000003</v>
      </c>
      <c r="I93" s="7">
        <v>590</v>
      </c>
      <c r="J93" s="7">
        <v>50</v>
      </c>
      <c r="K93" s="7">
        <f t="shared" si="4"/>
        <v>168</v>
      </c>
      <c r="L93" s="7">
        <f t="shared" si="5"/>
        <v>100.8</v>
      </c>
      <c r="M93" s="9">
        <f t="shared" si="6"/>
        <v>4.2494047619047617</v>
      </c>
      <c r="N93" s="10" t="str">
        <f t="shared" si="7"/>
        <v>SI</v>
      </c>
    </row>
    <row r="94" spans="1:14" ht="15.75" customHeight="1" x14ac:dyDescent="0.2">
      <c r="A94" s="11" t="s">
        <v>125</v>
      </c>
      <c r="B94" s="11" t="s">
        <v>393</v>
      </c>
      <c r="C94" s="11" t="s">
        <v>394</v>
      </c>
      <c r="D94" s="12" t="s">
        <v>395</v>
      </c>
      <c r="E94" s="13">
        <v>536</v>
      </c>
      <c r="F94" s="13">
        <v>1028.5</v>
      </c>
      <c r="G94" s="13">
        <v>314</v>
      </c>
      <c r="H94" s="14">
        <v>36.94</v>
      </c>
      <c r="I94" s="13">
        <v>850</v>
      </c>
      <c r="J94" s="13">
        <v>50</v>
      </c>
      <c r="K94" s="13">
        <f t="shared" si="4"/>
        <v>264</v>
      </c>
      <c r="L94" s="13">
        <f t="shared" si="5"/>
        <v>158.4</v>
      </c>
      <c r="M94" s="15">
        <f t="shared" si="6"/>
        <v>3.8958333333333335</v>
      </c>
      <c r="N94" s="10" t="str">
        <f t="shared" si="7"/>
        <v>SI</v>
      </c>
    </row>
    <row r="95" spans="1:14" ht="15.75" customHeight="1" x14ac:dyDescent="0.2">
      <c r="A95" s="5" t="s">
        <v>125</v>
      </c>
      <c r="B95" s="5" t="s">
        <v>396</v>
      </c>
      <c r="C95" s="5" t="s">
        <v>397</v>
      </c>
      <c r="D95" s="6" t="s">
        <v>398</v>
      </c>
      <c r="E95" s="7">
        <v>1037</v>
      </c>
      <c r="F95" s="7">
        <v>1990.45</v>
      </c>
      <c r="G95" s="7">
        <v>608</v>
      </c>
      <c r="H95" s="8">
        <v>36.96</v>
      </c>
      <c r="I95" s="7">
        <v>1645</v>
      </c>
      <c r="J95" s="7">
        <v>0</v>
      </c>
      <c r="K95" s="7">
        <f t="shared" si="4"/>
        <v>608</v>
      </c>
      <c r="L95" s="7">
        <f t="shared" si="5"/>
        <v>364.8</v>
      </c>
      <c r="M95" s="9">
        <f t="shared" si="6"/>
        <v>3.2737664473684212</v>
      </c>
      <c r="N95" s="10" t="str">
        <f t="shared" si="7"/>
        <v>SI</v>
      </c>
    </row>
    <row r="96" spans="1:14" ht="15.75" customHeight="1" x14ac:dyDescent="0.2">
      <c r="A96" s="11" t="s">
        <v>125</v>
      </c>
      <c r="B96" s="11" t="s">
        <v>399</v>
      </c>
      <c r="C96" s="11" t="s">
        <v>400</v>
      </c>
      <c r="D96" s="12" t="s">
        <v>401</v>
      </c>
      <c r="E96" s="13">
        <v>1251</v>
      </c>
      <c r="F96" s="13">
        <v>2401.85</v>
      </c>
      <c r="G96" s="13">
        <v>734</v>
      </c>
      <c r="H96" s="14">
        <v>36.979999999999997</v>
      </c>
      <c r="I96" s="13">
        <v>1985</v>
      </c>
      <c r="J96" s="13">
        <v>0</v>
      </c>
      <c r="K96" s="13">
        <f t="shared" si="4"/>
        <v>734</v>
      </c>
      <c r="L96" s="13">
        <f t="shared" si="5"/>
        <v>440.4</v>
      </c>
      <c r="M96" s="15">
        <f t="shared" si="6"/>
        <v>3.2722752043596728</v>
      </c>
      <c r="N96" s="10" t="str">
        <f t="shared" si="7"/>
        <v>SI</v>
      </c>
    </row>
    <row r="97" spans="1:14" ht="15.75" customHeight="1" x14ac:dyDescent="0.2">
      <c r="A97" s="5" t="s">
        <v>125</v>
      </c>
      <c r="B97" s="5" t="s">
        <v>402</v>
      </c>
      <c r="C97" s="5" t="s">
        <v>403</v>
      </c>
      <c r="D97" s="6" t="s">
        <v>404</v>
      </c>
      <c r="E97" s="7">
        <v>1509</v>
      </c>
      <c r="F97" s="7">
        <v>2897.95</v>
      </c>
      <c r="G97" s="7">
        <v>886</v>
      </c>
      <c r="H97" s="8">
        <v>36.99</v>
      </c>
      <c r="I97" s="7">
        <v>2395</v>
      </c>
      <c r="J97" s="7">
        <v>0</v>
      </c>
      <c r="K97" s="7">
        <f t="shared" si="4"/>
        <v>886</v>
      </c>
      <c r="L97" s="7">
        <f t="shared" si="5"/>
        <v>531.6</v>
      </c>
      <c r="M97" s="9">
        <f t="shared" si="6"/>
        <v>3.2708239277652367</v>
      </c>
      <c r="N97" s="10" t="str">
        <f t="shared" si="7"/>
        <v>SI</v>
      </c>
    </row>
    <row r="98" spans="1:14" ht="15.75" customHeight="1" x14ac:dyDescent="0.2">
      <c r="A98" s="11" t="s">
        <v>125</v>
      </c>
      <c r="B98" s="11" t="s">
        <v>405</v>
      </c>
      <c r="C98" s="11" t="s">
        <v>406</v>
      </c>
      <c r="D98" s="12" t="s">
        <v>407</v>
      </c>
      <c r="E98" s="13">
        <v>1976</v>
      </c>
      <c r="F98" s="13">
        <v>3793.35</v>
      </c>
      <c r="G98" s="13">
        <v>1159</v>
      </c>
      <c r="H98" s="14">
        <v>36.97</v>
      </c>
      <c r="I98" s="13">
        <v>3135</v>
      </c>
      <c r="J98" s="13">
        <v>0</v>
      </c>
      <c r="K98" s="13">
        <f t="shared" si="4"/>
        <v>1159</v>
      </c>
      <c r="L98" s="13">
        <f t="shared" si="5"/>
        <v>695.4</v>
      </c>
      <c r="M98" s="15">
        <f t="shared" si="6"/>
        <v>3.2729508196721309</v>
      </c>
      <c r="N98" s="10" t="str">
        <f t="shared" si="7"/>
        <v>SI</v>
      </c>
    </row>
    <row r="99" spans="1:14" ht="15.75" customHeight="1" x14ac:dyDescent="0.2">
      <c r="A99" s="5" t="s">
        <v>125</v>
      </c>
      <c r="B99" s="5" t="s">
        <v>408</v>
      </c>
      <c r="C99" s="5" t="s">
        <v>409</v>
      </c>
      <c r="D99" s="6" t="s">
        <v>410</v>
      </c>
      <c r="E99" s="7">
        <v>2199</v>
      </c>
      <c r="F99" s="7">
        <v>4222.8999999999996</v>
      </c>
      <c r="G99" s="7">
        <v>1291</v>
      </c>
      <c r="H99" s="8">
        <v>36.99</v>
      </c>
      <c r="I99" s="7">
        <v>3490</v>
      </c>
      <c r="J99" s="7">
        <v>0</v>
      </c>
      <c r="K99" s="7">
        <f t="shared" si="4"/>
        <v>1291</v>
      </c>
      <c r="L99" s="7">
        <f t="shared" si="5"/>
        <v>774.6</v>
      </c>
      <c r="M99" s="9">
        <f t="shared" si="6"/>
        <v>3.2710302091402013</v>
      </c>
      <c r="N99" s="10" t="str">
        <f t="shared" si="7"/>
        <v>SI</v>
      </c>
    </row>
    <row r="100" spans="1:14" ht="15.75" customHeight="1" x14ac:dyDescent="0.2">
      <c r="A100" s="11" t="s">
        <v>125</v>
      </c>
      <c r="B100" s="11" t="s">
        <v>411</v>
      </c>
      <c r="C100" s="11" t="s">
        <v>412</v>
      </c>
      <c r="D100" s="12" t="s">
        <v>413</v>
      </c>
      <c r="E100" s="13">
        <v>1342</v>
      </c>
      <c r="F100" s="13">
        <v>2577.3000000000002</v>
      </c>
      <c r="G100" s="13">
        <v>788</v>
      </c>
      <c r="H100" s="14">
        <v>37</v>
      </c>
      <c r="I100" s="13">
        <v>2130</v>
      </c>
      <c r="J100" s="13">
        <v>0</v>
      </c>
      <c r="K100" s="13">
        <f t="shared" si="4"/>
        <v>788</v>
      </c>
      <c r="L100" s="13">
        <f t="shared" si="5"/>
        <v>472.79999999999995</v>
      </c>
      <c r="M100" s="15">
        <f t="shared" si="6"/>
        <v>3.2706852791878176</v>
      </c>
      <c r="N100" s="10" t="str">
        <f t="shared" si="7"/>
        <v>SI</v>
      </c>
    </row>
    <row r="101" spans="1:14" ht="15.75" customHeight="1" x14ac:dyDescent="0.2">
      <c r="A101" s="5" t="s">
        <v>125</v>
      </c>
      <c r="B101" s="5" t="s">
        <v>414</v>
      </c>
      <c r="C101" s="5" t="s">
        <v>415</v>
      </c>
      <c r="D101" s="6" t="s">
        <v>416</v>
      </c>
      <c r="E101" s="7">
        <v>1988</v>
      </c>
      <c r="F101" s="7">
        <v>3817.55</v>
      </c>
      <c r="G101" s="7">
        <v>1167</v>
      </c>
      <c r="H101" s="8">
        <v>36.99</v>
      </c>
      <c r="I101" s="7">
        <v>3155</v>
      </c>
      <c r="J101" s="7">
        <v>0</v>
      </c>
      <c r="K101" s="7">
        <f t="shared" si="4"/>
        <v>1167</v>
      </c>
      <c r="L101" s="7">
        <f t="shared" si="5"/>
        <v>700.19999999999993</v>
      </c>
      <c r="M101" s="9">
        <f t="shared" si="6"/>
        <v>3.2712510711225367</v>
      </c>
      <c r="N101" s="10" t="str">
        <f t="shared" si="7"/>
        <v>SI</v>
      </c>
    </row>
    <row r="102" spans="1:14" ht="15.75" customHeight="1" x14ac:dyDescent="0.2">
      <c r="A102" s="11" t="s">
        <v>125</v>
      </c>
      <c r="B102" s="11" t="s">
        <v>417</v>
      </c>
      <c r="C102" s="11" t="s">
        <v>418</v>
      </c>
      <c r="D102" s="12" t="s">
        <v>419</v>
      </c>
      <c r="E102" s="13">
        <v>344</v>
      </c>
      <c r="F102" s="13">
        <v>659.45</v>
      </c>
      <c r="G102" s="13">
        <v>201</v>
      </c>
      <c r="H102" s="14">
        <v>36.880000000000003</v>
      </c>
      <c r="I102" s="13">
        <v>545</v>
      </c>
      <c r="J102" s="13">
        <v>50</v>
      </c>
      <c r="K102" s="13">
        <f t="shared" si="4"/>
        <v>151</v>
      </c>
      <c r="L102" s="13">
        <f t="shared" si="5"/>
        <v>90.6</v>
      </c>
      <c r="M102" s="15">
        <f t="shared" si="6"/>
        <v>4.3672185430463575</v>
      </c>
      <c r="N102" s="10" t="str">
        <f t="shared" si="7"/>
        <v>SI</v>
      </c>
    </row>
    <row r="103" spans="1:14" ht="15.75" customHeight="1" x14ac:dyDescent="0.2">
      <c r="A103" s="5" t="s">
        <v>125</v>
      </c>
      <c r="B103" s="5" t="s">
        <v>417</v>
      </c>
      <c r="C103" s="5" t="s">
        <v>420</v>
      </c>
      <c r="D103" s="6" t="s">
        <v>421</v>
      </c>
      <c r="E103" s="7">
        <v>375</v>
      </c>
      <c r="F103" s="7">
        <v>719.95</v>
      </c>
      <c r="G103" s="7">
        <v>220</v>
      </c>
      <c r="H103" s="17">
        <v>36.97</v>
      </c>
      <c r="I103" s="7">
        <v>595</v>
      </c>
      <c r="J103" s="7">
        <v>50</v>
      </c>
      <c r="K103" s="7">
        <f t="shared" si="4"/>
        <v>170</v>
      </c>
      <c r="L103" s="7">
        <f t="shared" si="5"/>
        <v>102</v>
      </c>
      <c r="M103" s="9">
        <f t="shared" si="6"/>
        <v>4.2350000000000003</v>
      </c>
      <c r="N103" s="10" t="str">
        <f t="shared" si="7"/>
        <v>SI</v>
      </c>
    </row>
    <row r="104" spans="1:14" ht="15.75" customHeight="1" x14ac:dyDescent="0.2">
      <c r="A104" s="11" t="s">
        <v>125</v>
      </c>
      <c r="B104" s="11" t="s">
        <v>422</v>
      </c>
      <c r="C104" s="11" t="s">
        <v>423</v>
      </c>
      <c r="D104" s="12" t="s">
        <v>424</v>
      </c>
      <c r="E104" s="13">
        <v>104</v>
      </c>
      <c r="F104" s="13">
        <v>199.65</v>
      </c>
      <c r="G104" s="13">
        <v>61</v>
      </c>
      <c r="H104" s="16">
        <v>36.97</v>
      </c>
      <c r="I104" s="13">
        <v>165</v>
      </c>
      <c r="J104" s="13">
        <v>0</v>
      </c>
      <c r="K104" s="13">
        <f t="shared" si="4"/>
        <v>61</v>
      </c>
      <c r="L104" s="13">
        <f t="shared" si="5"/>
        <v>36.6</v>
      </c>
      <c r="M104" s="15">
        <f t="shared" si="6"/>
        <v>3.2729508196721313</v>
      </c>
      <c r="N104" s="10" t="str">
        <f t="shared" si="7"/>
        <v>SI</v>
      </c>
    </row>
    <row r="105" spans="1:14" ht="15.75" customHeight="1" x14ac:dyDescent="0.2">
      <c r="A105" s="5" t="s">
        <v>125</v>
      </c>
      <c r="B105" s="5" t="s">
        <v>425</v>
      </c>
      <c r="C105" s="5" t="s">
        <v>426</v>
      </c>
      <c r="D105" s="6" t="s">
        <v>427</v>
      </c>
      <c r="E105" s="7">
        <v>92</v>
      </c>
      <c r="F105" s="7">
        <v>175.45</v>
      </c>
      <c r="G105" s="7">
        <v>53</v>
      </c>
      <c r="H105" s="17">
        <v>36.549999999999997</v>
      </c>
      <c r="I105" s="7">
        <v>145</v>
      </c>
      <c r="J105" s="7">
        <v>0</v>
      </c>
      <c r="K105" s="7">
        <f t="shared" si="4"/>
        <v>53</v>
      </c>
      <c r="L105" s="7">
        <f t="shared" si="5"/>
        <v>31.799999999999997</v>
      </c>
      <c r="M105" s="9">
        <f t="shared" si="6"/>
        <v>3.310377358490566</v>
      </c>
      <c r="N105" s="10" t="str">
        <f t="shared" si="7"/>
        <v>SI</v>
      </c>
    </row>
    <row r="106" spans="1:14" ht="15.75" customHeight="1" x14ac:dyDescent="0.2">
      <c r="A106" s="11" t="s">
        <v>125</v>
      </c>
      <c r="B106" s="11" t="s">
        <v>428</v>
      </c>
      <c r="C106" s="11" t="s">
        <v>429</v>
      </c>
      <c r="D106" s="12" t="s">
        <v>430</v>
      </c>
      <c r="E106" s="13">
        <v>303</v>
      </c>
      <c r="F106" s="13">
        <v>580.79999999999995</v>
      </c>
      <c r="G106" s="13">
        <v>177</v>
      </c>
      <c r="H106" s="14">
        <v>36.880000000000003</v>
      </c>
      <c r="I106" s="13">
        <v>480</v>
      </c>
      <c r="J106" s="13">
        <v>50</v>
      </c>
      <c r="K106" s="13">
        <f t="shared" si="4"/>
        <v>127</v>
      </c>
      <c r="L106" s="13">
        <f t="shared" si="5"/>
        <v>76.2</v>
      </c>
      <c r="M106" s="15">
        <f t="shared" si="6"/>
        <v>4.573228346456693</v>
      </c>
      <c r="N106" s="10" t="str">
        <f t="shared" si="7"/>
        <v>CUIDADO</v>
      </c>
    </row>
    <row r="107" spans="1:14" ht="15.75" customHeight="1" x14ac:dyDescent="0.2">
      <c r="A107" s="5" t="s">
        <v>125</v>
      </c>
      <c r="B107" s="5" t="s">
        <v>431</v>
      </c>
      <c r="C107" s="5" t="s">
        <v>432</v>
      </c>
      <c r="D107" s="6" t="s">
        <v>433</v>
      </c>
      <c r="E107" s="7">
        <v>347</v>
      </c>
      <c r="F107" s="7">
        <v>665.5</v>
      </c>
      <c r="G107" s="7">
        <v>203</v>
      </c>
      <c r="H107" s="8">
        <v>36.909999999999997</v>
      </c>
      <c r="I107" s="7">
        <v>550</v>
      </c>
      <c r="J107" s="7">
        <v>50</v>
      </c>
      <c r="K107" s="7">
        <f t="shared" si="4"/>
        <v>153</v>
      </c>
      <c r="L107" s="7">
        <f t="shared" si="5"/>
        <v>91.8</v>
      </c>
      <c r="M107" s="9">
        <f t="shared" si="6"/>
        <v>4.3496732026143787</v>
      </c>
      <c r="N107" s="10" t="str">
        <f t="shared" si="7"/>
        <v>SI</v>
      </c>
    </row>
    <row r="108" spans="1:14" ht="15.75" customHeight="1" x14ac:dyDescent="0.2">
      <c r="A108" s="11" t="s">
        <v>125</v>
      </c>
      <c r="B108" s="11" t="s">
        <v>434</v>
      </c>
      <c r="C108" s="11" t="s">
        <v>435</v>
      </c>
      <c r="D108" s="12" t="s">
        <v>436</v>
      </c>
      <c r="E108" s="13">
        <v>60</v>
      </c>
      <c r="F108" s="13">
        <v>114.95</v>
      </c>
      <c r="G108" s="13">
        <v>35</v>
      </c>
      <c r="H108" s="16">
        <v>36.840000000000003</v>
      </c>
      <c r="I108" s="13">
        <v>95</v>
      </c>
      <c r="J108" s="13">
        <v>0</v>
      </c>
      <c r="K108" s="13">
        <f t="shared" si="4"/>
        <v>35</v>
      </c>
      <c r="L108" s="13">
        <f t="shared" si="5"/>
        <v>21</v>
      </c>
      <c r="M108" s="15">
        <f t="shared" si="6"/>
        <v>3.2842857142857143</v>
      </c>
      <c r="N108" s="10" t="str">
        <f t="shared" si="7"/>
        <v>SI</v>
      </c>
    </row>
    <row r="109" spans="1:14" ht="15.75" customHeight="1" x14ac:dyDescent="0.2">
      <c r="A109" s="5" t="s">
        <v>125</v>
      </c>
      <c r="B109" s="5" t="s">
        <v>437</v>
      </c>
      <c r="C109" s="5" t="s">
        <v>438</v>
      </c>
      <c r="D109" s="6" t="s">
        <v>439</v>
      </c>
      <c r="E109" s="7">
        <v>101</v>
      </c>
      <c r="F109" s="7">
        <v>193.6</v>
      </c>
      <c r="G109" s="7">
        <v>59</v>
      </c>
      <c r="H109" s="8">
        <v>36.880000000000003</v>
      </c>
      <c r="I109" s="7">
        <v>160</v>
      </c>
      <c r="J109" s="7">
        <v>0</v>
      </c>
      <c r="K109" s="7">
        <f t="shared" si="4"/>
        <v>59</v>
      </c>
      <c r="L109" s="7">
        <f t="shared" si="5"/>
        <v>35.4</v>
      </c>
      <c r="M109" s="9">
        <f t="shared" si="6"/>
        <v>3.2813559322033896</v>
      </c>
      <c r="N109" s="10" t="str">
        <f t="shared" si="7"/>
        <v>SI</v>
      </c>
    </row>
    <row r="110" spans="1:14" ht="15.75" customHeight="1" x14ac:dyDescent="0.2">
      <c r="A110" s="11" t="s">
        <v>125</v>
      </c>
      <c r="B110" s="11" t="s">
        <v>440</v>
      </c>
      <c r="C110" s="11" t="s">
        <v>441</v>
      </c>
      <c r="D110" s="12" t="s">
        <v>442</v>
      </c>
      <c r="E110" s="13">
        <v>189</v>
      </c>
      <c r="F110" s="13">
        <v>363</v>
      </c>
      <c r="G110" s="13">
        <v>111</v>
      </c>
      <c r="H110" s="14">
        <v>37</v>
      </c>
      <c r="I110" s="13">
        <v>300</v>
      </c>
      <c r="J110" s="13">
        <v>0</v>
      </c>
      <c r="K110" s="13">
        <f t="shared" si="4"/>
        <v>111</v>
      </c>
      <c r="L110" s="13">
        <f t="shared" si="5"/>
        <v>66.599999999999994</v>
      </c>
      <c r="M110" s="15">
        <f t="shared" si="6"/>
        <v>3.2702702702702702</v>
      </c>
      <c r="N110" s="10" t="str">
        <f t="shared" si="7"/>
        <v>SI</v>
      </c>
    </row>
    <row r="111" spans="1:14" ht="15.75" customHeight="1" x14ac:dyDescent="0.2">
      <c r="A111" s="5" t="s">
        <v>125</v>
      </c>
      <c r="B111" s="5" t="s">
        <v>443</v>
      </c>
      <c r="C111" s="5" t="s">
        <v>444</v>
      </c>
      <c r="D111" s="6" t="s">
        <v>445</v>
      </c>
      <c r="E111" s="7">
        <v>561</v>
      </c>
      <c r="F111" s="7">
        <v>1076.9000000000001</v>
      </c>
      <c r="G111" s="7">
        <v>329</v>
      </c>
      <c r="H111" s="8">
        <v>36.97</v>
      </c>
      <c r="I111" s="7">
        <v>890</v>
      </c>
      <c r="J111" s="7">
        <v>50</v>
      </c>
      <c r="K111" s="7">
        <f t="shared" si="4"/>
        <v>279</v>
      </c>
      <c r="L111" s="7">
        <f t="shared" si="5"/>
        <v>167.4</v>
      </c>
      <c r="M111" s="9">
        <f t="shared" si="6"/>
        <v>3.8598566308243729</v>
      </c>
      <c r="N111" s="10" t="str">
        <f t="shared" si="7"/>
        <v>SI</v>
      </c>
    </row>
    <row r="112" spans="1:14" ht="15.75" customHeight="1" x14ac:dyDescent="0.2">
      <c r="A112" s="11" t="s">
        <v>125</v>
      </c>
      <c r="B112" s="11" t="s">
        <v>446</v>
      </c>
      <c r="C112" s="11" t="s">
        <v>447</v>
      </c>
      <c r="D112" s="12" t="s">
        <v>448</v>
      </c>
      <c r="E112" s="13">
        <v>86</v>
      </c>
      <c r="F112" s="13">
        <v>163.35</v>
      </c>
      <c r="G112" s="13">
        <v>49</v>
      </c>
      <c r="H112" s="16">
        <v>36.299999999999997</v>
      </c>
      <c r="I112" s="13">
        <v>135</v>
      </c>
      <c r="J112" s="13">
        <v>0</v>
      </c>
      <c r="K112" s="13">
        <f t="shared" si="4"/>
        <v>49</v>
      </c>
      <c r="L112" s="13">
        <f t="shared" si="5"/>
        <v>29.4</v>
      </c>
      <c r="M112" s="15">
        <f t="shared" si="6"/>
        <v>3.333673469387755</v>
      </c>
      <c r="N112" s="10" t="str">
        <f t="shared" si="7"/>
        <v>SI</v>
      </c>
    </row>
    <row r="113" spans="1:14" ht="15.75" customHeight="1" x14ac:dyDescent="0.2">
      <c r="A113" s="5" t="s">
        <v>125</v>
      </c>
      <c r="B113" s="5" t="s">
        <v>449</v>
      </c>
      <c r="C113" s="5" t="s">
        <v>450</v>
      </c>
      <c r="D113" s="6" t="s">
        <v>451</v>
      </c>
      <c r="E113" s="7">
        <v>41</v>
      </c>
      <c r="F113" s="7">
        <v>78.650000000000006</v>
      </c>
      <c r="G113" s="7">
        <v>24</v>
      </c>
      <c r="H113" s="17">
        <v>36.92</v>
      </c>
      <c r="I113" s="7">
        <v>65</v>
      </c>
      <c r="J113" s="7">
        <v>0</v>
      </c>
      <c r="K113" s="7">
        <f t="shared" si="4"/>
        <v>24</v>
      </c>
      <c r="L113" s="7">
        <f t="shared" si="5"/>
        <v>14.399999999999999</v>
      </c>
      <c r="M113" s="9">
        <f t="shared" si="6"/>
        <v>3.2770833333333336</v>
      </c>
      <c r="N113" s="10" t="str">
        <f t="shared" si="7"/>
        <v>SI</v>
      </c>
    </row>
    <row r="114" spans="1:14" ht="15.75" customHeight="1" x14ac:dyDescent="0.2">
      <c r="A114" s="11" t="s">
        <v>125</v>
      </c>
      <c r="B114" s="11" t="s">
        <v>452</v>
      </c>
      <c r="C114" s="11" t="s">
        <v>453</v>
      </c>
      <c r="D114" s="12" t="s">
        <v>454</v>
      </c>
      <c r="E114" s="13">
        <v>114</v>
      </c>
      <c r="F114" s="13">
        <v>217.8</v>
      </c>
      <c r="G114" s="13">
        <v>66</v>
      </c>
      <c r="H114" s="14">
        <v>36.67</v>
      </c>
      <c r="I114" s="13">
        <v>180</v>
      </c>
      <c r="J114" s="13">
        <v>0</v>
      </c>
      <c r="K114" s="13">
        <f t="shared" si="4"/>
        <v>66</v>
      </c>
      <c r="L114" s="13">
        <f t="shared" si="5"/>
        <v>39.6</v>
      </c>
      <c r="M114" s="15">
        <f t="shared" si="6"/>
        <v>3.3000000000000003</v>
      </c>
      <c r="N114" s="10" t="str">
        <f t="shared" si="7"/>
        <v>SI</v>
      </c>
    </row>
    <row r="115" spans="1:14" ht="15.75" customHeight="1" x14ac:dyDescent="0.2">
      <c r="A115" s="5" t="s">
        <v>125</v>
      </c>
      <c r="B115" s="5" t="s">
        <v>455</v>
      </c>
      <c r="C115" s="5" t="s">
        <v>456</v>
      </c>
      <c r="D115" s="6" t="s">
        <v>457</v>
      </c>
      <c r="E115" s="7">
        <v>939</v>
      </c>
      <c r="F115" s="7">
        <v>1802.9</v>
      </c>
      <c r="G115" s="7">
        <v>551</v>
      </c>
      <c r="H115" s="8">
        <v>36.979999999999997</v>
      </c>
      <c r="I115" s="7">
        <v>1490</v>
      </c>
      <c r="J115" s="7">
        <v>0</v>
      </c>
      <c r="K115" s="7">
        <f t="shared" si="4"/>
        <v>551</v>
      </c>
      <c r="L115" s="7">
        <f t="shared" si="5"/>
        <v>330.59999999999997</v>
      </c>
      <c r="M115" s="9">
        <f t="shared" si="6"/>
        <v>3.2720508166969147</v>
      </c>
      <c r="N115" s="10" t="str">
        <f t="shared" si="7"/>
        <v>SI</v>
      </c>
    </row>
    <row r="116" spans="1:14" ht="15.75" customHeight="1" x14ac:dyDescent="0.2">
      <c r="A116" s="11" t="s">
        <v>125</v>
      </c>
      <c r="B116" s="11" t="s">
        <v>458</v>
      </c>
      <c r="C116" s="11" t="s">
        <v>459</v>
      </c>
      <c r="D116" s="12" t="s">
        <v>460</v>
      </c>
      <c r="E116" s="13">
        <v>1509</v>
      </c>
      <c r="F116" s="13">
        <v>2897.95</v>
      </c>
      <c r="G116" s="13">
        <v>886</v>
      </c>
      <c r="H116" s="14">
        <v>36.99</v>
      </c>
      <c r="I116" s="13">
        <v>2395</v>
      </c>
      <c r="J116" s="13">
        <v>0</v>
      </c>
      <c r="K116" s="13">
        <f t="shared" si="4"/>
        <v>886</v>
      </c>
      <c r="L116" s="13">
        <f t="shared" si="5"/>
        <v>531.6</v>
      </c>
      <c r="M116" s="15">
        <f t="shared" si="6"/>
        <v>3.2708239277652367</v>
      </c>
      <c r="N116" s="10" t="str">
        <f t="shared" si="7"/>
        <v>SI</v>
      </c>
    </row>
    <row r="117" spans="1:14" ht="15.75" customHeight="1" x14ac:dyDescent="0.2">
      <c r="A117" s="5" t="s">
        <v>125</v>
      </c>
      <c r="B117" s="5" t="s">
        <v>461</v>
      </c>
      <c r="C117" s="5" t="s">
        <v>462</v>
      </c>
      <c r="D117" s="6" t="s">
        <v>463</v>
      </c>
      <c r="E117" s="7">
        <v>221</v>
      </c>
      <c r="F117" s="7">
        <v>423.5</v>
      </c>
      <c r="G117" s="7">
        <v>129</v>
      </c>
      <c r="H117" s="17">
        <v>36.86</v>
      </c>
      <c r="I117" s="7">
        <v>350</v>
      </c>
      <c r="J117" s="7">
        <v>50</v>
      </c>
      <c r="K117" s="7">
        <f t="shared" si="4"/>
        <v>79</v>
      </c>
      <c r="L117" s="7">
        <f t="shared" si="5"/>
        <v>47.4</v>
      </c>
      <c r="M117" s="9">
        <f t="shared" si="6"/>
        <v>5.3607594936708862</v>
      </c>
      <c r="N117" s="10" t="str">
        <f t="shared" si="7"/>
        <v>NO</v>
      </c>
    </row>
    <row r="118" spans="1:14" ht="15.75" customHeight="1" x14ac:dyDescent="0.2">
      <c r="A118" s="11" t="s">
        <v>125</v>
      </c>
      <c r="B118" s="11" t="s">
        <v>464</v>
      </c>
      <c r="C118" s="11" t="s">
        <v>465</v>
      </c>
      <c r="D118" s="12" t="s">
        <v>466</v>
      </c>
      <c r="E118" s="13">
        <v>199</v>
      </c>
      <c r="F118" s="13">
        <v>381.15</v>
      </c>
      <c r="G118" s="13">
        <v>116</v>
      </c>
      <c r="H118" s="16">
        <v>36.83</v>
      </c>
      <c r="I118" s="13">
        <v>315</v>
      </c>
      <c r="J118" s="13">
        <v>50</v>
      </c>
      <c r="K118" s="13">
        <f t="shared" si="4"/>
        <v>66</v>
      </c>
      <c r="L118" s="13">
        <f t="shared" si="5"/>
        <v>39.6</v>
      </c>
      <c r="M118" s="15">
        <f t="shared" si="6"/>
        <v>5.7749999999999995</v>
      </c>
      <c r="N118" s="10" t="str">
        <f t="shared" si="7"/>
        <v>NO</v>
      </c>
    </row>
    <row r="119" spans="1:14" ht="15.75" customHeight="1" x14ac:dyDescent="0.2">
      <c r="A119" s="5" t="s">
        <v>467</v>
      </c>
      <c r="B119" s="5" t="s">
        <v>468</v>
      </c>
      <c r="C119" s="5" t="s">
        <v>469</v>
      </c>
      <c r="D119" s="6" t="s">
        <v>470</v>
      </c>
      <c r="E119" s="7">
        <v>112.55</v>
      </c>
      <c r="F119" s="7">
        <v>219.66</v>
      </c>
      <c r="G119" s="7">
        <v>68.989999999999995</v>
      </c>
      <c r="H119" s="8">
        <v>38</v>
      </c>
      <c r="I119" s="7">
        <v>181.54</v>
      </c>
      <c r="J119" s="7">
        <v>0</v>
      </c>
      <c r="K119" s="7">
        <f t="shared" si="4"/>
        <v>68.989999999999995</v>
      </c>
      <c r="L119" s="7">
        <f t="shared" si="5"/>
        <v>41.393999999999998</v>
      </c>
      <c r="M119" s="9">
        <f t="shared" si="6"/>
        <v>3.1839397014060009</v>
      </c>
      <c r="N119" s="10" t="str">
        <f t="shared" si="7"/>
        <v>SI</v>
      </c>
    </row>
    <row r="120" spans="1:14" ht="15.75" customHeight="1" x14ac:dyDescent="0.2">
      <c r="A120" s="11" t="s">
        <v>467</v>
      </c>
      <c r="B120" s="11" t="s">
        <v>471</v>
      </c>
      <c r="C120" s="11" t="s">
        <v>472</v>
      </c>
      <c r="D120" s="12" t="s">
        <v>470</v>
      </c>
      <c r="E120" s="13">
        <v>117.05</v>
      </c>
      <c r="F120" s="13">
        <v>228.44</v>
      </c>
      <c r="G120" s="13">
        <v>71.739999999999995</v>
      </c>
      <c r="H120" s="14">
        <v>38</v>
      </c>
      <c r="I120" s="13">
        <v>188.79</v>
      </c>
      <c r="J120" s="13">
        <v>0</v>
      </c>
      <c r="K120" s="13">
        <f t="shared" si="4"/>
        <v>71.739999999999995</v>
      </c>
      <c r="L120" s="13">
        <f t="shared" si="5"/>
        <v>43.043999999999997</v>
      </c>
      <c r="M120" s="15">
        <f t="shared" si="6"/>
        <v>3.1842765542235854</v>
      </c>
      <c r="N120" s="10" t="str">
        <f t="shared" si="7"/>
        <v>SI</v>
      </c>
    </row>
    <row r="121" spans="1:14" ht="15.75" customHeight="1" x14ac:dyDescent="0.2">
      <c r="A121" s="5" t="s">
        <v>467</v>
      </c>
      <c r="B121" s="5" t="s">
        <v>473</v>
      </c>
      <c r="C121" s="5" t="s">
        <v>474</v>
      </c>
      <c r="D121" s="6" t="s">
        <v>470</v>
      </c>
      <c r="E121" s="7">
        <v>124.07</v>
      </c>
      <c r="F121" s="7">
        <v>242.13</v>
      </c>
      <c r="G121" s="7">
        <v>76.040000000000006</v>
      </c>
      <c r="H121" s="8">
        <v>38</v>
      </c>
      <c r="I121" s="7">
        <v>200.11</v>
      </c>
      <c r="J121" s="7">
        <v>0</v>
      </c>
      <c r="K121" s="7">
        <f t="shared" si="4"/>
        <v>76.040000000000006</v>
      </c>
      <c r="L121" s="7">
        <f t="shared" si="5"/>
        <v>45.624000000000002</v>
      </c>
      <c r="M121" s="9">
        <f t="shared" si="6"/>
        <v>3.184245134139926</v>
      </c>
      <c r="N121" s="10" t="str">
        <f t="shared" si="7"/>
        <v>SI</v>
      </c>
    </row>
    <row r="122" spans="1:14" ht="15.75" customHeight="1" x14ac:dyDescent="0.2">
      <c r="A122" s="11" t="s">
        <v>467</v>
      </c>
      <c r="B122" s="11" t="s">
        <v>475</v>
      </c>
      <c r="C122" s="11" t="s">
        <v>476</v>
      </c>
      <c r="D122" s="12" t="s">
        <v>477</v>
      </c>
      <c r="E122" s="13">
        <v>107.1</v>
      </c>
      <c r="F122" s="13">
        <v>209.03</v>
      </c>
      <c r="G122" s="13">
        <v>65.650000000000006</v>
      </c>
      <c r="H122" s="14">
        <v>38</v>
      </c>
      <c r="I122" s="13">
        <v>172.75</v>
      </c>
      <c r="J122" s="13">
        <v>0</v>
      </c>
      <c r="K122" s="13">
        <f t="shared" si="4"/>
        <v>65.650000000000006</v>
      </c>
      <c r="L122" s="13">
        <f t="shared" si="5"/>
        <v>39.39</v>
      </c>
      <c r="M122" s="15">
        <f t="shared" si="6"/>
        <v>3.1840060929169836</v>
      </c>
      <c r="N122" s="10" t="str">
        <f t="shared" si="7"/>
        <v>SI</v>
      </c>
    </row>
    <row r="123" spans="1:14" ht="15.75" customHeight="1" x14ac:dyDescent="0.2">
      <c r="A123" s="5" t="s">
        <v>467</v>
      </c>
      <c r="B123" s="5" t="s">
        <v>475</v>
      </c>
      <c r="C123" s="5" t="s">
        <v>478</v>
      </c>
      <c r="D123" s="6" t="s">
        <v>477</v>
      </c>
      <c r="E123" s="7">
        <v>112.55</v>
      </c>
      <c r="F123" s="7">
        <v>219.66</v>
      </c>
      <c r="G123" s="7">
        <v>68.989999999999995</v>
      </c>
      <c r="H123" s="8">
        <v>38</v>
      </c>
      <c r="I123" s="7">
        <v>181.54</v>
      </c>
      <c r="J123" s="7">
        <v>0</v>
      </c>
      <c r="K123" s="7">
        <f t="shared" si="4"/>
        <v>68.989999999999995</v>
      </c>
      <c r="L123" s="7">
        <f t="shared" si="5"/>
        <v>41.393999999999998</v>
      </c>
      <c r="M123" s="9">
        <f t="shared" si="6"/>
        <v>3.1839397014060009</v>
      </c>
      <c r="N123" s="10" t="str">
        <f t="shared" si="7"/>
        <v>SI</v>
      </c>
    </row>
    <row r="124" spans="1:14" ht="15.75" customHeight="1" x14ac:dyDescent="0.2">
      <c r="A124" s="11" t="s">
        <v>467</v>
      </c>
      <c r="B124" s="11" t="s">
        <v>475</v>
      </c>
      <c r="C124" s="11" t="s">
        <v>479</v>
      </c>
      <c r="D124" s="12" t="s">
        <v>477</v>
      </c>
      <c r="E124" s="13">
        <v>93.89</v>
      </c>
      <c r="F124" s="13">
        <v>183.23</v>
      </c>
      <c r="G124" s="13">
        <v>57.54</v>
      </c>
      <c r="H124" s="14">
        <v>38</v>
      </c>
      <c r="I124" s="13">
        <v>151.43</v>
      </c>
      <c r="J124" s="13">
        <v>0</v>
      </c>
      <c r="K124" s="13">
        <f t="shared" si="4"/>
        <v>57.54</v>
      </c>
      <c r="L124" s="13">
        <f t="shared" si="5"/>
        <v>34.524000000000001</v>
      </c>
      <c r="M124" s="15">
        <f t="shared" si="6"/>
        <v>3.1843934654153632</v>
      </c>
      <c r="N124" s="10" t="str">
        <f t="shared" si="7"/>
        <v>SI</v>
      </c>
    </row>
    <row r="125" spans="1:14" ht="15.75" customHeight="1" x14ac:dyDescent="0.2">
      <c r="A125" s="5" t="s">
        <v>467</v>
      </c>
      <c r="B125" s="5" t="s">
        <v>475</v>
      </c>
      <c r="C125" s="5" t="s">
        <v>480</v>
      </c>
      <c r="D125" s="6" t="s">
        <v>477</v>
      </c>
      <c r="E125" s="7">
        <v>96.47</v>
      </c>
      <c r="F125" s="7">
        <v>188.28</v>
      </c>
      <c r="G125" s="7">
        <v>59.13</v>
      </c>
      <c r="H125" s="8">
        <v>38</v>
      </c>
      <c r="I125" s="7">
        <v>155.6</v>
      </c>
      <c r="J125" s="7">
        <v>0</v>
      </c>
      <c r="K125" s="7">
        <f t="shared" si="4"/>
        <v>59.13</v>
      </c>
      <c r="L125" s="7">
        <f t="shared" si="5"/>
        <v>35.478000000000002</v>
      </c>
      <c r="M125" s="9">
        <f t="shared" si="6"/>
        <v>3.1841704718417048</v>
      </c>
      <c r="N125" s="10" t="str">
        <f t="shared" si="7"/>
        <v>SI</v>
      </c>
    </row>
    <row r="126" spans="1:14" ht="15.75" customHeight="1" x14ac:dyDescent="0.2">
      <c r="A126" s="11" t="s">
        <v>467</v>
      </c>
      <c r="B126" s="11" t="s">
        <v>481</v>
      </c>
      <c r="C126" s="11" t="s">
        <v>482</v>
      </c>
      <c r="D126" s="12" t="s">
        <v>477</v>
      </c>
      <c r="E126" s="13">
        <v>106.97</v>
      </c>
      <c r="F126" s="13">
        <v>208.76</v>
      </c>
      <c r="G126" s="13">
        <v>65.56</v>
      </c>
      <c r="H126" s="14">
        <v>38</v>
      </c>
      <c r="I126" s="13">
        <v>172.53</v>
      </c>
      <c r="J126" s="13">
        <v>0</v>
      </c>
      <c r="K126" s="13">
        <f t="shared" si="4"/>
        <v>65.56</v>
      </c>
      <c r="L126" s="13">
        <f t="shared" si="5"/>
        <v>39.335999999999999</v>
      </c>
      <c r="M126" s="15">
        <f t="shared" si="6"/>
        <v>3.1842586943258082</v>
      </c>
      <c r="N126" s="10" t="str">
        <f t="shared" si="7"/>
        <v>SI</v>
      </c>
    </row>
    <row r="127" spans="1:14" ht="15.75" customHeight="1" x14ac:dyDescent="0.2">
      <c r="A127" s="5" t="s">
        <v>467</v>
      </c>
      <c r="B127" s="5" t="s">
        <v>481</v>
      </c>
      <c r="C127" s="5" t="s">
        <v>483</v>
      </c>
      <c r="D127" s="6" t="s">
        <v>477</v>
      </c>
      <c r="E127" s="7">
        <v>108.81</v>
      </c>
      <c r="F127" s="7">
        <v>212.34</v>
      </c>
      <c r="G127" s="7">
        <v>66.680000000000007</v>
      </c>
      <c r="H127" s="8">
        <v>38</v>
      </c>
      <c r="I127" s="7">
        <v>175.49</v>
      </c>
      <c r="J127" s="7">
        <v>0</v>
      </c>
      <c r="K127" s="7">
        <f t="shared" si="4"/>
        <v>66.680000000000007</v>
      </c>
      <c r="L127" s="7">
        <f t="shared" si="5"/>
        <v>40.008000000000003</v>
      </c>
      <c r="M127" s="9">
        <f t="shared" si="6"/>
        <v>3.1844631073785239</v>
      </c>
      <c r="N127" s="10" t="str">
        <f t="shared" si="7"/>
        <v>SI</v>
      </c>
    </row>
    <row r="128" spans="1:14" ht="15.75" customHeight="1" x14ac:dyDescent="0.2">
      <c r="A128" s="11" t="s">
        <v>467</v>
      </c>
      <c r="B128" s="11" t="s">
        <v>481</v>
      </c>
      <c r="C128" s="11" t="s">
        <v>484</v>
      </c>
      <c r="D128" s="12" t="s">
        <v>477</v>
      </c>
      <c r="E128" s="13">
        <v>93.34</v>
      </c>
      <c r="F128" s="13">
        <v>182.17</v>
      </c>
      <c r="G128" s="13">
        <v>57.21</v>
      </c>
      <c r="H128" s="14">
        <v>38</v>
      </c>
      <c r="I128" s="13">
        <v>150.55000000000001</v>
      </c>
      <c r="J128" s="13">
        <v>0</v>
      </c>
      <c r="K128" s="13">
        <f t="shared" si="4"/>
        <v>57.21</v>
      </c>
      <c r="L128" s="13">
        <f t="shared" si="5"/>
        <v>34.326000000000001</v>
      </c>
      <c r="M128" s="15">
        <f t="shared" si="6"/>
        <v>3.1842335256074112</v>
      </c>
      <c r="N128" s="10" t="str">
        <f t="shared" si="7"/>
        <v>SI</v>
      </c>
    </row>
    <row r="129" spans="1:14" ht="15.75" customHeight="1" x14ac:dyDescent="0.2">
      <c r="A129" s="5" t="s">
        <v>467</v>
      </c>
      <c r="B129" s="5" t="s">
        <v>481</v>
      </c>
      <c r="C129" s="5" t="s">
        <v>485</v>
      </c>
      <c r="D129" s="6" t="s">
        <v>477</v>
      </c>
      <c r="E129" s="7">
        <v>96.2</v>
      </c>
      <c r="F129" s="7">
        <v>187.74</v>
      </c>
      <c r="G129" s="7">
        <v>58.96</v>
      </c>
      <c r="H129" s="8">
        <v>38</v>
      </c>
      <c r="I129" s="7">
        <v>155.16</v>
      </c>
      <c r="J129" s="7">
        <v>0</v>
      </c>
      <c r="K129" s="7">
        <f t="shared" si="4"/>
        <v>58.96</v>
      </c>
      <c r="L129" s="7">
        <f t="shared" si="5"/>
        <v>35.375999999999998</v>
      </c>
      <c r="M129" s="9">
        <f t="shared" si="6"/>
        <v>3.1841926729986434</v>
      </c>
      <c r="N129" s="10" t="str">
        <f t="shared" si="7"/>
        <v>SI</v>
      </c>
    </row>
    <row r="130" spans="1:14" ht="15.75" customHeight="1" x14ac:dyDescent="0.2">
      <c r="A130" s="11" t="s">
        <v>467</v>
      </c>
      <c r="B130" s="11" t="s">
        <v>471</v>
      </c>
      <c r="C130" s="11" t="s">
        <v>472</v>
      </c>
      <c r="D130" s="12" t="s">
        <v>486</v>
      </c>
      <c r="E130" s="13">
        <v>82.85</v>
      </c>
      <c r="F130" s="13">
        <v>161.69</v>
      </c>
      <c r="G130" s="13">
        <v>50.78</v>
      </c>
      <c r="H130" s="14">
        <v>38</v>
      </c>
      <c r="I130" s="13">
        <v>133.63</v>
      </c>
      <c r="J130" s="13">
        <v>0</v>
      </c>
      <c r="K130" s="13">
        <f t="shared" si="4"/>
        <v>50.78</v>
      </c>
      <c r="L130" s="13">
        <f t="shared" si="5"/>
        <v>30.468</v>
      </c>
      <c r="M130" s="15">
        <f t="shared" si="6"/>
        <v>3.1841276092949977</v>
      </c>
      <c r="N130" s="10" t="str">
        <f t="shared" si="7"/>
        <v>SI</v>
      </c>
    </row>
    <row r="131" spans="1:14" ht="15.75" customHeight="1" x14ac:dyDescent="0.2">
      <c r="A131" s="5" t="s">
        <v>467</v>
      </c>
      <c r="B131" s="5" t="s">
        <v>487</v>
      </c>
      <c r="C131" s="5" t="s">
        <v>488</v>
      </c>
      <c r="D131" s="6" t="s">
        <v>486</v>
      </c>
      <c r="E131" s="7">
        <v>89.39</v>
      </c>
      <c r="F131" s="7">
        <v>174.46</v>
      </c>
      <c r="G131" s="7">
        <v>54.79</v>
      </c>
      <c r="H131" s="8">
        <v>38</v>
      </c>
      <c r="I131" s="7">
        <v>144.18</v>
      </c>
      <c r="J131" s="7">
        <v>0</v>
      </c>
      <c r="K131" s="7">
        <f t="shared" ref="K131:K194" si="8">G131-J131</f>
        <v>54.79</v>
      </c>
      <c r="L131" s="7">
        <f t="shared" ref="L131:L194" si="9">K131*$L$1</f>
        <v>32.873999999999995</v>
      </c>
      <c r="M131" s="9">
        <f t="shared" ref="M131:M194" si="10">F131/K131</f>
        <v>3.1841576930096736</v>
      </c>
      <c r="N131" s="10" t="str">
        <f t="shared" ref="N131:N194" si="11">IF(M131&lt;3.5,"SI",IF(M131&lt;4.5,IF(K131&gt;=100,"SI",IF(K131&gt;=40,"CUIDADO","NO")),IF(AND(M131&lt;5.5,F131&gt;=500,K131&gt;=80),"CUIDADO","NO")))</f>
        <v>SI</v>
      </c>
    </row>
    <row r="132" spans="1:14" ht="15.75" customHeight="1" x14ac:dyDescent="0.2">
      <c r="A132" s="11" t="s">
        <v>467</v>
      </c>
      <c r="B132" s="11" t="s">
        <v>489</v>
      </c>
      <c r="C132" s="11" t="s">
        <v>490</v>
      </c>
      <c r="D132" s="12" t="s">
        <v>486</v>
      </c>
      <c r="E132" s="13">
        <v>94.7</v>
      </c>
      <c r="F132" s="13">
        <v>184.83</v>
      </c>
      <c r="G132" s="13">
        <v>58.05</v>
      </c>
      <c r="H132" s="14">
        <v>38</v>
      </c>
      <c r="I132" s="13">
        <v>152.75</v>
      </c>
      <c r="J132" s="13">
        <v>0</v>
      </c>
      <c r="K132" s="13">
        <f t="shared" si="8"/>
        <v>58.05</v>
      </c>
      <c r="L132" s="13">
        <f t="shared" si="9"/>
        <v>34.83</v>
      </c>
      <c r="M132" s="15">
        <f t="shared" si="10"/>
        <v>3.1839793281653752</v>
      </c>
      <c r="N132" s="10" t="str">
        <f t="shared" si="11"/>
        <v>SI</v>
      </c>
    </row>
    <row r="133" spans="1:14" ht="15.75" customHeight="1" x14ac:dyDescent="0.2">
      <c r="A133" s="5" t="s">
        <v>467</v>
      </c>
      <c r="B133" s="5" t="s">
        <v>489</v>
      </c>
      <c r="C133" s="5" t="s">
        <v>491</v>
      </c>
      <c r="D133" s="6" t="s">
        <v>486</v>
      </c>
      <c r="E133" s="7">
        <v>98.52</v>
      </c>
      <c r="F133" s="7">
        <v>192.27</v>
      </c>
      <c r="G133" s="7">
        <v>60.38</v>
      </c>
      <c r="H133" s="8">
        <v>38</v>
      </c>
      <c r="I133" s="7">
        <v>158.9</v>
      </c>
      <c r="J133" s="7">
        <v>0</v>
      </c>
      <c r="K133" s="7">
        <f t="shared" si="8"/>
        <v>60.38</v>
      </c>
      <c r="L133" s="7">
        <f t="shared" si="9"/>
        <v>36.228000000000002</v>
      </c>
      <c r="M133" s="9">
        <f t="shared" si="10"/>
        <v>3.1843325604504802</v>
      </c>
      <c r="N133" s="10" t="str">
        <f t="shared" si="11"/>
        <v>SI</v>
      </c>
    </row>
    <row r="134" spans="1:14" ht="15.75" customHeight="1" x14ac:dyDescent="0.2">
      <c r="A134" s="11" t="s">
        <v>467</v>
      </c>
      <c r="B134" s="11" t="s">
        <v>492</v>
      </c>
      <c r="C134" s="11" t="s">
        <v>493</v>
      </c>
      <c r="D134" s="12" t="s">
        <v>486</v>
      </c>
      <c r="E134" s="13">
        <v>97.43</v>
      </c>
      <c r="F134" s="13">
        <v>190.14</v>
      </c>
      <c r="G134" s="13">
        <v>59.71</v>
      </c>
      <c r="H134" s="14">
        <v>38</v>
      </c>
      <c r="I134" s="13">
        <v>157.13999999999999</v>
      </c>
      <c r="J134" s="13">
        <v>0</v>
      </c>
      <c r="K134" s="13">
        <f t="shared" si="8"/>
        <v>59.71</v>
      </c>
      <c r="L134" s="13">
        <f t="shared" si="9"/>
        <v>35.826000000000001</v>
      </c>
      <c r="M134" s="15">
        <f t="shared" si="10"/>
        <v>3.1843912242505441</v>
      </c>
      <c r="N134" s="10" t="str">
        <f t="shared" si="11"/>
        <v>SI</v>
      </c>
    </row>
    <row r="135" spans="1:14" ht="15.75" customHeight="1" x14ac:dyDescent="0.2">
      <c r="A135" s="5" t="s">
        <v>467</v>
      </c>
      <c r="B135" s="5" t="s">
        <v>494</v>
      </c>
      <c r="C135" s="5" t="s">
        <v>495</v>
      </c>
      <c r="D135" s="6" t="s">
        <v>470</v>
      </c>
      <c r="E135" s="7">
        <v>215.24</v>
      </c>
      <c r="F135" s="7">
        <v>400.68</v>
      </c>
      <c r="G135" s="7">
        <v>115.9</v>
      </c>
      <c r="H135" s="8">
        <v>35</v>
      </c>
      <c r="I135" s="7">
        <v>331.14</v>
      </c>
      <c r="J135" s="7">
        <v>0</v>
      </c>
      <c r="K135" s="7">
        <f t="shared" si="8"/>
        <v>115.9</v>
      </c>
      <c r="L135" s="7">
        <f t="shared" si="9"/>
        <v>69.540000000000006</v>
      </c>
      <c r="M135" s="9">
        <f t="shared" si="10"/>
        <v>3.4571182053494391</v>
      </c>
      <c r="N135" s="10" t="str">
        <f t="shared" si="11"/>
        <v>SI</v>
      </c>
    </row>
    <row r="136" spans="1:14" ht="15.75" customHeight="1" x14ac:dyDescent="0.2">
      <c r="A136" s="11" t="s">
        <v>467</v>
      </c>
      <c r="B136" s="11" t="s">
        <v>494</v>
      </c>
      <c r="C136" s="11" t="s">
        <v>496</v>
      </c>
      <c r="D136" s="12" t="s">
        <v>470</v>
      </c>
      <c r="E136" s="13">
        <v>225.25</v>
      </c>
      <c r="F136" s="13">
        <v>419.31</v>
      </c>
      <c r="G136" s="13">
        <v>121.29</v>
      </c>
      <c r="H136" s="14">
        <v>35</v>
      </c>
      <c r="I136" s="13">
        <v>346.54</v>
      </c>
      <c r="J136" s="13">
        <v>0</v>
      </c>
      <c r="K136" s="13">
        <f t="shared" si="8"/>
        <v>121.29</v>
      </c>
      <c r="L136" s="13">
        <f t="shared" si="9"/>
        <v>72.774000000000001</v>
      </c>
      <c r="M136" s="15">
        <f t="shared" si="10"/>
        <v>3.4570863220380903</v>
      </c>
      <c r="N136" s="10" t="str">
        <f t="shared" si="11"/>
        <v>SI</v>
      </c>
    </row>
    <row r="137" spans="1:14" ht="15.75" customHeight="1" x14ac:dyDescent="0.2">
      <c r="A137" s="5" t="s">
        <v>467</v>
      </c>
      <c r="B137" s="5" t="s">
        <v>497</v>
      </c>
      <c r="C137" s="5" t="s">
        <v>498</v>
      </c>
      <c r="D137" s="6" t="s">
        <v>499</v>
      </c>
      <c r="E137" s="7">
        <v>287.64</v>
      </c>
      <c r="F137" s="7">
        <v>535.45000000000005</v>
      </c>
      <c r="G137" s="7">
        <v>154.88</v>
      </c>
      <c r="H137" s="8">
        <v>35</v>
      </c>
      <c r="I137" s="7">
        <v>442.52</v>
      </c>
      <c r="J137" s="7">
        <v>0</v>
      </c>
      <c r="K137" s="7">
        <f t="shared" si="8"/>
        <v>154.88</v>
      </c>
      <c r="L137" s="7">
        <f t="shared" si="9"/>
        <v>92.927999999999997</v>
      </c>
      <c r="M137" s="9">
        <f t="shared" si="10"/>
        <v>3.4571926652892566</v>
      </c>
      <c r="N137" s="10" t="str">
        <f t="shared" si="11"/>
        <v>SI</v>
      </c>
    </row>
    <row r="138" spans="1:14" ht="15.75" customHeight="1" x14ac:dyDescent="0.2">
      <c r="A138" s="11" t="s">
        <v>467</v>
      </c>
      <c r="B138" s="11" t="s">
        <v>497</v>
      </c>
      <c r="C138" s="11" t="s">
        <v>500</v>
      </c>
      <c r="D138" s="12" t="s">
        <v>501</v>
      </c>
      <c r="E138" s="13">
        <v>315.63</v>
      </c>
      <c r="F138" s="13">
        <v>587.55999999999995</v>
      </c>
      <c r="G138" s="13">
        <v>169.96</v>
      </c>
      <c r="H138" s="14">
        <v>35</v>
      </c>
      <c r="I138" s="13">
        <v>485.59</v>
      </c>
      <c r="J138" s="13">
        <v>0</v>
      </c>
      <c r="K138" s="13">
        <f t="shared" si="8"/>
        <v>169.96</v>
      </c>
      <c r="L138" s="13">
        <f t="shared" si="9"/>
        <v>101.976</v>
      </c>
      <c r="M138" s="15">
        <f t="shared" si="10"/>
        <v>3.4570487173452573</v>
      </c>
      <c r="N138" s="10" t="str">
        <f t="shared" si="11"/>
        <v>SI</v>
      </c>
    </row>
    <row r="139" spans="1:14" ht="15.75" customHeight="1" x14ac:dyDescent="0.2">
      <c r="A139" s="5" t="s">
        <v>467</v>
      </c>
      <c r="B139" s="5" t="s">
        <v>502</v>
      </c>
      <c r="C139" s="5" t="s">
        <v>503</v>
      </c>
      <c r="D139" s="6" t="s">
        <v>504</v>
      </c>
      <c r="E139" s="7">
        <v>229.08</v>
      </c>
      <c r="F139" s="7">
        <v>426.44</v>
      </c>
      <c r="G139" s="7">
        <v>123.35</v>
      </c>
      <c r="H139" s="8">
        <v>35</v>
      </c>
      <c r="I139" s="7">
        <v>352.43</v>
      </c>
      <c r="J139" s="7">
        <v>0</v>
      </c>
      <c r="K139" s="7">
        <f t="shared" si="8"/>
        <v>123.35</v>
      </c>
      <c r="L139" s="7">
        <f t="shared" si="9"/>
        <v>74.009999999999991</v>
      </c>
      <c r="M139" s="9">
        <f t="shared" si="10"/>
        <v>3.45715443858938</v>
      </c>
      <c r="N139" s="10" t="str">
        <f t="shared" si="11"/>
        <v>SI</v>
      </c>
    </row>
    <row r="140" spans="1:14" ht="15.75" customHeight="1" x14ac:dyDescent="0.2">
      <c r="A140" s="11" t="s">
        <v>467</v>
      </c>
      <c r="B140" s="11" t="s">
        <v>502</v>
      </c>
      <c r="C140" s="11" t="s">
        <v>505</v>
      </c>
      <c r="D140" s="12" t="s">
        <v>501</v>
      </c>
      <c r="E140" s="13">
        <v>252.74</v>
      </c>
      <c r="F140" s="13">
        <v>470.48</v>
      </c>
      <c r="G140" s="13">
        <v>136.09</v>
      </c>
      <c r="H140" s="14">
        <v>35</v>
      </c>
      <c r="I140" s="13">
        <v>388.83</v>
      </c>
      <c r="J140" s="13">
        <v>0</v>
      </c>
      <c r="K140" s="13">
        <f t="shared" si="8"/>
        <v>136.09</v>
      </c>
      <c r="L140" s="13">
        <f t="shared" si="9"/>
        <v>81.653999999999996</v>
      </c>
      <c r="M140" s="15">
        <f t="shared" si="10"/>
        <v>3.4571239620839149</v>
      </c>
      <c r="N140" s="10" t="str">
        <f t="shared" si="11"/>
        <v>SI</v>
      </c>
    </row>
    <row r="141" spans="1:14" ht="15.75" customHeight="1" x14ac:dyDescent="0.2">
      <c r="A141" s="5" t="s">
        <v>467</v>
      </c>
      <c r="B141" s="5" t="s">
        <v>506</v>
      </c>
      <c r="C141" s="5" t="s">
        <v>507</v>
      </c>
      <c r="D141" s="6" t="s">
        <v>504</v>
      </c>
      <c r="E141" s="7">
        <v>248.76</v>
      </c>
      <c r="F141" s="7">
        <v>463.07</v>
      </c>
      <c r="G141" s="7">
        <v>133.94</v>
      </c>
      <c r="H141" s="8">
        <v>35</v>
      </c>
      <c r="I141" s="7">
        <v>382.7</v>
      </c>
      <c r="J141" s="7">
        <v>0</v>
      </c>
      <c r="K141" s="7">
        <f t="shared" si="8"/>
        <v>133.94</v>
      </c>
      <c r="L141" s="7">
        <f t="shared" si="9"/>
        <v>80.36399999999999</v>
      </c>
      <c r="M141" s="9">
        <f t="shared" si="10"/>
        <v>3.4572943108854712</v>
      </c>
      <c r="N141" s="10" t="str">
        <f t="shared" si="11"/>
        <v>SI</v>
      </c>
    </row>
    <row r="142" spans="1:14" ht="15.75" customHeight="1" x14ac:dyDescent="0.2">
      <c r="A142" s="11" t="s">
        <v>467</v>
      </c>
      <c r="B142" s="11" t="s">
        <v>506</v>
      </c>
      <c r="C142" s="11" t="s">
        <v>508</v>
      </c>
      <c r="D142" s="12" t="s">
        <v>501</v>
      </c>
      <c r="E142" s="13">
        <v>266.56</v>
      </c>
      <c r="F142" s="13">
        <v>496.21</v>
      </c>
      <c r="G142" s="13">
        <v>143.53</v>
      </c>
      <c r="H142" s="14">
        <v>35</v>
      </c>
      <c r="I142" s="13">
        <v>410.09</v>
      </c>
      <c r="J142" s="13">
        <v>0</v>
      </c>
      <c r="K142" s="13">
        <f t="shared" si="8"/>
        <v>143.53</v>
      </c>
      <c r="L142" s="13">
        <f t="shared" si="9"/>
        <v>86.117999999999995</v>
      </c>
      <c r="M142" s="15">
        <f t="shared" si="10"/>
        <v>3.4571866508743816</v>
      </c>
      <c r="N142" s="10" t="str">
        <f t="shared" si="11"/>
        <v>SI</v>
      </c>
    </row>
    <row r="143" spans="1:14" ht="15.75" customHeight="1" x14ac:dyDescent="0.2">
      <c r="A143" s="5" t="s">
        <v>467</v>
      </c>
      <c r="B143" s="5" t="s">
        <v>509</v>
      </c>
      <c r="C143" s="5" t="s">
        <v>510</v>
      </c>
      <c r="D143" s="6" t="s">
        <v>511</v>
      </c>
      <c r="E143" s="7">
        <v>337.77</v>
      </c>
      <c r="F143" s="7">
        <v>628.76</v>
      </c>
      <c r="G143" s="7">
        <v>181.87</v>
      </c>
      <c r="H143" s="8">
        <v>35</v>
      </c>
      <c r="I143" s="7">
        <v>519.64</v>
      </c>
      <c r="J143" s="7">
        <v>0</v>
      </c>
      <c r="K143" s="7">
        <f t="shared" si="8"/>
        <v>181.87</v>
      </c>
      <c r="L143" s="7">
        <f t="shared" si="9"/>
        <v>109.122</v>
      </c>
      <c r="M143" s="9">
        <f t="shared" si="10"/>
        <v>3.4571946995106395</v>
      </c>
      <c r="N143" s="10" t="str">
        <f t="shared" si="11"/>
        <v>SI</v>
      </c>
    </row>
    <row r="144" spans="1:14" ht="15.75" customHeight="1" x14ac:dyDescent="0.2">
      <c r="A144" s="11" t="s">
        <v>467</v>
      </c>
      <c r="B144" s="11" t="s">
        <v>512</v>
      </c>
      <c r="C144" s="11" t="s">
        <v>513</v>
      </c>
      <c r="D144" s="12" t="s">
        <v>514</v>
      </c>
      <c r="E144" s="13">
        <v>173.92</v>
      </c>
      <c r="F144" s="13">
        <v>323.76</v>
      </c>
      <c r="G144" s="13">
        <v>93.65</v>
      </c>
      <c r="H144" s="14">
        <v>35</v>
      </c>
      <c r="I144" s="13">
        <v>267.57</v>
      </c>
      <c r="J144" s="13">
        <v>0</v>
      </c>
      <c r="K144" s="13">
        <f t="shared" si="8"/>
        <v>93.65</v>
      </c>
      <c r="L144" s="13">
        <f t="shared" si="9"/>
        <v>56.190000000000005</v>
      </c>
      <c r="M144" s="15">
        <f t="shared" si="10"/>
        <v>3.4571276027762945</v>
      </c>
      <c r="N144" s="10" t="str">
        <f t="shared" si="11"/>
        <v>SI</v>
      </c>
    </row>
    <row r="145" spans="1:14" ht="15.75" customHeight="1" x14ac:dyDescent="0.2">
      <c r="A145" s="5" t="s">
        <v>467</v>
      </c>
      <c r="B145" s="5" t="s">
        <v>515</v>
      </c>
      <c r="C145" s="5" t="s">
        <v>516</v>
      </c>
      <c r="D145" s="6" t="s">
        <v>517</v>
      </c>
      <c r="E145" s="7">
        <v>226.62</v>
      </c>
      <c r="F145" s="7">
        <v>421.87</v>
      </c>
      <c r="G145" s="7">
        <v>122.03</v>
      </c>
      <c r="H145" s="8">
        <v>35</v>
      </c>
      <c r="I145" s="7">
        <v>348.65</v>
      </c>
      <c r="J145" s="7">
        <v>0</v>
      </c>
      <c r="K145" s="7">
        <f t="shared" si="8"/>
        <v>122.03</v>
      </c>
      <c r="L145" s="7">
        <f t="shared" si="9"/>
        <v>73.218000000000004</v>
      </c>
      <c r="M145" s="9">
        <f t="shared" si="10"/>
        <v>3.4571007129394413</v>
      </c>
      <c r="N145" s="10" t="str">
        <f t="shared" si="11"/>
        <v>SI</v>
      </c>
    </row>
    <row r="146" spans="1:14" ht="15.75" customHeight="1" x14ac:dyDescent="0.2">
      <c r="A146" s="11" t="s">
        <v>467</v>
      </c>
      <c r="B146" s="11" t="s">
        <v>518</v>
      </c>
      <c r="C146" s="11" t="s">
        <v>519</v>
      </c>
      <c r="D146" s="12" t="s">
        <v>520</v>
      </c>
      <c r="E146" s="13">
        <v>140.88999999999999</v>
      </c>
      <c r="F146" s="13">
        <v>262.27999999999997</v>
      </c>
      <c r="G146" s="13">
        <v>75.87</v>
      </c>
      <c r="H146" s="14">
        <v>35</v>
      </c>
      <c r="I146" s="13">
        <v>216.76</v>
      </c>
      <c r="J146" s="13">
        <v>0</v>
      </c>
      <c r="K146" s="13">
        <f t="shared" si="8"/>
        <v>75.87</v>
      </c>
      <c r="L146" s="13">
        <f t="shared" si="9"/>
        <v>45.521999999999998</v>
      </c>
      <c r="M146" s="15">
        <f t="shared" si="10"/>
        <v>3.4569658626598123</v>
      </c>
      <c r="N146" s="10" t="str">
        <f t="shared" si="11"/>
        <v>SI</v>
      </c>
    </row>
    <row r="147" spans="1:14" ht="15.75" customHeight="1" x14ac:dyDescent="0.2">
      <c r="A147" s="5" t="s">
        <v>467</v>
      </c>
      <c r="B147" s="5" t="s">
        <v>521</v>
      </c>
      <c r="C147" s="5" t="s">
        <v>522</v>
      </c>
      <c r="D147" s="6" t="s">
        <v>523</v>
      </c>
      <c r="E147" s="7">
        <v>139.66999999999999</v>
      </c>
      <c r="F147" s="7">
        <v>304.51</v>
      </c>
      <c r="G147" s="7">
        <v>111.99</v>
      </c>
      <c r="H147" s="8">
        <v>44.5</v>
      </c>
      <c r="I147" s="7">
        <v>251.66</v>
      </c>
      <c r="J147" s="7">
        <v>0</v>
      </c>
      <c r="K147" s="7">
        <f t="shared" si="8"/>
        <v>111.99</v>
      </c>
      <c r="L147" s="7">
        <f t="shared" si="9"/>
        <v>67.193999999999988</v>
      </c>
      <c r="M147" s="9">
        <f t="shared" si="10"/>
        <v>2.7190820608982946</v>
      </c>
      <c r="N147" s="10" t="str">
        <f t="shared" si="11"/>
        <v>SI</v>
      </c>
    </row>
    <row r="148" spans="1:14" ht="15.75" customHeight="1" x14ac:dyDescent="0.2">
      <c r="A148" s="11" t="s">
        <v>467</v>
      </c>
      <c r="B148" s="11" t="s">
        <v>524</v>
      </c>
      <c r="C148" s="11" t="s">
        <v>525</v>
      </c>
      <c r="D148" s="12" t="s">
        <v>526</v>
      </c>
      <c r="E148" s="13">
        <v>114.6</v>
      </c>
      <c r="F148" s="13">
        <v>213.34</v>
      </c>
      <c r="G148" s="13">
        <v>61.71</v>
      </c>
      <c r="H148" s="14">
        <v>35</v>
      </c>
      <c r="I148" s="13">
        <v>176.31</v>
      </c>
      <c r="J148" s="13">
        <v>0</v>
      </c>
      <c r="K148" s="13">
        <f t="shared" si="8"/>
        <v>61.71</v>
      </c>
      <c r="L148" s="13">
        <f t="shared" si="9"/>
        <v>37.025999999999996</v>
      </c>
      <c r="M148" s="15">
        <f t="shared" si="10"/>
        <v>3.4571382271917033</v>
      </c>
      <c r="N148" s="10" t="str">
        <f t="shared" si="11"/>
        <v>SI</v>
      </c>
    </row>
    <row r="149" spans="1:14" ht="15.75" customHeight="1" x14ac:dyDescent="0.2">
      <c r="A149" s="5" t="s">
        <v>467</v>
      </c>
      <c r="B149" s="5" t="s">
        <v>527</v>
      </c>
      <c r="C149" s="5" t="s">
        <v>528</v>
      </c>
      <c r="D149" s="6" t="s">
        <v>529</v>
      </c>
      <c r="E149" s="7">
        <v>1073.6099999999999</v>
      </c>
      <c r="F149" s="7">
        <v>1998.57</v>
      </c>
      <c r="G149" s="7">
        <v>578.1</v>
      </c>
      <c r="H149" s="8">
        <v>35</v>
      </c>
      <c r="I149" s="7">
        <v>1651.71</v>
      </c>
      <c r="J149" s="7">
        <v>0</v>
      </c>
      <c r="K149" s="7">
        <f t="shared" si="8"/>
        <v>578.1</v>
      </c>
      <c r="L149" s="7">
        <f t="shared" si="9"/>
        <v>346.86</v>
      </c>
      <c r="M149" s="9">
        <f t="shared" si="10"/>
        <v>3.4571354436948623</v>
      </c>
      <c r="N149" s="10" t="str">
        <f t="shared" si="11"/>
        <v>SI</v>
      </c>
    </row>
    <row r="150" spans="1:14" ht="15.75" customHeight="1" x14ac:dyDescent="0.2">
      <c r="A150" s="11" t="s">
        <v>467</v>
      </c>
      <c r="B150" s="11" t="s">
        <v>530</v>
      </c>
      <c r="C150" s="11" t="s">
        <v>531</v>
      </c>
      <c r="D150" s="12" t="s">
        <v>532</v>
      </c>
      <c r="E150" s="13">
        <v>1510.81</v>
      </c>
      <c r="F150" s="13">
        <v>2812.43</v>
      </c>
      <c r="G150" s="13">
        <v>813.51</v>
      </c>
      <c r="H150" s="14">
        <v>35</v>
      </c>
      <c r="I150" s="13">
        <v>2324.3200000000002</v>
      </c>
      <c r="J150" s="13">
        <v>0</v>
      </c>
      <c r="K150" s="13">
        <f t="shared" si="8"/>
        <v>813.51</v>
      </c>
      <c r="L150" s="13">
        <f t="shared" si="9"/>
        <v>488.10599999999999</v>
      </c>
      <c r="M150" s="15">
        <f t="shared" si="10"/>
        <v>3.4571547983429829</v>
      </c>
      <c r="N150" s="10" t="str">
        <f t="shared" si="11"/>
        <v>SI</v>
      </c>
    </row>
    <row r="151" spans="1:14" ht="15.75" customHeight="1" x14ac:dyDescent="0.2">
      <c r="A151" s="5" t="s">
        <v>467</v>
      </c>
      <c r="B151" s="5" t="s">
        <v>533</v>
      </c>
      <c r="C151" s="5" t="s">
        <v>534</v>
      </c>
      <c r="D151" s="6" t="s">
        <v>535</v>
      </c>
      <c r="E151" s="7">
        <v>100.25</v>
      </c>
      <c r="F151" s="7">
        <v>186.62</v>
      </c>
      <c r="G151" s="7">
        <v>53.98</v>
      </c>
      <c r="H151" s="8">
        <v>35</v>
      </c>
      <c r="I151" s="7">
        <v>154.22999999999999</v>
      </c>
      <c r="J151" s="7">
        <v>0</v>
      </c>
      <c r="K151" s="7">
        <f t="shared" si="8"/>
        <v>53.98</v>
      </c>
      <c r="L151" s="7">
        <f t="shared" si="9"/>
        <v>32.387999999999998</v>
      </c>
      <c r="M151" s="9">
        <f t="shared" si="10"/>
        <v>3.4572063727306412</v>
      </c>
      <c r="N151" s="10" t="str">
        <f t="shared" si="11"/>
        <v>SI</v>
      </c>
    </row>
    <row r="152" spans="1:14" ht="15.75" customHeight="1" x14ac:dyDescent="0.2">
      <c r="A152" s="11" t="s">
        <v>467</v>
      </c>
      <c r="B152" s="11" t="s">
        <v>536</v>
      </c>
      <c r="C152" s="11" t="s">
        <v>537</v>
      </c>
      <c r="D152" s="12" t="s">
        <v>538</v>
      </c>
      <c r="E152" s="13">
        <v>97.71</v>
      </c>
      <c r="F152" s="13">
        <v>181.89</v>
      </c>
      <c r="G152" s="13">
        <v>52.61</v>
      </c>
      <c r="H152" s="14">
        <v>35</v>
      </c>
      <c r="I152" s="13">
        <v>150.32</v>
      </c>
      <c r="J152" s="13">
        <v>0</v>
      </c>
      <c r="K152" s="13">
        <f t="shared" si="8"/>
        <v>52.61</v>
      </c>
      <c r="L152" s="13">
        <f t="shared" si="9"/>
        <v>31.565999999999999</v>
      </c>
      <c r="M152" s="15">
        <f t="shared" si="10"/>
        <v>3.4573275042767531</v>
      </c>
      <c r="N152" s="10" t="str">
        <f t="shared" si="11"/>
        <v>SI</v>
      </c>
    </row>
    <row r="153" spans="1:14" ht="15.75" customHeight="1" x14ac:dyDescent="0.2">
      <c r="A153" s="5" t="s">
        <v>467</v>
      </c>
      <c r="B153" s="5" t="s">
        <v>539</v>
      </c>
      <c r="C153" s="5" t="s">
        <v>540</v>
      </c>
      <c r="D153" s="6" t="s">
        <v>538</v>
      </c>
      <c r="E153" s="7">
        <v>102.17</v>
      </c>
      <c r="F153" s="7">
        <v>190.2</v>
      </c>
      <c r="G153" s="7">
        <v>55.02</v>
      </c>
      <c r="H153" s="8">
        <v>35</v>
      </c>
      <c r="I153" s="7">
        <v>157.19</v>
      </c>
      <c r="J153" s="7">
        <v>0</v>
      </c>
      <c r="K153" s="7">
        <f t="shared" si="8"/>
        <v>55.02</v>
      </c>
      <c r="L153" s="7">
        <f t="shared" si="9"/>
        <v>33.012</v>
      </c>
      <c r="M153" s="9">
        <f t="shared" si="10"/>
        <v>3.4569247546346777</v>
      </c>
      <c r="N153" s="10" t="str">
        <f t="shared" si="11"/>
        <v>SI</v>
      </c>
    </row>
    <row r="154" spans="1:14" ht="15.75" customHeight="1" x14ac:dyDescent="0.2">
      <c r="A154" s="11" t="s">
        <v>467</v>
      </c>
      <c r="B154" s="11" t="s">
        <v>541</v>
      </c>
      <c r="C154" s="11" t="s">
        <v>542</v>
      </c>
      <c r="D154" s="12" t="s">
        <v>543</v>
      </c>
      <c r="E154" s="13">
        <v>41.58</v>
      </c>
      <c r="F154" s="13">
        <v>77.39</v>
      </c>
      <c r="G154" s="13">
        <v>22.38</v>
      </c>
      <c r="H154" s="14">
        <v>34.99</v>
      </c>
      <c r="I154" s="13">
        <v>63.96</v>
      </c>
      <c r="J154" s="13">
        <v>0</v>
      </c>
      <c r="K154" s="13">
        <f t="shared" si="8"/>
        <v>22.38</v>
      </c>
      <c r="L154" s="13">
        <f t="shared" si="9"/>
        <v>13.427999999999999</v>
      </c>
      <c r="M154" s="15">
        <f t="shared" si="10"/>
        <v>3.457998212689902</v>
      </c>
      <c r="N154" s="10" t="str">
        <f t="shared" si="11"/>
        <v>SI</v>
      </c>
    </row>
    <row r="155" spans="1:14" ht="15.75" customHeight="1" x14ac:dyDescent="0.2">
      <c r="A155" s="5" t="s">
        <v>467</v>
      </c>
      <c r="B155" s="5" t="s">
        <v>541</v>
      </c>
      <c r="C155" s="5" t="s">
        <v>544</v>
      </c>
      <c r="D155" s="6" t="s">
        <v>543</v>
      </c>
      <c r="E155" s="7">
        <v>43.92</v>
      </c>
      <c r="F155" s="7">
        <v>81.760000000000005</v>
      </c>
      <c r="G155" s="7">
        <v>23.65</v>
      </c>
      <c r="H155" s="8">
        <v>35</v>
      </c>
      <c r="I155" s="7">
        <v>67.569999999999993</v>
      </c>
      <c r="J155" s="7">
        <v>0</v>
      </c>
      <c r="K155" s="7">
        <f t="shared" si="8"/>
        <v>23.65</v>
      </c>
      <c r="L155" s="7">
        <f t="shared" si="9"/>
        <v>14.19</v>
      </c>
      <c r="M155" s="9">
        <f t="shared" si="10"/>
        <v>3.45708245243129</v>
      </c>
      <c r="N155" s="10" t="str">
        <f t="shared" si="11"/>
        <v>SI</v>
      </c>
    </row>
    <row r="156" spans="1:14" ht="15.75" customHeight="1" x14ac:dyDescent="0.2">
      <c r="A156" s="11" t="s">
        <v>467</v>
      </c>
      <c r="B156" s="11" t="s">
        <v>545</v>
      </c>
      <c r="C156" s="11" t="s">
        <v>546</v>
      </c>
      <c r="D156" s="12" t="s">
        <v>547</v>
      </c>
      <c r="E156" s="13">
        <v>54.81</v>
      </c>
      <c r="F156" s="13">
        <v>102.03</v>
      </c>
      <c r="G156" s="13">
        <v>29.51</v>
      </c>
      <c r="H156" s="14">
        <v>35</v>
      </c>
      <c r="I156" s="13">
        <v>84.32</v>
      </c>
      <c r="J156" s="13">
        <v>0</v>
      </c>
      <c r="K156" s="13">
        <f t="shared" si="8"/>
        <v>29.51</v>
      </c>
      <c r="L156" s="13">
        <f t="shared" si="9"/>
        <v>17.706</v>
      </c>
      <c r="M156" s="15">
        <f t="shared" si="10"/>
        <v>3.4574720433751271</v>
      </c>
      <c r="N156" s="10" t="str">
        <f t="shared" si="11"/>
        <v>SI</v>
      </c>
    </row>
    <row r="157" spans="1:14" ht="15.75" customHeight="1" x14ac:dyDescent="0.2">
      <c r="A157" s="5" t="s">
        <v>467</v>
      </c>
      <c r="B157" s="5" t="s">
        <v>545</v>
      </c>
      <c r="C157" s="5" t="s">
        <v>548</v>
      </c>
      <c r="D157" s="6" t="s">
        <v>547</v>
      </c>
      <c r="E157" s="7">
        <v>55.63</v>
      </c>
      <c r="F157" s="7">
        <v>103.56</v>
      </c>
      <c r="G157" s="7">
        <v>29.96</v>
      </c>
      <c r="H157" s="8">
        <v>35</v>
      </c>
      <c r="I157" s="7">
        <v>85.59</v>
      </c>
      <c r="J157" s="7">
        <v>0</v>
      </c>
      <c r="K157" s="7">
        <f t="shared" si="8"/>
        <v>29.96</v>
      </c>
      <c r="L157" s="7">
        <f t="shared" si="9"/>
        <v>17.975999999999999</v>
      </c>
      <c r="M157" s="9">
        <f t="shared" si="10"/>
        <v>3.4566088117489988</v>
      </c>
      <c r="N157" s="10" t="str">
        <f t="shared" si="11"/>
        <v>SI</v>
      </c>
    </row>
    <row r="158" spans="1:14" ht="15.75" customHeight="1" x14ac:dyDescent="0.2">
      <c r="A158" s="11" t="s">
        <v>467</v>
      </c>
      <c r="B158" s="11" t="s">
        <v>549</v>
      </c>
      <c r="C158" s="11" t="s">
        <v>550</v>
      </c>
      <c r="D158" s="12" t="s">
        <v>551</v>
      </c>
      <c r="E158" s="13">
        <v>17.170000000000002</v>
      </c>
      <c r="F158" s="13">
        <v>33.5</v>
      </c>
      <c r="G158" s="13">
        <v>10.52</v>
      </c>
      <c r="H158" s="14">
        <v>37.99</v>
      </c>
      <c r="I158" s="13">
        <v>27.69</v>
      </c>
      <c r="J158" s="13">
        <v>0</v>
      </c>
      <c r="K158" s="13">
        <f t="shared" si="8"/>
        <v>10.52</v>
      </c>
      <c r="L158" s="13">
        <f t="shared" si="9"/>
        <v>6.3119999999999994</v>
      </c>
      <c r="M158" s="15">
        <f t="shared" si="10"/>
        <v>3.1844106463878328</v>
      </c>
      <c r="N158" s="10" t="str">
        <f t="shared" si="11"/>
        <v>SI</v>
      </c>
    </row>
    <row r="159" spans="1:14" ht="15.75" customHeight="1" x14ac:dyDescent="0.2">
      <c r="A159" s="5" t="s">
        <v>467</v>
      </c>
      <c r="B159" s="5" t="s">
        <v>549</v>
      </c>
      <c r="C159" s="5" t="s">
        <v>552</v>
      </c>
      <c r="D159" s="6" t="s">
        <v>551</v>
      </c>
      <c r="E159" s="7">
        <v>20.77</v>
      </c>
      <c r="F159" s="7">
        <v>40.520000000000003</v>
      </c>
      <c r="G159" s="7">
        <v>12.72</v>
      </c>
      <c r="H159" s="8">
        <v>37.979999999999997</v>
      </c>
      <c r="I159" s="7">
        <v>33.49</v>
      </c>
      <c r="J159" s="7">
        <v>0</v>
      </c>
      <c r="K159" s="7">
        <f t="shared" si="8"/>
        <v>12.72</v>
      </c>
      <c r="L159" s="7">
        <f t="shared" si="9"/>
        <v>7.6319999999999997</v>
      </c>
      <c r="M159" s="9">
        <f t="shared" si="10"/>
        <v>3.1855345911949686</v>
      </c>
      <c r="N159" s="10" t="str">
        <f t="shared" si="11"/>
        <v>SI</v>
      </c>
    </row>
    <row r="160" spans="1:14" ht="15.75" customHeight="1" x14ac:dyDescent="0.2">
      <c r="A160" s="11" t="s">
        <v>467</v>
      </c>
      <c r="B160" s="11" t="s">
        <v>553</v>
      </c>
      <c r="C160" s="11" t="s">
        <v>554</v>
      </c>
      <c r="D160" s="12" t="s">
        <v>555</v>
      </c>
      <c r="E160" s="13">
        <v>43.89</v>
      </c>
      <c r="F160" s="13">
        <v>70.81</v>
      </c>
      <c r="G160" s="13">
        <v>14.63</v>
      </c>
      <c r="H160" s="14">
        <v>25</v>
      </c>
      <c r="I160" s="13">
        <v>58.52</v>
      </c>
      <c r="J160" s="13">
        <v>0</v>
      </c>
      <c r="K160" s="13">
        <f t="shared" si="8"/>
        <v>14.63</v>
      </c>
      <c r="L160" s="13">
        <f t="shared" si="9"/>
        <v>8.7780000000000005</v>
      </c>
      <c r="M160" s="15">
        <f t="shared" si="10"/>
        <v>4.8400546821599448</v>
      </c>
      <c r="N160" s="10" t="str">
        <f t="shared" si="11"/>
        <v>NO</v>
      </c>
    </row>
    <row r="161" spans="1:14" ht="15.75" customHeight="1" x14ac:dyDescent="0.2">
      <c r="A161" s="5" t="s">
        <v>467</v>
      </c>
      <c r="B161" s="5" t="s">
        <v>553</v>
      </c>
      <c r="C161" s="5" t="s">
        <v>556</v>
      </c>
      <c r="D161" s="6" t="s">
        <v>557</v>
      </c>
      <c r="E161" s="7">
        <v>52.19</v>
      </c>
      <c r="F161" s="7">
        <v>84.19</v>
      </c>
      <c r="G161" s="7">
        <v>17.39</v>
      </c>
      <c r="H161" s="8">
        <v>24.99</v>
      </c>
      <c r="I161" s="7">
        <v>69.58</v>
      </c>
      <c r="J161" s="7">
        <v>0</v>
      </c>
      <c r="K161" s="7">
        <f t="shared" si="8"/>
        <v>17.39</v>
      </c>
      <c r="L161" s="7">
        <f t="shared" si="9"/>
        <v>10.433999999999999</v>
      </c>
      <c r="M161" s="9">
        <f t="shared" si="10"/>
        <v>4.8412880966072454</v>
      </c>
      <c r="N161" s="10" t="str">
        <f t="shared" si="11"/>
        <v>NO</v>
      </c>
    </row>
    <row r="162" spans="1:14" ht="15.75" customHeight="1" x14ac:dyDescent="0.2">
      <c r="A162" s="11" t="s">
        <v>467</v>
      </c>
      <c r="B162" s="11" t="s">
        <v>558</v>
      </c>
      <c r="C162" s="11" t="s">
        <v>559</v>
      </c>
      <c r="D162" s="12" t="s">
        <v>560</v>
      </c>
      <c r="E162" s="13">
        <v>48.33</v>
      </c>
      <c r="F162" s="13">
        <v>77.97</v>
      </c>
      <c r="G162" s="13">
        <v>16.11</v>
      </c>
      <c r="H162" s="14">
        <v>25</v>
      </c>
      <c r="I162" s="13">
        <v>64.44</v>
      </c>
      <c r="J162" s="13">
        <v>0</v>
      </c>
      <c r="K162" s="13">
        <f t="shared" si="8"/>
        <v>16.11</v>
      </c>
      <c r="L162" s="13">
        <f t="shared" si="9"/>
        <v>9.6659999999999986</v>
      </c>
      <c r="M162" s="15">
        <f t="shared" si="10"/>
        <v>4.8398510242085662</v>
      </c>
      <c r="N162" s="10" t="str">
        <f t="shared" si="11"/>
        <v>NO</v>
      </c>
    </row>
    <row r="163" spans="1:14" ht="15.75" customHeight="1" x14ac:dyDescent="0.2">
      <c r="A163" s="5" t="s">
        <v>467</v>
      </c>
      <c r="B163" s="5" t="s">
        <v>558</v>
      </c>
      <c r="C163" s="5" t="s">
        <v>561</v>
      </c>
      <c r="D163" s="6" t="s">
        <v>562</v>
      </c>
      <c r="E163" s="7">
        <v>49.44</v>
      </c>
      <c r="F163" s="7">
        <v>79.760000000000005</v>
      </c>
      <c r="G163" s="7">
        <v>16.48</v>
      </c>
      <c r="H163" s="8">
        <v>25</v>
      </c>
      <c r="I163" s="7">
        <v>65.92</v>
      </c>
      <c r="J163" s="7">
        <v>0</v>
      </c>
      <c r="K163" s="7">
        <f t="shared" si="8"/>
        <v>16.48</v>
      </c>
      <c r="L163" s="7">
        <f t="shared" si="9"/>
        <v>9.8879999999999999</v>
      </c>
      <c r="M163" s="9">
        <f t="shared" si="10"/>
        <v>4.8398058252427187</v>
      </c>
      <c r="N163" s="10" t="str">
        <f t="shared" si="11"/>
        <v>NO</v>
      </c>
    </row>
    <row r="164" spans="1:14" ht="15.75" customHeight="1" x14ac:dyDescent="0.2">
      <c r="A164" s="11" t="s">
        <v>467</v>
      </c>
      <c r="B164" s="11" t="s">
        <v>558</v>
      </c>
      <c r="C164" s="11" t="s">
        <v>563</v>
      </c>
      <c r="D164" s="12" t="s">
        <v>562</v>
      </c>
      <c r="E164" s="13">
        <v>71.33</v>
      </c>
      <c r="F164" s="13">
        <v>115.08</v>
      </c>
      <c r="G164" s="13">
        <v>23.78</v>
      </c>
      <c r="H164" s="14">
        <v>25</v>
      </c>
      <c r="I164" s="13">
        <v>95.11</v>
      </c>
      <c r="J164" s="13">
        <v>0</v>
      </c>
      <c r="K164" s="13">
        <f t="shared" si="8"/>
        <v>23.78</v>
      </c>
      <c r="L164" s="13">
        <f t="shared" si="9"/>
        <v>14.268000000000001</v>
      </c>
      <c r="M164" s="15">
        <f t="shared" si="10"/>
        <v>4.8393608074011771</v>
      </c>
      <c r="N164" s="10" t="str">
        <f t="shared" si="11"/>
        <v>NO</v>
      </c>
    </row>
    <row r="165" spans="1:14" ht="15.75" customHeight="1" x14ac:dyDescent="0.2">
      <c r="A165" s="5" t="s">
        <v>467</v>
      </c>
      <c r="B165" s="5" t="s">
        <v>564</v>
      </c>
      <c r="C165" s="5" t="s">
        <v>565</v>
      </c>
      <c r="D165" s="6" t="s">
        <v>566</v>
      </c>
      <c r="E165" s="7">
        <v>40.56</v>
      </c>
      <c r="F165" s="7">
        <v>65.42</v>
      </c>
      <c r="G165" s="7">
        <v>13.51</v>
      </c>
      <c r="H165" s="8">
        <v>24.99</v>
      </c>
      <c r="I165" s="7">
        <v>54.07</v>
      </c>
      <c r="J165" s="7">
        <v>0</v>
      </c>
      <c r="K165" s="7">
        <f t="shared" si="8"/>
        <v>13.51</v>
      </c>
      <c r="L165" s="7">
        <f t="shared" si="9"/>
        <v>8.1059999999999999</v>
      </c>
      <c r="M165" s="9">
        <f t="shared" si="10"/>
        <v>4.8423390081421172</v>
      </c>
      <c r="N165" s="10" t="str">
        <f t="shared" si="11"/>
        <v>NO</v>
      </c>
    </row>
    <row r="166" spans="1:14" ht="15.75" customHeight="1" x14ac:dyDescent="0.2">
      <c r="A166" s="11" t="s">
        <v>467</v>
      </c>
      <c r="B166" s="11" t="s">
        <v>567</v>
      </c>
      <c r="C166" s="11" t="s">
        <v>568</v>
      </c>
      <c r="D166" s="12" t="s">
        <v>569</v>
      </c>
      <c r="E166" s="13">
        <v>43.83</v>
      </c>
      <c r="F166" s="13">
        <v>70.709999999999994</v>
      </c>
      <c r="G166" s="13">
        <v>14.61</v>
      </c>
      <c r="H166" s="14">
        <v>25</v>
      </c>
      <c r="I166" s="13">
        <v>58.44</v>
      </c>
      <c r="J166" s="13">
        <v>0</v>
      </c>
      <c r="K166" s="13">
        <f t="shared" si="8"/>
        <v>14.61</v>
      </c>
      <c r="L166" s="13">
        <f t="shared" si="9"/>
        <v>8.766</v>
      </c>
      <c r="M166" s="15">
        <f t="shared" si="10"/>
        <v>4.8398357289527718</v>
      </c>
      <c r="N166" s="10" t="str">
        <f t="shared" si="11"/>
        <v>NO</v>
      </c>
    </row>
    <row r="167" spans="1:14" ht="15.75" customHeight="1" x14ac:dyDescent="0.2">
      <c r="A167" s="5" t="s">
        <v>467</v>
      </c>
      <c r="B167" s="5" t="s">
        <v>570</v>
      </c>
      <c r="C167" s="5" t="s">
        <v>571</v>
      </c>
      <c r="D167" s="6" t="s">
        <v>562</v>
      </c>
      <c r="E167" s="7">
        <v>55.51</v>
      </c>
      <c r="F167" s="7">
        <v>89.55</v>
      </c>
      <c r="G167" s="7">
        <v>18.5</v>
      </c>
      <c r="H167" s="8">
        <v>25</v>
      </c>
      <c r="I167" s="7">
        <v>74.010000000000005</v>
      </c>
      <c r="J167" s="7">
        <v>0</v>
      </c>
      <c r="K167" s="7">
        <f t="shared" si="8"/>
        <v>18.5</v>
      </c>
      <c r="L167" s="7">
        <f t="shared" si="9"/>
        <v>11.1</v>
      </c>
      <c r="M167" s="9">
        <f t="shared" si="10"/>
        <v>4.8405405405405402</v>
      </c>
      <c r="N167" s="10" t="str">
        <f t="shared" si="11"/>
        <v>NO</v>
      </c>
    </row>
    <row r="168" spans="1:14" ht="15.75" customHeight="1" x14ac:dyDescent="0.2">
      <c r="A168" s="11" t="s">
        <v>467</v>
      </c>
      <c r="B168" s="11" t="s">
        <v>572</v>
      </c>
      <c r="C168" s="11" t="s">
        <v>573</v>
      </c>
      <c r="D168" s="12" t="s">
        <v>574</v>
      </c>
      <c r="E168" s="13">
        <v>60.67</v>
      </c>
      <c r="F168" s="13">
        <v>97.88</v>
      </c>
      <c r="G168" s="13">
        <v>20.22</v>
      </c>
      <c r="H168" s="14">
        <v>25</v>
      </c>
      <c r="I168" s="13">
        <v>80.89</v>
      </c>
      <c r="J168" s="13">
        <v>0</v>
      </c>
      <c r="K168" s="13">
        <f t="shared" si="8"/>
        <v>20.22</v>
      </c>
      <c r="L168" s="13">
        <f t="shared" si="9"/>
        <v>12.132</v>
      </c>
      <c r="M168" s="15">
        <f t="shared" si="10"/>
        <v>4.8407517309594459</v>
      </c>
      <c r="N168" s="10" t="str">
        <f t="shared" si="11"/>
        <v>NO</v>
      </c>
    </row>
    <row r="169" spans="1:14" ht="15.75" customHeight="1" x14ac:dyDescent="0.2">
      <c r="A169" s="5" t="s">
        <v>467</v>
      </c>
      <c r="B169" s="5" t="s">
        <v>570</v>
      </c>
      <c r="C169" s="5" t="s">
        <v>571</v>
      </c>
      <c r="D169" s="6" t="s">
        <v>562</v>
      </c>
      <c r="E169" s="7">
        <v>122.56</v>
      </c>
      <c r="F169" s="7">
        <v>197.73</v>
      </c>
      <c r="G169" s="7">
        <v>40.85</v>
      </c>
      <c r="H169" s="8">
        <v>25</v>
      </c>
      <c r="I169" s="7">
        <v>163.41</v>
      </c>
      <c r="J169" s="7">
        <v>0</v>
      </c>
      <c r="K169" s="7">
        <f t="shared" si="8"/>
        <v>40.85</v>
      </c>
      <c r="L169" s="7">
        <f t="shared" si="9"/>
        <v>24.51</v>
      </c>
      <c r="M169" s="9">
        <f t="shared" si="10"/>
        <v>4.8403916768665844</v>
      </c>
      <c r="N169" s="10" t="str">
        <f t="shared" si="11"/>
        <v>NO</v>
      </c>
    </row>
    <row r="170" spans="1:14" ht="15.75" customHeight="1" x14ac:dyDescent="0.2">
      <c r="A170" s="11" t="s">
        <v>467</v>
      </c>
      <c r="B170" s="11" t="s">
        <v>575</v>
      </c>
      <c r="C170" s="11" t="s">
        <v>576</v>
      </c>
      <c r="D170" s="12" t="s">
        <v>577</v>
      </c>
      <c r="E170" s="13">
        <v>96.11</v>
      </c>
      <c r="F170" s="13">
        <v>155.06</v>
      </c>
      <c r="G170" s="13">
        <v>32.04</v>
      </c>
      <c r="H170" s="14">
        <v>25</v>
      </c>
      <c r="I170" s="13">
        <v>128.15</v>
      </c>
      <c r="J170" s="13">
        <v>0</v>
      </c>
      <c r="K170" s="13">
        <f t="shared" si="8"/>
        <v>32.04</v>
      </c>
      <c r="L170" s="13">
        <f t="shared" si="9"/>
        <v>19.224</v>
      </c>
      <c r="M170" s="15">
        <f t="shared" si="10"/>
        <v>4.8395755305867665</v>
      </c>
      <c r="N170" s="10" t="str">
        <f t="shared" si="11"/>
        <v>NO</v>
      </c>
    </row>
    <row r="171" spans="1:14" ht="15.75" customHeight="1" x14ac:dyDescent="0.2">
      <c r="A171" s="5" t="s">
        <v>467</v>
      </c>
      <c r="B171" s="5" t="s">
        <v>578</v>
      </c>
      <c r="C171" s="5" t="s">
        <v>579</v>
      </c>
      <c r="D171" s="6" t="s">
        <v>580</v>
      </c>
      <c r="E171" s="7">
        <v>67.33</v>
      </c>
      <c r="F171" s="7">
        <v>108.63</v>
      </c>
      <c r="G171" s="7">
        <v>22.45</v>
      </c>
      <c r="H171" s="8">
        <v>25.01</v>
      </c>
      <c r="I171" s="7">
        <v>89.78</v>
      </c>
      <c r="J171" s="7">
        <v>0</v>
      </c>
      <c r="K171" s="7">
        <f t="shared" si="8"/>
        <v>22.45</v>
      </c>
      <c r="L171" s="7">
        <f t="shared" si="9"/>
        <v>13.469999999999999</v>
      </c>
      <c r="M171" s="9">
        <f t="shared" si="10"/>
        <v>4.8387527839643649</v>
      </c>
      <c r="N171" s="10" t="str">
        <f t="shared" si="11"/>
        <v>NO</v>
      </c>
    </row>
    <row r="172" spans="1:14" ht="15.75" customHeight="1" x14ac:dyDescent="0.2">
      <c r="A172" s="11" t="s">
        <v>467</v>
      </c>
      <c r="B172" s="11" t="s">
        <v>581</v>
      </c>
      <c r="C172" s="11" t="s">
        <v>582</v>
      </c>
      <c r="D172" s="12" t="s">
        <v>583</v>
      </c>
      <c r="E172" s="13">
        <v>14.17</v>
      </c>
      <c r="F172" s="13">
        <v>27.66</v>
      </c>
      <c r="G172" s="13">
        <v>8.69</v>
      </c>
      <c r="H172" s="14">
        <v>38.01</v>
      </c>
      <c r="I172" s="13">
        <v>22.86</v>
      </c>
      <c r="J172" s="13">
        <v>0</v>
      </c>
      <c r="K172" s="13">
        <f t="shared" si="8"/>
        <v>8.69</v>
      </c>
      <c r="L172" s="13">
        <f t="shared" si="9"/>
        <v>5.2139999999999995</v>
      </c>
      <c r="M172" s="15">
        <f t="shared" si="10"/>
        <v>3.1829689298043728</v>
      </c>
      <c r="N172" s="10" t="str">
        <f t="shared" si="11"/>
        <v>SI</v>
      </c>
    </row>
    <row r="173" spans="1:14" ht="15.75" customHeight="1" x14ac:dyDescent="0.2">
      <c r="A173" s="5" t="s">
        <v>467</v>
      </c>
      <c r="B173" s="5" t="s">
        <v>584</v>
      </c>
      <c r="C173" s="5" t="s">
        <v>585</v>
      </c>
      <c r="D173" s="6" t="s">
        <v>583</v>
      </c>
      <c r="E173" s="7">
        <v>14.95</v>
      </c>
      <c r="F173" s="7">
        <v>29.17</v>
      </c>
      <c r="G173" s="7">
        <v>9.16</v>
      </c>
      <c r="H173" s="8">
        <v>37.99</v>
      </c>
      <c r="I173" s="7">
        <v>24.11</v>
      </c>
      <c r="J173" s="7">
        <v>0</v>
      </c>
      <c r="K173" s="7">
        <f t="shared" si="8"/>
        <v>9.16</v>
      </c>
      <c r="L173" s="7">
        <f t="shared" si="9"/>
        <v>5.4959999999999996</v>
      </c>
      <c r="M173" s="9">
        <f t="shared" si="10"/>
        <v>3.1844978165938866</v>
      </c>
      <c r="N173" s="10" t="str">
        <f t="shared" si="11"/>
        <v>SI</v>
      </c>
    </row>
    <row r="174" spans="1:14" ht="15.75" customHeight="1" x14ac:dyDescent="0.2">
      <c r="A174" s="11" t="s">
        <v>467</v>
      </c>
      <c r="B174" s="11" t="s">
        <v>586</v>
      </c>
      <c r="C174" s="11" t="s">
        <v>587</v>
      </c>
      <c r="D174" s="12" t="s">
        <v>588</v>
      </c>
      <c r="E174" s="13">
        <v>17.13</v>
      </c>
      <c r="F174" s="13">
        <v>33.43</v>
      </c>
      <c r="G174" s="13">
        <v>10.5</v>
      </c>
      <c r="H174" s="14">
        <v>38</v>
      </c>
      <c r="I174" s="13">
        <v>27.63</v>
      </c>
      <c r="J174" s="13">
        <v>0</v>
      </c>
      <c r="K174" s="13">
        <f t="shared" si="8"/>
        <v>10.5</v>
      </c>
      <c r="L174" s="13">
        <f t="shared" si="9"/>
        <v>6.3</v>
      </c>
      <c r="M174" s="15">
        <f t="shared" si="10"/>
        <v>3.1838095238095239</v>
      </c>
      <c r="N174" s="10" t="str">
        <f t="shared" si="11"/>
        <v>SI</v>
      </c>
    </row>
    <row r="175" spans="1:14" ht="15.75" customHeight="1" x14ac:dyDescent="0.2">
      <c r="A175" s="5" t="s">
        <v>467</v>
      </c>
      <c r="B175" s="5" t="s">
        <v>589</v>
      </c>
      <c r="C175" s="5" t="s">
        <v>590</v>
      </c>
      <c r="D175" s="6" t="s">
        <v>588</v>
      </c>
      <c r="E175" s="7">
        <v>17.63</v>
      </c>
      <c r="F175" s="7">
        <v>34.409999999999997</v>
      </c>
      <c r="G175" s="7">
        <v>10.81</v>
      </c>
      <c r="H175" s="8">
        <v>38.01</v>
      </c>
      <c r="I175" s="7">
        <v>28.44</v>
      </c>
      <c r="J175" s="7">
        <v>0</v>
      </c>
      <c r="K175" s="7">
        <f t="shared" si="8"/>
        <v>10.81</v>
      </c>
      <c r="L175" s="7">
        <f t="shared" si="9"/>
        <v>6.4859999999999998</v>
      </c>
      <c r="M175" s="9">
        <f t="shared" si="10"/>
        <v>3.1831637372802954</v>
      </c>
      <c r="N175" s="10" t="str">
        <f t="shared" si="11"/>
        <v>SI</v>
      </c>
    </row>
    <row r="176" spans="1:14" ht="15.75" customHeight="1" x14ac:dyDescent="0.2">
      <c r="A176" s="11" t="s">
        <v>467</v>
      </c>
      <c r="B176" s="11" t="s">
        <v>591</v>
      </c>
      <c r="C176" s="11" t="s">
        <v>592</v>
      </c>
      <c r="D176" s="12" t="s">
        <v>588</v>
      </c>
      <c r="E176" s="13">
        <v>18.440000000000001</v>
      </c>
      <c r="F176" s="13">
        <v>35.99</v>
      </c>
      <c r="G176" s="13">
        <v>11.3</v>
      </c>
      <c r="H176" s="14">
        <v>38</v>
      </c>
      <c r="I176" s="13">
        <v>29.74</v>
      </c>
      <c r="J176" s="13">
        <v>0</v>
      </c>
      <c r="K176" s="13">
        <f t="shared" si="8"/>
        <v>11.3</v>
      </c>
      <c r="L176" s="13">
        <f t="shared" si="9"/>
        <v>6.78</v>
      </c>
      <c r="M176" s="15">
        <f t="shared" si="10"/>
        <v>3.1849557522123892</v>
      </c>
      <c r="N176" s="10" t="str">
        <f t="shared" si="11"/>
        <v>SI</v>
      </c>
    </row>
    <row r="177" spans="1:14" ht="15.75" customHeight="1" x14ac:dyDescent="0.2">
      <c r="A177" s="5" t="s">
        <v>467</v>
      </c>
      <c r="B177" s="5" t="s">
        <v>593</v>
      </c>
      <c r="C177" s="5" t="s">
        <v>594</v>
      </c>
      <c r="D177" s="6" t="s">
        <v>588</v>
      </c>
      <c r="E177" s="7">
        <v>19.36</v>
      </c>
      <c r="F177" s="7">
        <v>37.79</v>
      </c>
      <c r="G177" s="7">
        <v>11.87</v>
      </c>
      <c r="H177" s="8">
        <v>38.01</v>
      </c>
      <c r="I177" s="7">
        <v>31.23</v>
      </c>
      <c r="J177" s="7">
        <v>0</v>
      </c>
      <c r="K177" s="7">
        <f t="shared" si="8"/>
        <v>11.87</v>
      </c>
      <c r="L177" s="7">
        <f t="shared" si="9"/>
        <v>7.121999999999999</v>
      </c>
      <c r="M177" s="9">
        <f t="shared" si="10"/>
        <v>3.1836562763268748</v>
      </c>
      <c r="N177" s="10" t="str">
        <f t="shared" si="11"/>
        <v>SI</v>
      </c>
    </row>
    <row r="178" spans="1:14" ht="15.75" customHeight="1" x14ac:dyDescent="0.2">
      <c r="A178" s="11" t="s">
        <v>467</v>
      </c>
      <c r="B178" s="11" t="s">
        <v>595</v>
      </c>
      <c r="C178" s="11" t="s">
        <v>596</v>
      </c>
      <c r="D178" s="12" t="s">
        <v>597</v>
      </c>
      <c r="E178" s="13">
        <v>84.68</v>
      </c>
      <c r="F178" s="13">
        <v>157.63</v>
      </c>
      <c r="G178" s="13">
        <v>45.59</v>
      </c>
      <c r="H178" s="14">
        <v>35</v>
      </c>
      <c r="I178" s="13">
        <v>130.27000000000001</v>
      </c>
      <c r="J178" s="13">
        <v>0</v>
      </c>
      <c r="K178" s="13">
        <f t="shared" si="8"/>
        <v>45.59</v>
      </c>
      <c r="L178" s="13">
        <f t="shared" si="9"/>
        <v>27.354000000000003</v>
      </c>
      <c r="M178" s="15">
        <f t="shared" si="10"/>
        <v>3.4575564816845796</v>
      </c>
      <c r="N178" s="10" t="str">
        <f t="shared" si="11"/>
        <v>SI</v>
      </c>
    </row>
    <row r="179" spans="1:14" ht="15.75" customHeight="1" x14ac:dyDescent="0.2">
      <c r="A179" s="5" t="s">
        <v>467</v>
      </c>
      <c r="B179" s="5" t="s">
        <v>598</v>
      </c>
      <c r="C179" s="5" t="s">
        <v>599</v>
      </c>
      <c r="D179" s="6" t="s">
        <v>600</v>
      </c>
      <c r="E179" s="7">
        <v>69.97</v>
      </c>
      <c r="F179" s="7">
        <v>130.24</v>
      </c>
      <c r="G179" s="7">
        <v>37.67</v>
      </c>
      <c r="H179" s="8">
        <v>35</v>
      </c>
      <c r="I179" s="7">
        <v>107.64</v>
      </c>
      <c r="J179" s="7">
        <v>0</v>
      </c>
      <c r="K179" s="7">
        <f t="shared" si="8"/>
        <v>37.67</v>
      </c>
      <c r="L179" s="7">
        <f t="shared" si="9"/>
        <v>22.602</v>
      </c>
      <c r="M179" s="9">
        <f t="shared" si="10"/>
        <v>3.45739315104858</v>
      </c>
      <c r="N179" s="10" t="str">
        <f t="shared" si="11"/>
        <v>SI</v>
      </c>
    </row>
    <row r="180" spans="1:14" ht="15.75" customHeight="1" x14ac:dyDescent="0.2">
      <c r="A180" s="11" t="s">
        <v>467</v>
      </c>
      <c r="B180" s="11" t="s">
        <v>601</v>
      </c>
      <c r="C180" s="11" t="s">
        <v>602</v>
      </c>
      <c r="D180" s="12" t="s">
        <v>600</v>
      </c>
      <c r="E180" s="13">
        <v>73.58</v>
      </c>
      <c r="F180" s="13">
        <v>136.97999999999999</v>
      </c>
      <c r="G180" s="13">
        <v>39.630000000000003</v>
      </c>
      <c r="H180" s="14">
        <v>35.01</v>
      </c>
      <c r="I180" s="13">
        <v>113.21</v>
      </c>
      <c r="J180" s="13">
        <v>0</v>
      </c>
      <c r="K180" s="13">
        <f t="shared" si="8"/>
        <v>39.630000000000003</v>
      </c>
      <c r="L180" s="13">
        <f t="shared" si="9"/>
        <v>23.778000000000002</v>
      </c>
      <c r="M180" s="15">
        <f t="shared" si="10"/>
        <v>3.4564723694171078</v>
      </c>
      <c r="N180" s="10" t="str">
        <f t="shared" si="11"/>
        <v>SI</v>
      </c>
    </row>
    <row r="181" spans="1:14" ht="15.75" customHeight="1" x14ac:dyDescent="0.2">
      <c r="A181" s="5" t="s">
        <v>467</v>
      </c>
      <c r="B181" s="5" t="s">
        <v>603</v>
      </c>
      <c r="C181" s="5" t="s">
        <v>604</v>
      </c>
      <c r="D181" s="6" t="s">
        <v>605</v>
      </c>
      <c r="E181" s="7">
        <v>89.71</v>
      </c>
      <c r="F181" s="7">
        <v>167</v>
      </c>
      <c r="G181" s="7">
        <v>48.31</v>
      </c>
      <c r="H181" s="8">
        <v>35</v>
      </c>
      <c r="I181" s="7">
        <v>138.02000000000001</v>
      </c>
      <c r="J181" s="7">
        <v>0</v>
      </c>
      <c r="K181" s="7">
        <f t="shared" si="8"/>
        <v>48.31</v>
      </c>
      <c r="L181" s="7">
        <f t="shared" si="9"/>
        <v>28.986000000000001</v>
      </c>
      <c r="M181" s="9">
        <f t="shared" si="10"/>
        <v>3.4568412336990271</v>
      </c>
      <c r="N181" s="10" t="str">
        <f t="shared" si="11"/>
        <v>SI</v>
      </c>
    </row>
    <row r="182" spans="1:14" ht="15.75" customHeight="1" x14ac:dyDescent="0.2">
      <c r="A182" s="11" t="s">
        <v>467</v>
      </c>
      <c r="B182" s="11" t="s">
        <v>603</v>
      </c>
      <c r="C182" s="11" t="s">
        <v>606</v>
      </c>
      <c r="D182" s="12" t="s">
        <v>605</v>
      </c>
      <c r="E182" s="13">
        <v>94.05</v>
      </c>
      <c r="F182" s="13">
        <v>175.06</v>
      </c>
      <c r="G182" s="13">
        <v>50.63</v>
      </c>
      <c r="H182" s="14">
        <v>34.99</v>
      </c>
      <c r="I182" s="13">
        <v>144.68</v>
      </c>
      <c r="J182" s="13">
        <v>0</v>
      </c>
      <c r="K182" s="13">
        <f t="shared" si="8"/>
        <v>50.63</v>
      </c>
      <c r="L182" s="13">
        <f t="shared" si="9"/>
        <v>30.378</v>
      </c>
      <c r="M182" s="15">
        <f t="shared" si="10"/>
        <v>3.4576338139443017</v>
      </c>
      <c r="N182" s="10" t="str">
        <f t="shared" si="11"/>
        <v>SI</v>
      </c>
    </row>
    <row r="183" spans="1:14" ht="15.75" customHeight="1" x14ac:dyDescent="0.2">
      <c r="A183" s="5" t="s">
        <v>467</v>
      </c>
      <c r="B183" s="5" t="s">
        <v>603</v>
      </c>
      <c r="C183" s="5" t="s">
        <v>607</v>
      </c>
      <c r="D183" s="6" t="s">
        <v>605</v>
      </c>
      <c r="E183" s="7">
        <v>84.79</v>
      </c>
      <c r="F183" s="7">
        <v>157.84</v>
      </c>
      <c r="G183" s="7">
        <v>45.66</v>
      </c>
      <c r="H183" s="8">
        <v>35</v>
      </c>
      <c r="I183" s="7">
        <v>130.44999999999999</v>
      </c>
      <c r="J183" s="7">
        <v>0</v>
      </c>
      <c r="K183" s="7">
        <f t="shared" si="8"/>
        <v>45.66</v>
      </c>
      <c r="L183" s="7">
        <f t="shared" si="9"/>
        <v>27.395999999999997</v>
      </c>
      <c r="M183" s="9">
        <f t="shared" si="10"/>
        <v>3.4568550153307056</v>
      </c>
      <c r="N183" s="10" t="str">
        <f t="shared" si="11"/>
        <v>SI</v>
      </c>
    </row>
    <row r="184" spans="1:14" ht="15.75" customHeight="1" x14ac:dyDescent="0.2">
      <c r="A184" s="11" t="s">
        <v>467</v>
      </c>
      <c r="B184" s="11" t="s">
        <v>608</v>
      </c>
      <c r="C184" s="11" t="s">
        <v>609</v>
      </c>
      <c r="D184" s="12" t="s">
        <v>610</v>
      </c>
      <c r="E184" s="13">
        <v>97.55</v>
      </c>
      <c r="F184" s="13">
        <v>181.58</v>
      </c>
      <c r="G184" s="13">
        <v>52.52</v>
      </c>
      <c r="H184" s="14">
        <v>35</v>
      </c>
      <c r="I184" s="13">
        <v>150.07</v>
      </c>
      <c r="J184" s="13">
        <v>0</v>
      </c>
      <c r="K184" s="13">
        <f t="shared" si="8"/>
        <v>52.52</v>
      </c>
      <c r="L184" s="13">
        <f t="shared" si="9"/>
        <v>31.512</v>
      </c>
      <c r="M184" s="15">
        <f t="shared" si="10"/>
        <v>3.4573495811119574</v>
      </c>
      <c r="N184" s="10" t="str">
        <f t="shared" si="11"/>
        <v>SI</v>
      </c>
    </row>
    <row r="185" spans="1:14" ht="15.75" customHeight="1" x14ac:dyDescent="0.2">
      <c r="A185" s="5" t="s">
        <v>467</v>
      </c>
      <c r="B185" s="5" t="s">
        <v>611</v>
      </c>
      <c r="C185" s="5" t="s">
        <v>612</v>
      </c>
      <c r="D185" s="6" t="s">
        <v>613</v>
      </c>
      <c r="E185" s="7">
        <v>101.49</v>
      </c>
      <c r="F185" s="7">
        <v>188.93</v>
      </c>
      <c r="G185" s="7">
        <v>54.65</v>
      </c>
      <c r="H185" s="8">
        <v>35</v>
      </c>
      <c r="I185" s="7">
        <v>156.13999999999999</v>
      </c>
      <c r="J185" s="7">
        <v>0</v>
      </c>
      <c r="K185" s="7">
        <f t="shared" si="8"/>
        <v>54.65</v>
      </c>
      <c r="L185" s="7">
        <f t="shared" si="9"/>
        <v>32.79</v>
      </c>
      <c r="M185" s="9">
        <f t="shared" si="10"/>
        <v>3.4570905763952426</v>
      </c>
      <c r="N185" s="10" t="str">
        <f t="shared" si="11"/>
        <v>SI</v>
      </c>
    </row>
    <row r="186" spans="1:14" ht="15.75" customHeight="1" x14ac:dyDescent="0.2">
      <c r="A186" s="11" t="s">
        <v>467</v>
      </c>
      <c r="B186" s="11" t="s">
        <v>614</v>
      </c>
      <c r="C186" s="11" t="s">
        <v>615</v>
      </c>
      <c r="D186" s="12" t="s">
        <v>616</v>
      </c>
      <c r="E186" s="13">
        <v>118.78</v>
      </c>
      <c r="F186" s="13">
        <v>221.12</v>
      </c>
      <c r="G186" s="13">
        <v>63.96</v>
      </c>
      <c r="H186" s="14">
        <v>35</v>
      </c>
      <c r="I186" s="13">
        <v>182.74</v>
      </c>
      <c r="J186" s="13">
        <v>0</v>
      </c>
      <c r="K186" s="13">
        <f t="shared" si="8"/>
        <v>63.96</v>
      </c>
      <c r="L186" s="13">
        <f t="shared" si="9"/>
        <v>38.375999999999998</v>
      </c>
      <c r="M186" s="15">
        <f t="shared" si="10"/>
        <v>3.4571607254534085</v>
      </c>
      <c r="N186" s="10" t="str">
        <f t="shared" si="11"/>
        <v>SI</v>
      </c>
    </row>
    <row r="187" spans="1:14" ht="15.75" customHeight="1" x14ac:dyDescent="0.2">
      <c r="A187" s="5" t="s">
        <v>467</v>
      </c>
      <c r="B187" s="5" t="s">
        <v>617</v>
      </c>
      <c r="C187" s="5" t="s">
        <v>618</v>
      </c>
      <c r="D187" s="6" t="s">
        <v>619</v>
      </c>
      <c r="E187" s="7">
        <v>118.31</v>
      </c>
      <c r="F187" s="7">
        <v>220.24</v>
      </c>
      <c r="G187" s="7">
        <v>63.71</v>
      </c>
      <c r="H187" s="8">
        <v>35</v>
      </c>
      <c r="I187" s="7">
        <v>182.02</v>
      </c>
      <c r="J187" s="7">
        <v>0</v>
      </c>
      <c r="K187" s="7">
        <f t="shared" si="8"/>
        <v>63.71</v>
      </c>
      <c r="L187" s="7">
        <f t="shared" si="9"/>
        <v>38.225999999999999</v>
      </c>
      <c r="M187" s="9">
        <f t="shared" si="10"/>
        <v>3.456914142206875</v>
      </c>
      <c r="N187" s="10" t="str">
        <f t="shared" si="11"/>
        <v>SI</v>
      </c>
    </row>
    <row r="188" spans="1:14" ht="15.75" customHeight="1" x14ac:dyDescent="0.2">
      <c r="A188" s="11" t="s">
        <v>467</v>
      </c>
      <c r="B188" s="11" t="s">
        <v>620</v>
      </c>
      <c r="C188" s="11" t="s">
        <v>621</v>
      </c>
      <c r="D188" s="12" t="s">
        <v>622</v>
      </c>
      <c r="E188" s="13">
        <v>131.01</v>
      </c>
      <c r="F188" s="13">
        <v>243.88</v>
      </c>
      <c r="G188" s="13">
        <v>70.540000000000006</v>
      </c>
      <c r="H188" s="14">
        <v>35</v>
      </c>
      <c r="I188" s="13">
        <v>201.55</v>
      </c>
      <c r="J188" s="13">
        <v>0</v>
      </c>
      <c r="K188" s="13">
        <f t="shared" si="8"/>
        <v>70.540000000000006</v>
      </c>
      <c r="L188" s="13">
        <f t="shared" si="9"/>
        <v>42.324000000000005</v>
      </c>
      <c r="M188" s="15">
        <f t="shared" si="10"/>
        <v>3.4573291749362061</v>
      </c>
      <c r="N188" s="10" t="str">
        <f t="shared" si="11"/>
        <v>SI</v>
      </c>
    </row>
    <row r="189" spans="1:14" ht="15.75" customHeight="1" x14ac:dyDescent="0.2">
      <c r="A189" s="5" t="s">
        <v>467</v>
      </c>
      <c r="B189" s="5" t="s">
        <v>623</v>
      </c>
      <c r="C189" s="5" t="s">
        <v>624</v>
      </c>
      <c r="D189" s="6" t="s">
        <v>625</v>
      </c>
      <c r="E189" s="7">
        <v>169.64</v>
      </c>
      <c r="F189" s="7">
        <v>315.8</v>
      </c>
      <c r="G189" s="7">
        <v>91.35</v>
      </c>
      <c r="H189" s="8">
        <v>35</v>
      </c>
      <c r="I189" s="7">
        <v>260.99</v>
      </c>
      <c r="J189" s="7">
        <v>0</v>
      </c>
      <c r="K189" s="7">
        <f t="shared" si="8"/>
        <v>91.35</v>
      </c>
      <c r="L189" s="7">
        <f t="shared" si="9"/>
        <v>54.809999999999995</v>
      </c>
      <c r="M189" s="9">
        <f t="shared" si="10"/>
        <v>3.4570333880678712</v>
      </c>
      <c r="N189" s="10" t="str">
        <f t="shared" si="11"/>
        <v>SI</v>
      </c>
    </row>
    <row r="190" spans="1:14" ht="15.75" customHeight="1" x14ac:dyDescent="0.2">
      <c r="A190" s="11" t="s">
        <v>467</v>
      </c>
      <c r="B190" s="11" t="s">
        <v>626</v>
      </c>
      <c r="C190" s="11" t="s">
        <v>627</v>
      </c>
      <c r="D190" s="12" t="s">
        <v>628</v>
      </c>
      <c r="E190" s="13">
        <v>257.19</v>
      </c>
      <c r="F190" s="13">
        <v>478.77</v>
      </c>
      <c r="G190" s="13">
        <v>138.49</v>
      </c>
      <c r="H190" s="14">
        <v>35</v>
      </c>
      <c r="I190" s="13">
        <v>395.68</v>
      </c>
      <c r="J190" s="13">
        <v>0</v>
      </c>
      <c r="K190" s="13">
        <f t="shared" si="8"/>
        <v>138.49</v>
      </c>
      <c r="L190" s="13">
        <f t="shared" si="9"/>
        <v>83.094000000000008</v>
      </c>
      <c r="M190" s="15">
        <f t="shared" si="10"/>
        <v>3.4570727128312511</v>
      </c>
      <c r="N190" s="10" t="str">
        <f t="shared" si="11"/>
        <v>SI</v>
      </c>
    </row>
    <row r="191" spans="1:14" ht="15.75" customHeight="1" x14ac:dyDescent="0.2">
      <c r="A191" s="5" t="s">
        <v>467</v>
      </c>
      <c r="B191" s="5" t="s">
        <v>626</v>
      </c>
      <c r="C191" s="5" t="s">
        <v>629</v>
      </c>
      <c r="D191" s="6" t="s">
        <v>628</v>
      </c>
      <c r="E191" s="7">
        <v>290.22000000000003</v>
      </c>
      <c r="F191" s="7">
        <v>540.25</v>
      </c>
      <c r="G191" s="7">
        <v>156.27000000000001</v>
      </c>
      <c r="H191" s="8">
        <v>35</v>
      </c>
      <c r="I191" s="7">
        <v>446.49</v>
      </c>
      <c r="J191" s="7">
        <v>0</v>
      </c>
      <c r="K191" s="7">
        <f t="shared" si="8"/>
        <v>156.27000000000001</v>
      </c>
      <c r="L191" s="7">
        <f t="shared" si="9"/>
        <v>93.762</v>
      </c>
      <c r="M191" s="9">
        <f t="shared" si="10"/>
        <v>3.4571574838420678</v>
      </c>
      <c r="N191" s="10" t="str">
        <f t="shared" si="11"/>
        <v>SI</v>
      </c>
    </row>
    <row r="192" spans="1:14" ht="15.75" customHeight="1" x14ac:dyDescent="0.2">
      <c r="A192" s="11" t="s">
        <v>467</v>
      </c>
      <c r="B192" s="11" t="s">
        <v>626</v>
      </c>
      <c r="C192" s="11" t="s">
        <v>630</v>
      </c>
      <c r="D192" s="12" t="s">
        <v>631</v>
      </c>
      <c r="E192" s="13">
        <v>342.68</v>
      </c>
      <c r="F192" s="13">
        <v>637.91999999999996</v>
      </c>
      <c r="G192" s="13">
        <v>184.53</v>
      </c>
      <c r="H192" s="14">
        <v>35</v>
      </c>
      <c r="I192" s="13">
        <v>527.21</v>
      </c>
      <c r="J192" s="13">
        <v>0</v>
      </c>
      <c r="K192" s="13">
        <f t="shared" si="8"/>
        <v>184.53</v>
      </c>
      <c r="L192" s="13">
        <f t="shared" si="9"/>
        <v>110.718</v>
      </c>
      <c r="M192" s="15">
        <f t="shared" si="10"/>
        <v>3.4569988619736627</v>
      </c>
      <c r="N192" s="10" t="str">
        <f t="shared" si="11"/>
        <v>SI</v>
      </c>
    </row>
    <row r="193" spans="1:14" ht="15.75" customHeight="1" x14ac:dyDescent="0.2">
      <c r="A193" s="5" t="s">
        <v>467</v>
      </c>
      <c r="B193" s="5" t="s">
        <v>626</v>
      </c>
      <c r="C193" s="5" t="s">
        <v>632</v>
      </c>
      <c r="D193" s="6" t="s">
        <v>631</v>
      </c>
      <c r="E193" s="7">
        <v>396.09</v>
      </c>
      <c r="F193" s="7">
        <v>737.34</v>
      </c>
      <c r="G193" s="7">
        <v>213.28</v>
      </c>
      <c r="H193" s="8">
        <v>35</v>
      </c>
      <c r="I193" s="7">
        <v>609.37</v>
      </c>
      <c r="J193" s="7">
        <v>0</v>
      </c>
      <c r="K193" s="7">
        <f t="shared" si="8"/>
        <v>213.28</v>
      </c>
      <c r="L193" s="7">
        <f t="shared" si="9"/>
        <v>127.96799999999999</v>
      </c>
      <c r="M193" s="9">
        <f t="shared" si="10"/>
        <v>3.4571455363840959</v>
      </c>
      <c r="N193" s="10" t="str">
        <f t="shared" si="11"/>
        <v>SI</v>
      </c>
    </row>
    <row r="194" spans="1:14" ht="15.75" customHeight="1" x14ac:dyDescent="0.2">
      <c r="A194" s="11" t="s">
        <v>467</v>
      </c>
      <c r="B194" s="11" t="s">
        <v>626</v>
      </c>
      <c r="C194" s="11" t="s">
        <v>633</v>
      </c>
      <c r="D194" s="12" t="s">
        <v>634</v>
      </c>
      <c r="E194" s="13">
        <v>412.95</v>
      </c>
      <c r="F194" s="13">
        <v>768.74</v>
      </c>
      <c r="G194" s="13">
        <v>222.37</v>
      </c>
      <c r="H194" s="14">
        <v>35</v>
      </c>
      <c r="I194" s="13">
        <v>635.32000000000005</v>
      </c>
      <c r="J194" s="13">
        <v>0</v>
      </c>
      <c r="K194" s="13">
        <f t="shared" si="8"/>
        <v>222.37</v>
      </c>
      <c r="L194" s="13">
        <f t="shared" si="9"/>
        <v>133.422</v>
      </c>
      <c r="M194" s="15">
        <f t="shared" si="10"/>
        <v>3.4570310743355668</v>
      </c>
      <c r="N194" s="10" t="str">
        <f t="shared" si="11"/>
        <v>SI</v>
      </c>
    </row>
    <row r="195" spans="1:14" ht="15.75" customHeight="1" x14ac:dyDescent="0.2">
      <c r="A195" s="5" t="s">
        <v>467</v>
      </c>
      <c r="B195" s="5" t="s">
        <v>626</v>
      </c>
      <c r="C195" s="5" t="s">
        <v>635</v>
      </c>
      <c r="D195" s="6" t="s">
        <v>634</v>
      </c>
      <c r="E195" s="7">
        <v>479.59</v>
      </c>
      <c r="F195" s="7">
        <v>892.79</v>
      </c>
      <c r="G195" s="7">
        <v>258.25</v>
      </c>
      <c r="H195" s="8">
        <v>35</v>
      </c>
      <c r="I195" s="7">
        <v>737.84</v>
      </c>
      <c r="J195" s="7">
        <v>0</v>
      </c>
      <c r="K195" s="7">
        <f t="shared" ref="K195:K258" si="12">G195-J195</f>
        <v>258.25</v>
      </c>
      <c r="L195" s="7">
        <f t="shared" ref="L195:L258" si="13">K195*$L$1</f>
        <v>154.94999999999999</v>
      </c>
      <c r="M195" s="9">
        <f t="shared" ref="M195:M258" si="14">F195/K195</f>
        <v>3.4570764762826718</v>
      </c>
      <c r="N195" s="10" t="str">
        <f t="shared" ref="N195:N258" si="15">IF(M195&lt;3.5,"SI",IF(M195&lt;4.5,IF(K195&gt;=100,"SI",IF(K195&gt;=40,"CUIDADO","NO")),IF(AND(M195&lt;5.5,F195&gt;=500,K195&gt;=80),"CUIDADO","NO")))</f>
        <v>SI</v>
      </c>
    </row>
    <row r="196" spans="1:14" ht="15.75" customHeight="1" x14ac:dyDescent="0.2">
      <c r="A196" s="11" t="s">
        <v>467</v>
      </c>
      <c r="B196" s="11" t="s">
        <v>626</v>
      </c>
      <c r="C196" s="11" t="s">
        <v>636</v>
      </c>
      <c r="D196" s="12" t="s">
        <v>637</v>
      </c>
      <c r="E196" s="13">
        <v>506.65</v>
      </c>
      <c r="F196" s="13">
        <v>943.15</v>
      </c>
      <c r="G196" s="13">
        <v>272.81</v>
      </c>
      <c r="H196" s="14">
        <v>35</v>
      </c>
      <c r="I196" s="13">
        <v>779.46</v>
      </c>
      <c r="J196" s="13">
        <v>0</v>
      </c>
      <c r="K196" s="13">
        <f t="shared" si="12"/>
        <v>272.81</v>
      </c>
      <c r="L196" s="13">
        <f t="shared" si="13"/>
        <v>163.68600000000001</v>
      </c>
      <c r="M196" s="15">
        <f t="shared" si="14"/>
        <v>3.4571679923756458</v>
      </c>
      <c r="N196" s="10" t="str">
        <f t="shared" si="15"/>
        <v>SI</v>
      </c>
    </row>
    <row r="197" spans="1:14" ht="15.75" customHeight="1" x14ac:dyDescent="0.2">
      <c r="A197" s="5" t="s">
        <v>467</v>
      </c>
      <c r="B197" s="5" t="s">
        <v>626</v>
      </c>
      <c r="C197" s="5" t="s">
        <v>638</v>
      </c>
      <c r="D197" s="6" t="s">
        <v>637</v>
      </c>
      <c r="E197" s="7">
        <v>603.5</v>
      </c>
      <c r="F197" s="7">
        <v>1123.45</v>
      </c>
      <c r="G197" s="7">
        <v>324.97000000000003</v>
      </c>
      <c r="H197" s="8">
        <v>35</v>
      </c>
      <c r="I197" s="7">
        <v>928.47</v>
      </c>
      <c r="J197" s="7">
        <v>0</v>
      </c>
      <c r="K197" s="7">
        <f t="shared" si="12"/>
        <v>324.97000000000003</v>
      </c>
      <c r="L197" s="7">
        <f t="shared" si="13"/>
        <v>194.982</v>
      </c>
      <c r="M197" s="9">
        <f t="shared" si="14"/>
        <v>3.4570883466166107</v>
      </c>
      <c r="N197" s="10" t="str">
        <f t="shared" si="15"/>
        <v>SI</v>
      </c>
    </row>
    <row r="198" spans="1:14" ht="15.75" customHeight="1" x14ac:dyDescent="0.2">
      <c r="A198" s="11" t="s">
        <v>467</v>
      </c>
      <c r="B198" s="11" t="s">
        <v>639</v>
      </c>
      <c r="C198" s="11" t="s">
        <v>640</v>
      </c>
      <c r="D198" s="12" t="s">
        <v>641</v>
      </c>
      <c r="E198" s="13">
        <v>689</v>
      </c>
      <c r="F198" s="13">
        <v>1282.5999999999999</v>
      </c>
      <c r="G198" s="13">
        <v>371</v>
      </c>
      <c r="H198" s="14">
        <v>35</v>
      </c>
      <c r="I198" s="13">
        <v>1060</v>
      </c>
      <c r="J198" s="13">
        <v>0</v>
      </c>
      <c r="K198" s="13">
        <f t="shared" si="12"/>
        <v>371</v>
      </c>
      <c r="L198" s="13">
        <f t="shared" si="13"/>
        <v>222.6</v>
      </c>
      <c r="M198" s="15">
        <f t="shared" si="14"/>
        <v>3.4571428571428569</v>
      </c>
      <c r="N198" s="10" t="str">
        <f t="shared" si="15"/>
        <v>SI</v>
      </c>
    </row>
    <row r="199" spans="1:14" ht="15.75" customHeight="1" x14ac:dyDescent="0.2">
      <c r="A199" s="5" t="s">
        <v>467</v>
      </c>
      <c r="B199" s="5" t="s">
        <v>642</v>
      </c>
      <c r="C199" s="5" t="s">
        <v>643</v>
      </c>
      <c r="D199" s="6" t="s">
        <v>641</v>
      </c>
      <c r="E199" s="7">
        <v>694.04</v>
      </c>
      <c r="F199" s="7">
        <v>1291.98</v>
      </c>
      <c r="G199" s="7">
        <v>373.71</v>
      </c>
      <c r="H199" s="8">
        <v>35</v>
      </c>
      <c r="I199" s="7">
        <v>1067.75</v>
      </c>
      <c r="J199" s="7">
        <v>0</v>
      </c>
      <c r="K199" s="7">
        <f t="shared" si="12"/>
        <v>373.71</v>
      </c>
      <c r="L199" s="7">
        <f t="shared" si="13"/>
        <v>224.22599999999997</v>
      </c>
      <c r="M199" s="9">
        <f t="shared" si="14"/>
        <v>3.4571726739985551</v>
      </c>
      <c r="N199" s="10" t="str">
        <f t="shared" si="15"/>
        <v>SI</v>
      </c>
    </row>
    <row r="200" spans="1:14" ht="15.75" customHeight="1" x14ac:dyDescent="0.2">
      <c r="A200" s="11" t="s">
        <v>467</v>
      </c>
      <c r="B200" s="11" t="s">
        <v>644</v>
      </c>
      <c r="C200" s="11" t="s">
        <v>645</v>
      </c>
      <c r="D200" s="12" t="s">
        <v>646</v>
      </c>
      <c r="E200" s="13">
        <v>789.72</v>
      </c>
      <c r="F200" s="13">
        <v>1274.08</v>
      </c>
      <c r="G200" s="13">
        <v>263.24</v>
      </c>
      <c r="H200" s="14">
        <v>25</v>
      </c>
      <c r="I200" s="13">
        <v>1052.96</v>
      </c>
      <c r="J200" s="13">
        <v>0</v>
      </c>
      <c r="K200" s="13">
        <f t="shared" si="12"/>
        <v>263.24</v>
      </c>
      <c r="L200" s="13">
        <f t="shared" si="13"/>
        <v>157.94399999999999</v>
      </c>
      <c r="M200" s="15">
        <f t="shared" si="14"/>
        <v>4.8399939218963679</v>
      </c>
      <c r="N200" s="10" t="str">
        <f t="shared" si="15"/>
        <v>CUIDADO</v>
      </c>
    </row>
    <row r="201" spans="1:14" ht="15.75" customHeight="1" x14ac:dyDescent="0.2">
      <c r="A201" s="5" t="s">
        <v>467</v>
      </c>
      <c r="B201" s="5" t="s">
        <v>647</v>
      </c>
      <c r="C201" s="5" t="s">
        <v>648</v>
      </c>
      <c r="D201" s="6" t="s">
        <v>649</v>
      </c>
      <c r="E201" s="7">
        <v>1035.01</v>
      </c>
      <c r="F201" s="7">
        <v>1669.81</v>
      </c>
      <c r="G201" s="7">
        <v>345</v>
      </c>
      <c r="H201" s="8">
        <v>25</v>
      </c>
      <c r="I201" s="7">
        <v>1380.01</v>
      </c>
      <c r="J201" s="7">
        <v>0</v>
      </c>
      <c r="K201" s="7">
        <f t="shared" si="12"/>
        <v>345</v>
      </c>
      <c r="L201" s="7">
        <f t="shared" si="13"/>
        <v>207</v>
      </c>
      <c r="M201" s="9">
        <f t="shared" si="14"/>
        <v>4.8400289855072458</v>
      </c>
      <c r="N201" s="10" t="str">
        <f t="shared" si="15"/>
        <v>CUIDADO</v>
      </c>
    </row>
    <row r="202" spans="1:14" ht="15.75" customHeight="1" x14ac:dyDescent="0.2">
      <c r="A202" s="11" t="s">
        <v>467</v>
      </c>
      <c r="B202" s="11" t="s">
        <v>650</v>
      </c>
      <c r="C202" s="11" t="s">
        <v>651</v>
      </c>
      <c r="D202" s="12" t="s">
        <v>652</v>
      </c>
      <c r="E202" s="13">
        <v>975.21</v>
      </c>
      <c r="F202" s="13">
        <v>1573.34</v>
      </c>
      <c r="G202" s="13">
        <v>325.07</v>
      </c>
      <c r="H202" s="14">
        <v>25</v>
      </c>
      <c r="I202" s="13">
        <v>1300.28</v>
      </c>
      <c r="J202" s="13">
        <v>0</v>
      </c>
      <c r="K202" s="13">
        <f t="shared" si="12"/>
        <v>325.07</v>
      </c>
      <c r="L202" s="13">
        <f t="shared" si="13"/>
        <v>195.042</v>
      </c>
      <c r="M202" s="15">
        <f t="shared" si="14"/>
        <v>4.8400036915125968</v>
      </c>
      <c r="N202" s="10" t="str">
        <f t="shared" si="15"/>
        <v>CUIDADO</v>
      </c>
    </row>
    <row r="203" spans="1:14" ht="15.75" customHeight="1" x14ac:dyDescent="0.2">
      <c r="A203" s="5" t="s">
        <v>467</v>
      </c>
      <c r="B203" s="5" t="s">
        <v>653</v>
      </c>
      <c r="C203" s="5" t="s">
        <v>654</v>
      </c>
      <c r="D203" s="6" t="s">
        <v>652</v>
      </c>
      <c r="E203" s="7">
        <v>987.56</v>
      </c>
      <c r="F203" s="7">
        <v>1593.26</v>
      </c>
      <c r="G203" s="7">
        <v>329.18</v>
      </c>
      <c r="H203" s="8">
        <v>25</v>
      </c>
      <c r="I203" s="7">
        <v>1316.74</v>
      </c>
      <c r="J203" s="7">
        <v>0</v>
      </c>
      <c r="K203" s="7">
        <f t="shared" si="12"/>
        <v>329.18</v>
      </c>
      <c r="L203" s="7">
        <f t="shared" si="13"/>
        <v>197.50800000000001</v>
      </c>
      <c r="M203" s="9">
        <f t="shared" si="14"/>
        <v>4.8400874901269821</v>
      </c>
      <c r="N203" s="10" t="str">
        <f t="shared" si="15"/>
        <v>CUIDADO</v>
      </c>
    </row>
    <row r="204" spans="1:14" ht="15.75" customHeight="1" x14ac:dyDescent="0.2">
      <c r="A204" s="11" t="s">
        <v>467</v>
      </c>
      <c r="B204" s="11" t="s">
        <v>655</v>
      </c>
      <c r="C204" s="11" t="s">
        <v>656</v>
      </c>
      <c r="D204" s="12" t="s">
        <v>657</v>
      </c>
      <c r="E204" s="13">
        <v>1250.19</v>
      </c>
      <c r="F204" s="13">
        <v>2016.97</v>
      </c>
      <c r="G204" s="13">
        <v>416.73</v>
      </c>
      <c r="H204" s="14">
        <v>25</v>
      </c>
      <c r="I204" s="13">
        <v>1666.92</v>
      </c>
      <c r="J204" s="13">
        <v>0</v>
      </c>
      <c r="K204" s="13">
        <f t="shared" si="12"/>
        <v>416.73</v>
      </c>
      <c r="L204" s="13">
        <f t="shared" si="13"/>
        <v>250.03800000000001</v>
      </c>
      <c r="M204" s="15">
        <f t="shared" si="14"/>
        <v>4.8399923211671823</v>
      </c>
      <c r="N204" s="10" t="str">
        <f t="shared" si="15"/>
        <v>CUIDADO</v>
      </c>
    </row>
    <row r="205" spans="1:14" ht="15.75" customHeight="1" x14ac:dyDescent="0.2">
      <c r="A205" s="5" t="s">
        <v>467</v>
      </c>
      <c r="B205" s="5" t="s">
        <v>658</v>
      </c>
      <c r="C205" s="5" t="s">
        <v>659</v>
      </c>
      <c r="D205" s="6" t="s">
        <v>657</v>
      </c>
      <c r="E205" s="7">
        <v>1423.37</v>
      </c>
      <c r="F205" s="7">
        <v>2296.36</v>
      </c>
      <c r="G205" s="7">
        <v>474.45</v>
      </c>
      <c r="H205" s="8">
        <v>25</v>
      </c>
      <c r="I205" s="7">
        <v>1897.82</v>
      </c>
      <c r="J205" s="7">
        <v>0</v>
      </c>
      <c r="K205" s="7">
        <f t="shared" si="12"/>
        <v>474.45</v>
      </c>
      <c r="L205" s="7">
        <f t="shared" si="13"/>
        <v>284.66999999999996</v>
      </c>
      <c r="M205" s="9">
        <f t="shared" si="14"/>
        <v>4.8400463694804516</v>
      </c>
      <c r="N205" s="10" t="str">
        <f t="shared" si="15"/>
        <v>CUIDADO</v>
      </c>
    </row>
    <row r="206" spans="1:14" ht="15.75" customHeight="1" x14ac:dyDescent="0.2">
      <c r="A206" s="11" t="s">
        <v>467</v>
      </c>
      <c r="B206" s="11" t="s">
        <v>660</v>
      </c>
      <c r="C206" s="11" t="s">
        <v>661</v>
      </c>
      <c r="D206" s="12" t="s">
        <v>662</v>
      </c>
      <c r="E206" s="13">
        <v>273.99</v>
      </c>
      <c r="F206" s="13">
        <v>510.05</v>
      </c>
      <c r="G206" s="13">
        <v>147.54</v>
      </c>
      <c r="H206" s="14">
        <v>35</v>
      </c>
      <c r="I206" s="13">
        <v>421.53</v>
      </c>
      <c r="J206" s="13">
        <v>0</v>
      </c>
      <c r="K206" s="13">
        <f t="shared" si="12"/>
        <v>147.54</v>
      </c>
      <c r="L206" s="13">
        <f t="shared" si="13"/>
        <v>88.523999999999987</v>
      </c>
      <c r="M206" s="15">
        <f t="shared" si="14"/>
        <v>3.4570286024129051</v>
      </c>
      <c r="N206" s="10" t="str">
        <f t="shared" si="15"/>
        <v>SI</v>
      </c>
    </row>
    <row r="207" spans="1:14" ht="15.75" customHeight="1" x14ac:dyDescent="0.2">
      <c r="A207" s="5" t="s">
        <v>467</v>
      </c>
      <c r="B207" s="5" t="s">
        <v>663</v>
      </c>
      <c r="C207" s="5" t="s">
        <v>664</v>
      </c>
      <c r="D207" s="6" t="s">
        <v>662</v>
      </c>
      <c r="E207" s="7">
        <v>279.99</v>
      </c>
      <c r="F207" s="7">
        <v>521.21</v>
      </c>
      <c r="G207" s="7">
        <v>150.76</v>
      </c>
      <c r="H207" s="8">
        <v>35</v>
      </c>
      <c r="I207" s="7">
        <v>430.75</v>
      </c>
      <c r="J207" s="7">
        <v>0</v>
      </c>
      <c r="K207" s="7">
        <f t="shared" si="12"/>
        <v>150.76</v>
      </c>
      <c r="L207" s="7">
        <f t="shared" si="13"/>
        <v>90.455999999999989</v>
      </c>
      <c r="M207" s="9">
        <f t="shared" si="14"/>
        <v>3.4572167683735744</v>
      </c>
      <c r="N207" s="10" t="str">
        <f t="shared" si="15"/>
        <v>SI</v>
      </c>
    </row>
    <row r="208" spans="1:14" ht="15.75" customHeight="1" x14ac:dyDescent="0.2">
      <c r="A208" s="11" t="s">
        <v>467</v>
      </c>
      <c r="B208" s="11" t="s">
        <v>665</v>
      </c>
      <c r="C208" s="11" t="s">
        <v>666</v>
      </c>
      <c r="D208" s="12" t="s">
        <v>667</v>
      </c>
      <c r="E208" s="13">
        <v>187.58</v>
      </c>
      <c r="F208" s="13">
        <v>349.19</v>
      </c>
      <c r="G208" s="13">
        <v>101.01</v>
      </c>
      <c r="H208" s="14">
        <v>35</v>
      </c>
      <c r="I208" s="13">
        <v>288.58999999999997</v>
      </c>
      <c r="J208" s="13">
        <v>0</v>
      </c>
      <c r="K208" s="13">
        <f t="shared" si="12"/>
        <v>101.01</v>
      </c>
      <c r="L208" s="13">
        <f t="shared" si="13"/>
        <v>60.606000000000002</v>
      </c>
      <c r="M208" s="15">
        <f t="shared" si="14"/>
        <v>3.4569844569844568</v>
      </c>
      <c r="N208" s="10" t="str">
        <f t="shared" si="15"/>
        <v>SI</v>
      </c>
    </row>
    <row r="209" spans="1:14" ht="15.75" customHeight="1" x14ac:dyDescent="0.2">
      <c r="A209" s="5" t="s">
        <v>467</v>
      </c>
      <c r="B209" s="5" t="s">
        <v>668</v>
      </c>
      <c r="C209" s="5" t="s">
        <v>669</v>
      </c>
      <c r="D209" s="6" t="s">
        <v>667</v>
      </c>
      <c r="E209" s="7">
        <v>208.21</v>
      </c>
      <c r="F209" s="7">
        <v>387.59</v>
      </c>
      <c r="G209" s="7">
        <v>112.11</v>
      </c>
      <c r="H209" s="8">
        <v>35</v>
      </c>
      <c r="I209" s="7">
        <v>320.32</v>
      </c>
      <c r="J209" s="7">
        <v>0</v>
      </c>
      <c r="K209" s="7">
        <f t="shared" si="12"/>
        <v>112.11</v>
      </c>
      <c r="L209" s="7">
        <f t="shared" si="13"/>
        <v>67.265999999999991</v>
      </c>
      <c r="M209" s="9">
        <f t="shared" si="14"/>
        <v>3.4572295067344569</v>
      </c>
      <c r="N209" s="10" t="str">
        <f t="shared" si="15"/>
        <v>SI</v>
      </c>
    </row>
    <row r="210" spans="1:14" ht="15.75" customHeight="1" x14ac:dyDescent="0.2">
      <c r="A210" s="11" t="s">
        <v>467</v>
      </c>
      <c r="B210" s="11" t="s">
        <v>670</v>
      </c>
      <c r="C210" s="11" t="s">
        <v>671</v>
      </c>
      <c r="D210" s="12" t="s">
        <v>667</v>
      </c>
      <c r="E210" s="13">
        <v>207.97</v>
      </c>
      <c r="F210" s="13">
        <v>387.14</v>
      </c>
      <c r="G210" s="13">
        <v>111.98</v>
      </c>
      <c r="H210" s="14">
        <v>35</v>
      </c>
      <c r="I210" s="13">
        <v>319.95</v>
      </c>
      <c r="J210" s="13">
        <v>0</v>
      </c>
      <c r="K210" s="13">
        <f t="shared" si="12"/>
        <v>111.98</v>
      </c>
      <c r="L210" s="13">
        <f t="shared" si="13"/>
        <v>67.188000000000002</v>
      </c>
      <c r="M210" s="15">
        <f t="shared" si="14"/>
        <v>3.4572245043757812</v>
      </c>
      <c r="N210" s="10" t="str">
        <f t="shared" si="15"/>
        <v>SI</v>
      </c>
    </row>
    <row r="211" spans="1:14" ht="15.75" customHeight="1" x14ac:dyDescent="0.2">
      <c r="A211" s="5" t="s">
        <v>467</v>
      </c>
      <c r="B211" s="5" t="s">
        <v>672</v>
      </c>
      <c r="C211" s="5" t="s">
        <v>673</v>
      </c>
      <c r="D211" s="6" t="s">
        <v>667</v>
      </c>
      <c r="E211" s="7">
        <v>235.95</v>
      </c>
      <c r="F211" s="7">
        <v>439.24</v>
      </c>
      <c r="G211" s="7">
        <v>127.06</v>
      </c>
      <c r="H211" s="8">
        <v>35</v>
      </c>
      <c r="I211" s="7">
        <v>363.01</v>
      </c>
      <c r="J211" s="7">
        <v>0</v>
      </c>
      <c r="K211" s="7">
        <f t="shared" si="12"/>
        <v>127.06</v>
      </c>
      <c r="L211" s="7">
        <f t="shared" si="13"/>
        <v>76.236000000000004</v>
      </c>
      <c r="M211" s="9">
        <f t="shared" si="14"/>
        <v>3.4569494726900678</v>
      </c>
      <c r="N211" s="10" t="str">
        <f t="shared" si="15"/>
        <v>SI</v>
      </c>
    </row>
    <row r="212" spans="1:14" ht="15.75" customHeight="1" x14ac:dyDescent="0.2">
      <c r="A212" s="11" t="s">
        <v>467</v>
      </c>
      <c r="B212" s="11" t="s">
        <v>674</v>
      </c>
      <c r="C212" s="11" t="s">
        <v>675</v>
      </c>
      <c r="D212" s="12" t="s">
        <v>676</v>
      </c>
      <c r="E212" s="13">
        <v>209.41</v>
      </c>
      <c r="F212" s="13">
        <v>389.84</v>
      </c>
      <c r="G212" s="13">
        <v>112.77</v>
      </c>
      <c r="H212" s="14">
        <v>35</v>
      </c>
      <c r="I212" s="13">
        <v>322.18</v>
      </c>
      <c r="J212" s="13">
        <v>0</v>
      </c>
      <c r="K212" s="13">
        <f t="shared" si="12"/>
        <v>112.77</v>
      </c>
      <c r="L212" s="13">
        <f t="shared" si="13"/>
        <v>67.661999999999992</v>
      </c>
      <c r="M212" s="15">
        <f t="shared" si="14"/>
        <v>3.4569477697969315</v>
      </c>
      <c r="N212" s="10" t="str">
        <f t="shared" si="15"/>
        <v>SI</v>
      </c>
    </row>
    <row r="213" spans="1:14" ht="15.75" customHeight="1" x14ac:dyDescent="0.2">
      <c r="A213" s="5" t="s">
        <v>467</v>
      </c>
      <c r="B213" s="5" t="s">
        <v>674</v>
      </c>
      <c r="C213" s="5" t="s">
        <v>677</v>
      </c>
      <c r="D213" s="6" t="s">
        <v>676</v>
      </c>
      <c r="E213" s="7">
        <v>237.88</v>
      </c>
      <c r="F213" s="7">
        <v>442.82</v>
      </c>
      <c r="G213" s="7">
        <v>128.09</v>
      </c>
      <c r="H213" s="8">
        <v>35</v>
      </c>
      <c r="I213" s="7">
        <v>365.97</v>
      </c>
      <c r="J213" s="7">
        <v>0</v>
      </c>
      <c r="K213" s="7">
        <f t="shared" si="12"/>
        <v>128.09</v>
      </c>
      <c r="L213" s="7">
        <f t="shared" si="13"/>
        <v>76.853999999999999</v>
      </c>
      <c r="M213" s="9">
        <f t="shared" si="14"/>
        <v>3.4571004762276525</v>
      </c>
      <c r="N213" s="10" t="str">
        <f t="shared" si="15"/>
        <v>SI</v>
      </c>
    </row>
    <row r="214" spans="1:14" ht="15.75" customHeight="1" x14ac:dyDescent="0.2">
      <c r="A214" s="11" t="s">
        <v>467</v>
      </c>
      <c r="B214" s="11" t="s">
        <v>678</v>
      </c>
      <c r="C214" s="11" t="s">
        <v>679</v>
      </c>
      <c r="D214" s="12" t="s">
        <v>680</v>
      </c>
      <c r="E214" s="13">
        <v>203.29</v>
      </c>
      <c r="F214" s="13">
        <v>378.43</v>
      </c>
      <c r="G214" s="13">
        <v>109.46</v>
      </c>
      <c r="H214" s="14">
        <v>35</v>
      </c>
      <c r="I214" s="13">
        <v>312.75</v>
      </c>
      <c r="J214" s="13">
        <v>0</v>
      </c>
      <c r="K214" s="13">
        <f t="shared" si="12"/>
        <v>109.46</v>
      </c>
      <c r="L214" s="13">
        <f t="shared" si="13"/>
        <v>65.675999999999988</v>
      </c>
      <c r="M214" s="15">
        <f t="shared" si="14"/>
        <v>3.457244655581948</v>
      </c>
      <c r="N214" s="10" t="str">
        <f t="shared" si="15"/>
        <v>SI</v>
      </c>
    </row>
    <row r="215" spans="1:14" ht="15.75" customHeight="1" x14ac:dyDescent="0.2">
      <c r="A215" s="5" t="s">
        <v>467</v>
      </c>
      <c r="B215" s="5" t="s">
        <v>678</v>
      </c>
      <c r="C215" s="5" t="s">
        <v>681</v>
      </c>
      <c r="D215" s="6" t="s">
        <v>680</v>
      </c>
      <c r="E215" s="7">
        <v>232.21</v>
      </c>
      <c r="F215" s="7">
        <v>432.27</v>
      </c>
      <c r="G215" s="7">
        <v>125.04</v>
      </c>
      <c r="H215" s="8">
        <v>35</v>
      </c>
      <c r="I215" s="7">
        <v>357.25</v>
      </c>
      <c r="J215" s="7">
        <v>0</v>
      </c>
      <c r="K215" s="7">
        <f t="shared" si="12"/>
        <v>125.04</v>
      </c>
      <c r="L215" s="7">
        <f t="shared" si="13"/>
        <v>75.024000000000001</v>
      </c>
      <c r="M215" s="9">
        <f t="shared" si="14"/>
        <v>3.4570537428023029</v>
      </c>
      <c r="N215" s="10" t="str">
        <f t="shared" si="15"/>
        <v>SI</v>
      </c>
    </row>
    <row r="216" spans="1:14" ht="15.75" customHeight="1" x14ac:dyDescent="0.2">
      <c r="A216" s="11" t="s">
        <v>467</v>
      </c>
      <c r="B216" s="11" t="s">
        <v>678</v>
      </c>
      <c r="C216" s="11" t="s">
        <v>682</v>
      </c>
      <c r="D216" s="12" t="s">
        <v>628</v>
      </c>
      <c r="E216" s="13">
        <v>218.28</v>
      </c>
      <c r="F216" s="13">
        <v>406.34</v>
      </c>
      <c r="G216" s="13">
        <v>117.54</v>
      </c>
      <c r="H216" s="14">
        <v>35</v>
      </c>
      <c r="I216" s="13">
        <v>335.82</v>
      </c>
      <c r="J216" s="13">
        <v>0</v>
      </c>
      <c r="K216" s="13">
        <f t="shared" si="12"/>
        <v>117.54</v>
      </c>
      <c r="L216" s="13">
        <f t="shared" si="13"/>
        <v>70.524000000000001</v>
      </c>
      <c r="M216" s="15">
        <f t="shared" si="14"/>
        <v>3.4570359026714308</v>
      </c>
      <c r="N216" s="10" t="str">
        <f t="shared" si="15"/>
        <v>SI</v>
      </c>
    </row>
    <row r="217" spans="1:14" ht="15.75" customHeight="1" x14ac:dyDescent="0.2">
      <c r="A217" s="5" t="s">
        <v>467</v>
      </c>
      <c r="B217" s="5" t="s">
        <v>678</v>
      </c>
      <c r="C217" s="5" t="s">
        <v>683</v>
      </c>
      <c r="D217" s="6" t="s">
        <v>628</v>
      </c>
      <c r="E217" s="7">
        <v>228.9</v>
      </c>
      <c r="F217" s="7">
        <v>426.1</v>
      </c>
      <c r="G217" s="7">
        <v>123.25</v>
      </c>
      <c r="H217" s="8">
        <v>35</v>
      </c>
      <c r="I217" s="7">
        <v>352.15</v>
      </c>
      <c r="J217" s="7">
        <v>0</v>
      </c>
      <c r="K217" s="7">
        <f t="shared" si="12"/>
        <v>123.25</v>
      </c>
      <c r="L217" s="7">
        <f t="shared" si="13"/>
        <v>73.95</v>
      </c>
      <c r="M217" s="9">
        <f t="shared" si="14"/>
        <v>3.4572008113590265</v>
      </c>
      <c r="N217" s="10" t="str">
        <f t="shared" si="15"/>
        <v>SI</v>
      </c>
    </row>
    <row r="218" spans="1:14" ht="15.75" customHeight="1" x14ac:dyDescent="0.2">
      <c r="A218" s="11" t="s">
        <v>467</v>
      </c>
      <c r="B218" s="11" t="s">
        <v>678</v>
      </c>
      <c r="C218" s="11" t="s">
        <v>684</v>
      </c>
      <c r="D218" s="12" t="s">
        <v>685</v>
      </c>
      <c r="E218" s="13">
        <v>285.52999999999997</v>
      </c>
      <c r="F218" s="13">
        <v>531.53</v>
      </c>
      <c r="G218" s="13">
        <v>153.75</v>
      </c>
      <c r="H218" s="14">
        <v>35</v>
      </c>
      <c r="I218" s="13">
        <v>439.28</v>
      </c>
      <c r="J218" s="13">
        <v>0</v>
      </c>
      <c r="K218" s="13">
        <f t="shared" si="12"/>
        <v>153.75</v>
      </c>
      <c r="L218" s="13">
        <f t="shared" si="13"/>
        <v>92.25</v>
      </c>
      <c r="M218" s="15">
        <f t="shared" si="14"/>
        <v>3.4571056910569102</v>
      </c>
      <c r="N218" s="10" t="str">
        <f t="shared" si="15"/>
        <v>SI</v>
      </c>
    </row>
    <row r="219" spans="1:14" ht="15.75" customHeight="1" x14ac:dyDescent="0.2">
      <c r="A219" s="5" t="s">
        <v>467</v>
      </c>
      <c r="B219" s="5" t="s">
        <v>678</v>
      </c>
      <c r="C219" s="5" t="s">
        <v>686</v>
      </c>
      <c r="D219" s="6" t="s">
        <v>685</v>
      </c>
      <c r="E219" s="7">
        <v>334.63</v>
      </c>
      <c r="F219" s="7">
        <v>622.92999999999995</v>
      </c>
      <c r="G219" s="7">
        <v>180.19</v>
      </c>
      <c r="H219" s="8">
        <v>35</v>
      </c>
      <c r="I219" s="7">
        <v>514.82000000000005</v>
      </c>
      <c r="J219" s="7">
        <v>0</v>
      </c>
      <c r="K219" s="7">
        <f t="shared" si="12"/>
        <v>180.19</v>
      </c>
      <c r="L219" s="7">
        <f t="shared" si="13"/>
        <v>108.11399999999999</v>
      </c>
      <c r="M219" s="9">
        <f t="shared" si="14"/>
        <v>3.4570730895166211</v>
      </c>
      <c r="N219" s="10" t="str">
        <f t="shared" si="15"/>
        <v>SI</v>
      </c>
    </row>
    <row r="220" spans="1:14" ht="15.75" customHeight="1" x14ac:dyDescent="0.2">
      <c r="A220" s="11" t="s">
        <v>467</v>
      </c>
      <c r="B220" s="11" t="s">
        <v>678</v>
      </c>
      <c r="C220" s="11" t="s">
        <v>687</v>
      </c>
      <c r="D220" s="12" t="s">
        <v>685</v>
      </c>
      <c r="E220" s="13">
        <v>325.10000000000002</v>
      </c>
      <c r="F220" s="13">
        <v>605.17999999999995</v>
      </c>
      <c r="G220" s="13">
        <v>175.05</v>
      </c>
      <c r="H220" s="14">
        <v>35</v>
      </c>
      <c r="I220" s="13">
        <v>500.15</v>
      </c>
      <c r="J220" s="13">
        <v>0</v>
      </c>
      <c r="K220" s="13">
        <f t="shared" si="12"/>
        <v>175.05</v>
      </c>
      <c r="L220" s="13">
        <f t="shared" si="13"/>
        <v>105.03</v>
      </c>
      <c r="M220" s="15">
        <f t="shared" si="14"/>
        <v>3.4571836618109106</v>
      </c>
      <c r="N220" s="10" t="str">
        <f t="shared" si="15"/>
        <v>SI</v>
      </c>
    </row>
    <row r="221" spans="1:14" ht="15.75" customHeight="1" x14ac:dyDescent="0.2">
      <c r="A221" s="5" t="s">
        <v>467</v>
      </c>
      <c r="B221" s="5" t="s">
        <v>678</v>
      </c>
      <c r="C221" s="5" t="s">
        <v>688</v>
      </c>
      <c r="D221" s="6" t="s">
        <v>685</v>
      </c>
      <c r="E221" s="7">
        <v>358.03</v>
      </c>
      <c r="F221" s="7">
        <v>666.49</v>
      </c>
      <c r="G221" s="7">
        <v>192.79</v>
      </c>
      <c r="H221" s="8">
        <v>35</v>
      </c>
      <c r="I221" s="7">
        <v>550.82000000000005</v>
      </c>
      <c r="J221" s="7">
        <v>0</v>
      </c>
      <c r="K221" s="7">
        <f t="shared" si="12"/>
        <v>192.79</v>
      </c>
      <c r="L221" s="7">
        <f t="shared" si="13"/>
        <v>115.67399999999999</v>
      </c>
      <c r="M221" s="9">
        <f t="shared" si="14"/>
        <v>3.457077649255667</v>
      </c>
      <c r="N221" s="10" t="str">
        <f t="shared" si="15"/>
        <v>SI</v>
      </c>
    </row>
    <row r="222" spans="1:14" ht="15.75" customHeight="1" x14ac:dyDescent="0.2">
      <c r="A222" s="11" t="s">
        <v>467</v>
      </c>
      <c r="B222" s="11" t="s">
        <v>689</v>
      </c>
      <c r="C222" s="11" t="s">
        <v>690</v>
      </c>
      <c r="D222" s="12" t="s">
        <v>662</v>
      </c>
      <c r="E222" s="13">
        <v>245.33</v>
      </c>
      <c r="F222" s="13">
        <v>456.69</v>
      </c>
      <c r="G222" s="13">
        <v>132.1</v>
      </c>
      <c r="H222" s="14">
        <v>35</v>
      </c>
      <c r="I222" s="13">
        <v>377.43</v>
      </c>
      <c r="J222" s="13">
        <v>0</v>
      </c>
      <c r="K222" s="13">
        <f t="shared" si="12"/>
        <v>132.1</v>
      </c>
      <c r="L222" s="13">
        <f t="shared" si="13"/>
        <v>79.259999999999991</v>
      </c>
      <c r="M222" s="15">
        <f t="shared" si="14"/>
        <v>3.4571536714610147</v>
      </c>
      <c r="N222" s="10" t="str">
        <f t="shared" si="15"/>
        <v>SI</v>
      </c>
    </row>
    <row r="223" spans="1:14" ht="15.75" customHeight="1" x14ac:dyDescent="0.2">
      <c r="A223" s="5" t="s">
        <v>467</v>
      </c>
      <c r="B223" s="5" t="s">
        <v>689</v>
      </c>
      <c r="C223" s="5" t="s">
        <v>690</v>
      </c>
      <c r="D223" s="6" t="s">
        <v>662</v>
      </c>
      <c r="E223" s="7">
        <v>263.01</v>
      </c>
      <c r="F223" s="7">
        <v>489.6</v>
      </c>
      <c r="G223" s="7">
        <v>141.62</v>
      </c>
      <c r="H223" s="8">
        <v>35</v>
      </c>
      <c r="I223" s="7">
        <v>404.63</v>
      </c>
      <c r="J223" s="7">
        <v>0</v>
      </c>
      <c r="K223" s="7">
        <f t="shared" si="12"/>
        <v>141.62</v>
      </c>
      <c r="L223" s="7">
        <f t="shared" si="13"/>
        <v>84.971999999999994</v>
      </c>
      <c r="M223" s="9">
        <f t="shared" si="14"/>
        <v>3.4571388222002541</v>
      </c>
      <c r="N223" s="10" t="str">
        <f t="shared" si="15"/>
        <v>SI</v>
      </c>
    </row>
    <row r="224" spans="1:14" ht="15.75" customHeight="1" x14ac:dyDescent="0.2">
      <c r="A224" s="11" t="s">
        <v>467</v>
      </c>
      <c r="B224" s="11" t="s">
        <v>691</v>
      </c>
      <c r="C224" s="11" t="s">
        <v>692</v>
      </c>
      <c r="D224" s="12" t="s">
        <v>662</v>
      </c>
      <c r="E224" s="13">
        <v>283.88</v>
      </c>
      <c r="F224" s="13">
        <v>528.46</v>
      </c>
      <c r="G224" s="13">
        <v>152.86000000000001</v>
      </c>
      <c r="H224" s="14">
        <v>35</v>
      </c>
      <c r="I224" s="13">
        <v>436.74</v>
      </c>
      <c r="J224" s="13">
        <v>0</v>
      </c>
      <c r="K224" s="13">
        <f t="shared" si="12"/>
        <v>152.86000000000001</v>
      </c>
      <c r="L224" s="13">
        <f t="shared" si="13"/>
        <v>91.716000000000008</v>
      </c>
      <c r="M224" s="15">
        <f t="shared" si="14"/>
        <v>3.4571503336386233</v>
      </c>
      <c r="N224" s="10" t="str">
        <f t="shared" si="15"/>
        <v>SI</v>
      </c>
    </row>
    <row r="225" spans="1:14" ht="15.75" customHeight="1" x14ac:dyDescent="0.2">
      <c r="A225" s="5" t="s">
        <v>467</v>
      </c>
      <c r="B225" s="5" t="s">
        <v>693</v>
      </c>
      <c r="C225" s="5" t="s">
        <v>694</v>
      </c>
      <c r="D225" s="6" t="s">
        <v>662</v>
      </c>
      <c r="E225" s="7">
        <v>317.27999999999997</v>
      </c>
      <c r="F225" s="7">
        <v>590.63</v>
      </c>
      <c r="G225" s="7">
        <v>170.84</v>
      </c>
      <c r="H225" s="8">
        <v>35</v>
      </c>
      <c r="I225" s="7">
        <v>488.12</v>
      </c>
      <c r="J225" s="7">
        <v>0</v>
      </c>
      <c r="K225" s="7">
        <f t="shared" si="12"/>
        <v>170.84</v>
      </c>
      <c r="L225" s="7">
        <f t="shared" si="13"/>
        <v>102.504</v>
      </c>
      <c r="M225" s="9">
        <f t="shared" si="14"/>
        <v>3.4572114258955748</v>
      </c>
      <c r="N225" s="10" t="str">
        <f t="shared" si="15"/>
        <v>SI</v>
      </c>
    </row>
    <row r="226" spans="1:14" ht="15.75" customHeight="1" x14ac:dyDescent="0.2">
      <c r="A226" s="11" t="s">
        <v>467</v>
      </c>
      <c r="B226" s="11" t="s">
        <v>695</v>
      </c>
      <c r="C226" s="11" t="s">
        <v>696</v>
      </c>
      <c r="D226" s="12" t="s">
        <v>697</v>
      </c>
      <c r="E226" s="13">
        <v>178.35</v>
      </c>
      <c r="F226" s="13">
        <v>332.01</v>
      </c>
      <c r="G226" s="13">
        <v>96.04</v>
      </c>
      <c r="H226" s="14">
        <v>35</v>
      </c>
      <c r="I226" s="13">
        <v>274.39</v>
      </c>
      <c r="J226" s="13">
        <v>0</v>
      </c>
      <c r="K226" s="13">
        <f t="shared" si="12"/>
        <v>96.04</v>
      </c>
      <c r="L226" s="13">
        <f t="shared" si="13"/>
        <v>57.624000000000002</v>
      </c>
      <c r="M226" s="15">
        <f t="shared" si="14"/>
        <v>3.4569970845481048</v>
      </c>
      <c r="N226" s="10" t="str">
        <f t="shared" si="15"/>
        <v>SI</v>
      </c>
    </row>
    <row r="227" spans="1:14" ht="15.75" customHeight="1" x14ac:dyDescent="0.2">
      <c r="A227" s="5" t="s">
        <v>467</v>
      </c>
      <c r="B227" s="5" t="s">
        <v>698</v>
      </c>
      <c r="C227" s="5" t="s">
        <v>699</v>
      </c>
      <c r="D227" s="6" t="s">
        <v>697</v>
      </c>
      <c r="E227" s="7">
        <v>177.5</v>
      </c>
      <c r="F227" s="7">
        <v>330.43</v>
      </c>
      <c r="G227" s="7">
        <v>95.58</v>
      </c>
      <c r="H227" s="8">
        <v>35</v>
      </c>
      <c r="I227" s="7">
        <v>273.08</v>
      </c>
      <c r="J227" s="7">
        <v>0</v>
      </c>
      <c r="K227" s="7">
        <f t="shared" si="12"/>
        <v>95.58</v>
      </c>
      <c r="L227" s="7">
        <f t="shared" si="13"/>
        <v>57.347999999999999</v>
      </c>
      <c r="M227" s="9">
        <f t="shared" si="14"/>
        <v>3.4571039966520192</v>
      </c>
      <c r="N227" s="10" t="str">
        <f t="shared" si="15"/>
        <v>SI</v>
      </c>
    </row>
    <row r="228" spans="1:14" ht="15.75" customHeight="1" x14ac:dyDescent="0.2">
      <c r="A228" s="11" t="s">
        <v>467</v>
      </c>
      <c r="B228" s="11" t="s">
        <v>700</v>
      </c>
      <c r="C228" s="11" t="s">
        <v>701</v>
      </c>
      <c r="D228" s="12" t="s">
        <v>702</v>
      </c>
      <c r="E228" s="13">
        <v>186.98</v>
      </c>
      <c r="F228" s="13">
        <v>348.07</v>
      </c>
      <c r="G228" s="13">
        <v>100.68</v>
      </c>
      <c r="H228" s="14">
        <v>35</v>
      </c>
      <c r="I228" s="13">
        <v>287.66000000000003</v>
      </c>
      <c r="J228" s="13">
        <v>0</v>
      </c>
      <c r="K228" s="13">
        <f t="shared" si="12"/>
        <v>100.68</v>
      </c>
      <c r="L228" s="13">
        <f t="shared" si="13"/>
        <v>60.408000000000001</v>
      </c>
      <c r="M228" s="15">
        <f t="shared" si="14"/>
        <v>3.4571911005164875</v>
      </c>
      <c r="N228" s="10" t="str">
        <f t="shared" si="15"/>
        <v>SI</v>
      </c>
    </row>
    <row r="229" spans="1:14" ht="15.75" customHeight="1" x14ac:dyDescent="0.2">
      <c r="A229" s="5" t="s">
        <v>467</v>
      </c>
      <c r="B229" s="5" t="s">
        <v>703</v>
      </c>
      <c r="C229" s="5" t="s">
        <v>704</v>
      </c>
      <c r="D229" s="6" t="s">
        <v>702</v>
      </c>
      <c r="E229" s="7">
        <v>206.53</v>
      </c>
      <c r="F229" s="7">
        <v>384.48</v>
      </c>
      <c r="G229" s="7">
        <v>111.22</v>
      </c>
      <c r="H229" s="8">
        <v>35</v>
      </c>
      <c r="I229" s="7">
        <v>317.75</v>
      </c>
      <c r="J229" s="7">
        <v>0</v>
      </c>
      <c r="K229" s="7">
        <f t="shared" si="12"/>
        <v>111.22</v>
      </c>
      <c r="L229" s="7">
        <f t="shared" si="13"/>
        <v>66.731999999999999</v>
      </c>
      <c r="M229" s="9">
        <f t="shared" si="14"/>
        <v>3.4569322064376911</v>
      </c>
      <c r="N229" s="10" t="str">
        <f t="shared" si="15"/>
        <v>SI</v>
      </c>
    </row>
    <row r="230" spans="1:14" ht="15.75" customHeight="1" x14ac:dyDescent="0.2">
      <c r="A230" s="11" t="s">
        <v>467</v>
      </c>
      <c r="B230" s="11" t="s">
        <v>705</v>
      </c>
      <c r="C230" s="11" t="s">
        <v>706</v>
      </c>
      <c r="D230" s="12" t="s">
        <v>697</v>
      </c>
      <c r="E230" s="13">
        <v>226.39</v>
      </c>
      <c r="F230" s="13">
        <v>421.43</v>
      </c>
      <c r="G230" s="13">
        <v>121.9</v>
      </c>
      <c r="H230" s="14">
        <v>35</v>
      </c>
      <c r="I230" s="13">
        <v>348.29</v>
      </c>
      <c r="J230" s="13">
        <v>0</v>
      </c>
      <c r="K230" s="13">
        <f t="shared" si="12"/>
        <v>121.9</v>
      </c>
      <c r="L230" s="13">
        <f t="shared" si="13"/>
        <v>73.14</v>
      </c>
      <c r="M230" s="15">
        <f t="shared" si="14"/>
        <v>3.4571780147662019</v>
      </c>
      <c r="N230" s="10" t="str">
        <f t="shared" si="15"/>
        <v>SI</v>
      </c>
    </row>
    <row r="231" spans="1:14" ht="15.75" customHeight="1" x14ac:dyDescent="0.2">
      <c r="A231" s="5" t="s">
        <v>467</v>
      </c>
      <c r="B231" s="5" t="s">
        <v>707</v>
      </c>
      <c r="C231" s="5" t="s">
        <v>708</v>
      </c>
      <c r="D231" s="6" t="s">
        <v>680</v>
      </c>
      <c r="E231" s="7">
        <v>258.36</v>
      </c>
      <c r="F231" s="7">
        <v>480.94</v>
      </c>
      <c r="G231" s="7">
        <v>139.11000000000001</v>
      </c>
      <c r="H231" s="8">
        <v>35</v>
      </c>
      <c r="I231" s="7">
        <v>397.47</v>
      </c>
      <c r="J231" s="7">
        <v>0</v>
      </c>
      <c r="K231" s="7">
        <f t="shared" si="12"/>
        <v>139.11000000000001</v>
      </c>
      <c r="L231" s="7">
        <f t="shared" si="13"/>
        <v>83.466000000000008</v>
      </c>
      <c r="M231" s="9">
        <f t="shared" si="14"/>
        <v>3.4572640356552364</v>
      </c>
      <c r="N231" s="10" t="str">
        <f t="shared" si="15"/>
        <v>SI</v>
      </c>
    </row>
    <row r="232" spans="1:14" ht="15.75" customHeight="1" x14ac:dyDescent="0.2">
      <c r="A232" s="11" t="s">
        <v>467</v>
      </c>
      <c r="B232" s="11" t="s">
        <v>709</v>
      </c>
      <c r="C232" s="11" t="s">
        <v>710</v>
      </c>
      <c r="D232" s="12" t="s">
        <v>628</v>
      </c>
      <c r="E232" s="13">
        <v>226.79</v>
      </c>
      <c r="F232" s="13">
        <v>422.17</v>
      </c>
      <c r="G232" s="13">
        <v>122.11</v>
      </c>
      <c r="H232" s="14">
        <v>35</v>
      </c>
      <c r="I232" s="13">
        <v>348.9</v>
      </c>
      <c r="J232" s="13">
        <v>0</v>
      </c>
      <c r="K232" s="13">
        <f t="shared" si="12"/>
        <v>122.11</v>
      </c>
      <c r="L232" s="13">
        <f t="shared" si="13"/>
        <v>73.265999999999991</v>
      </c>
      <c r="M232" s="15">
        <f t="shared" si="14"/>
        <v>3.4572926050282535</v>
      </c>
      <c r="N232" s="10" t="str">
        <f t="shared" si="15"/>
        <v>SI</v>
      </c>
    </row>
    <row r="233" spans="1:14" ht="15.75" customHeight="1" x14ac:dyDescent="0.2">
      <c r="A233" s="5" t="s">
        <v>467</v>
      </c>
      <c r="B233" s="5" t="s">
        <v>711</v>
      </c>
      <c r="C233" s="5" t="s">
        <v>712</v>
      </c>
      <c r="D233" s="6" t="s">
        <v>628</v>
      </c>
      <c r="E233" s="7">
        <v>258.75</v>
      </c>
      <c r="F233" s="7">
        <v>481.68</v>
      </c>
      <c r="G233" s="7">
        <v>139.33000000000001</v>
      </c>
      <c r="H233" s="8">
        <v>35</v>
      </c>
      <c r="I233" s="7">
        <v>398.08</v>
      </c>
      <c r="J233" s="7">
        <v>0</v>
      </c>
      <c r="K233" s="7">
        <f t="shared" si="12"/>
        <v>139.33000000000001</v>
      </c>
      <c r="L233" s="7">
        <f t="shared" si="13"/>
        <v>83.597999999999999</v>
      </c>
      <c r="M233" s="9">
        <f t="shared" si="14"/>
        <v>3.4571161989521277</v>
      </c>
      <c r="N233" s="10" t="str">
        <f t="shared" si="15"/>
        <v>SI</v>
      </c>
    </row>
    <row r="234" spans="1:14" ht="15.75" customHeight="1" x14ac:dyDescent="0.2">
      <c r="A234" s="11" t="s">
        <v>467</v>
      </c>
      <c r="B234" s="11" t="s">
        <v>713</v>
      </c>
      <c r="C234" s="11" t="s">
        <v>714</v>
      </c>
      <c r="D234" s="12" t="s">
        <v>715</v>
      </c>
      <c r="E234" s="13">
        <v>205.19</v>
      </c>
      <c r="F234" s="13">
        <v>381.97</v>
      </c>
      <c r="G234" s="13">
        <v>110.49</v>
      </c>
      <c r="H234" s="14">
        <v>35</v>
      </c>
      <c r="I234" s="13">
        <v>315.68</v>
      </c>
      <c r="J234" s="13">
        <v>0</v>
      </c>
      <c r="K234" s="13">
        <f t="shared" si="12"/>
        <v>110.49</v>
      </c>
      <c r="L234" s="13">
        <f t="shared" si="13"/>
        <v>66.293999999999997</v>
      </c>
      <c r="M234" s="15">
        <f t="shared" si="14"/>
        <v>3.4570549370983805</v>
      </c>
      <c r="N234" s="10" t="str">
        <f t="shared" si="15"/>
        <v>SI</v>
      </c>
    </row>
    <row r="235" spans="1:14" ht="15.75" customHeight="1" x14ac:dyDescent="0.2">
      <c r="A235" s="5" t="s">
        <v>467</v>
      </c>
      <c r="B235" s="5" t="s">
        <v>716</v>
      </c>
      <c r="C235" s="5" t="s">
        <v>717</v>
      </c>
      <c r="D235" s="6" t="s">
        <v>715</v>
      </c>
      <c r="E235" s="7">
        <v>211.05</v>
      </c>
      <c r="F235" s="7">
        <v>392.86</v>
      </c>
      <c r="G235" s="7">
        <v>113.63</v>
      </c>
      <c r="H235" s="8">
        <v>35</v>
      </c>
      <c r="I235" s="7">
        <v>324.68</v>
      </c>
      <c r="J235" s="7">
        <v>0</v>
      </c>
      <c r="K235" s="7">
        <f t="shared" si="12"/>
        <v>113.63</v>
      </c>
      <c r="L235" s="7">
        <f t="shared" si="13"/>
        <v>68.177999999999997</v>
      </c>
      <c r="M235" s="9">
        <f t="shared" si="14"/>
        <v>3.4573616122502862</v>
      </c>
      <c r="N235" s="10" t="str">
        <f t="shared" si="15"/>
        <v>SI</v>
      </c>
    </row>
    <row r="236" spans="1:14" ht="15.75" customHeight="1" x14ac:dyDescent="0.2">
      <c r="A236" s="11" t="s">
        <v>467</v>
      </c>
      <c r="B236" s="11" t="s">
        <v>718</v>
      </c>
      <c r="C236" s="11" t="s">
        <v>719</v>
      </c>
      <c r="D236" s="12" t="s">
        <v>685</v>
      </c>
      <c r="E236" s="13">
        <v>361.89</v>
      </c>
      <c r="F236" s="13">
        <v>673.68</v>
      </c>
      <c r="G236" s="13">
        <v>194.87</v>
      </c>
      <c r="H236" s="14">
        <v>35</v>
      </c>
      <c r="I236" s="13">
        <v>556.76</v>
      </c>
      <c r="J236" s="13">
        <v>0</v>
      </c>
      <c r="K236" s="13">
        <f t="shared" si="12"/>
        <v>194.87</v>
      </c>
      <c r="L236" s="13">
        <f t="shared" si="13"/>
        <v>116.922</v>
      </c>
      <c r="M236" s="15">
        <f t="shared" si="14"/>
        <v>3.4570739467337197</v>
      </c>
      <c r="N236" s="10" t="str">
        <f t="shared" si="15"/>
        <v>SI</v>
      </c>
    </row>
    <row r="237" spans="1:14" ht="15.75" customHeight="1" x14ac:dyDescent="0.2">
      <c r="A237" s="5" t="s">
        <v>467</v>
      </c>
      <c r="B237" s="5" t="s">
        <v>720</v>
      </c>
      <c r="C237" s="5" t="s">
        <v>721</v>
      </c>
      <c r="D237" s="6" t="s">
        <v>722</v>
      </c>
      <c r="E237" s="7">
        <v>368.6</v>
      </c>
      <c r="F237" s="7">
        <v>686.15</v>
      </c>
      <c r="G237" s="7">
        <v>198.47</v>
      </c>
      <c r="H237" s="8">
        <v>35</v>
      </c>
      <c r="I237" s="7">
        <v>567.07000000000005</v>
      </c>
      <c r="J237" s="7">
        <v>0</v>
      </c>
      <c r="K237" s="7">
        <f t="shared" si="12"/>
        <v>198.47</v>
      </c>
      <c r="L237" s="7">
        <f t="shared" si="13"/>
        <v>119.08199999999999</v>
      </c>
      <c r="M237" s="9">
        <f t="shared" si="14"/>
        <v>3.4571975613442838</v>
      </c>
      <c r="N237" s="10" t="str">
        <f t="shared" si="15"/>
        <v>SI</v>
      </c>
    </row>
    <row r="238" spans="1:14" ht="15.75" customHeight="1" x14ac:dyDescent="0.2">
      <c r="A238" s="11" t="s">
        <v>467</v>
      </c>
      <c r="B238" s="11" t="s">
        <v>723</v>
      </c>
      <c r="C238" s="11" t="s">
        <v>724</v>
      </c>
      <c r="D238" s="12" t="s">
        <v>722</v>
      </c>
      <c r="E238" s="13">
        <v>186.62</v>
      </c>
      <c r="F238" s="13">
        <v>347.39</v>
      </c>
      <c r="G238" s="13">
        <v>100.48</v>
      </c>
      <c r="H238" s="14">
        <v>35</v>
      </c>
      <c r="I238" s="13">
        <v>287.10000000000002</v>
      </c>
      <c r="J238" s="13">
        <v>0</v>
      </c>
      <c r="K238" s="13">
        <f t="shared" si="12"/>
        <v>100.48</v>
      </c>
      <c r="L238" s="13">
        <f t="shared" si="13"/>
        <v>60.287999999999997</v>
      </c>
      <c r="M238" s="15">
        <f t="shared" si="14"/>
        <v>3.4573049363057322</v>
      </c>
      <c r="N238" s="10" t="str">
        <f t="shared" si="15"/>
        <v>SI</v>
      </c>
    </row>
    <row r="239" spans="1:14" ht="15.75" customHeight="1" x14ac:dyDescent="0.2">
      <c r="A239" s="5" t="s">
        <v>467</v>
      </c>
      <c r="B239" s="5" t="s">
        <v>725</v>
      </c>
      <c r="C239" s="5" t="s">
        <v>726</v>
      </c>
      <c r="D239" s="6" t="s">
        <v>722</v>
      </c>
      <c r="E239" s="7">
        <v>270.76</v>
      </c>
      <c r="F239" s="7">
        <v>504.03</v>
      </c>
      <c r="G239" s="7">
        <v>145.79</v>
      </c>
      <c r="H239" s="8">
        <v>35</v>
      </c>
      <c r="I239" s="7">
        <v>416.55</v>
      </c>
      <c r="J239" s="7">
        <v>0</v>
      </c>
      <c r="K239" s="7">
        <f t="shared" si="12"/>
        <v>145.79</v>
      </c>
      <c r="L239" s="7">
        <f t="shared" si="13"/>
        <v>87.47399999999999</v>
      </c>
      <c r="M239" s="9">
        <f t="shared" si="14"/>
        <v>3.4572330063790382</v>
      </c>
      <c r="N239" s="10" t="str">
        <f t="shared" si="15"/>
        <v>SI</v>
      </c>
    </row>
    <row r="240" spans="1:14" ht="15.75" customHeight="1" x14ac:dyDescent="0.2">
      <c r="A240" s="11" t="s">
        <v>467</v>
      </c>
      <c r="B240" s="11" t="s">
        <v>727</v>
      </c>
      <c r="C240" s="11" t="s">
        <v>728</v>
      </c>
      <c r="D240" s="12" t="s">
        <v>729</v>
      </c>
      <c r="E240" s="13">
        <v>120.39</v>
      </c>
      <c r="F240" s="13">
        <v>224.1</v>
      </c>
      <c r="G240" s="13">
        <v>64.819999999999993</v>
      </c>
      <c r="H240" s="14">
        <v>35</v>
      </c>
      <c r="I240" s="13">
        <v>185.21</v>
      </c>
      <c r="J240" s="13">
        <v>0</v>
      </c>
      <c r="K240" s="13">
        <f t="shared" si="12"/>
        <v>64.819999999999993</v>
      </c>
      <c r="L240" s="13">
        <f t="shared" si="13"/>
        <v>38.891999999999996</v>
      </c>
      <c r="M240" s="15">
        <f t="shared" si="14"/>
        <v>3.4572662758407899</v>
      </c>
      <c r="N240" s="10" t="str">
        <f t="shared" si="15"/>
        <v>SI</v>
      </c>
    </row>
    <row r="241" spans="1:14" ht="15.75" customHeight="1" x14ac:dyDescent="0.2">
      <c r="A241" s="5" t="s">
        <v>467</v>
      </c>
      <c r="B241" s="5" t="s">
        <v>730</v>
      </c>
      <c r="C241" s="5" t="s">
        <v>731</v>
      </c>
      <c r="D241" s="6" t="s">
        <v>732</v>
      </c>
      <c r="E241" s="7">
        <v>279.44</v>
      </c>
      <c r="F241" s="7">
        <v>520.19000000000005</v>
      </c>
      <c r="G241" s="7">
        <v>150.47</v>
      </c>
      <c r="H241" s="8">
        <v>35</v>
      </c>
      <c r="I241" s="7">
        <v>429.91</v>
      </c>
      <c r="J241" s="7">
        <v>0</v>
      </c>
      <c r="K241" s="7">
        <f t="shared" si="12"/>
        <v>150.47</v>
      </c>
      <c r="L241" s="7">
        <f t="shared" si="13"/>
        <v>90.281999999999996</v>
      </c>
      <c r="M241" s="9">
        <f t="shared" si="14"/>
        <v>3.4571010832724136</v>
      </c>
      <c r="N241" s="10" t="str">
        <f t="shared" si="15"/>
        <v>SI</v>
      </c>
    </row>
    <row r="242" spans="1:14" ht="15.75" customHeight="1" x14ac:dyDescent="0.2">
      <c r="A242" s="11" t="s">
        <v>467</v>
      </c>
      <c r="B242" s="11" t="s">
        <v>730</v>
      </c>
      <c r="C242" s="11" t="s">
        <v>733</v>
      </c>
      <c r="D242" s="12" t="s">
        <v>732</v>
      </c>
      <c r="E242" s="13">
        <v>356.97</v>
      </c>
      <c r="F242" s="13">
        <v>664.52</v>
      </c>
      <c r="G242" s="13">
        <v>192.22</v>
      </c>
      <c r="H242" s="14">
        <v>35</v>
      </c>
      <c r="I242" s="13">
        <v>549.19000000000005</v>
      </c>
      <c r="J242" s="13">
        <v>0</v>
      </c>
      <c r="K242" s="13">
        <f t="shared" si="12"/>
        <v>192.22</v>
      </c>
      <c r="L242" s="13">
        <f t="shared" si="13"/>
        <v>115.33199999999999</v>
      </c>
      <c r="M242" s="15">
        <f t="shared" si="14"/>
        <v>3.4570804286754759</v>
      </c>
      <c r="N242" s="10" t="str">
        <f t="shared" si="15"/>
        <v>SI</v>
      </c>
    </row>
    <row r="243" spans="1:14" ht="15.75" customHeight="1" x14ac:dyDescent="0.2">
      <c r="A243" s="5" t="s">
        <v>467</v>
      </c>
      <c r="B243" s="5" t="s">
        <v>730</v>
      </c>
      <c r="C243" s="5" t="s">
        <v>734</v>
      </c>
      <c r="D243" s="6" t="s">
        <v>732</v>
      </c>
      <c r="E243" s="7">
        <v>534.41</v>
      </c>
      <c r="F243" s="7">
        <v>994.81</v>
      </c>
      <c r="G243" s="7">
        <v>287.75</v>
      </c>
      <c r="H243" s="8">
        <v>35</v>
      </c>
      <c r="I243" s="7">
        <v>822.16</v>
      </c>
      <c r="J243" s="7">
        <v>0</v>
      </c>
      <c r="K243" s="7">
        <f t="shared" si="12"/>
        <v>287.75</v>
      </c>
      <c r="L243" s="7">
        <f t="shared" si="13"/>
        <v>172.65</v>
      </c>
      <c r="M243" s="9">
        <f t="shared" si="14"/>
        <v>3.4572024326672457</v>
      </c>
      <c r="N243" s="10" t="str">
        <f t="shared" si="15"/>
        <v>SI</v>
      </c>
    </row>
    <row r="244" spans="1:14" ht="15.75" customHeight="1" x14ac:dyDescent="0.2">
      <c r="A244" s="11" t="s">
        <v>467</v>
      </c>
      <c r="B244" s="11" t="s">
        <v>735</v>
      </c>
      <c r="C244" s="11" t="s">
        <v>736</v>
      </c>
      <c r="D244" s="12" t="s">
        <v>597</v>
      </c>
      <c r="E244" s="13">
        <v>122.04</v>
      </c>
      <c r="F244" s="13">
        <v>227.18</v>
      </c>
      <c r="G244" s="13">
        <v>65.709999999999994</v>
      </c>
      <c r="H244" s="14">
        <v>35</v>
      </c>
      <c r="I244" s="13">
        <v>187.75</v>
      </c>
      <c r="J244" s="13">
        <v>0</v>
      </c>
      <c r="K244" s="13">
        <f t="shared" si="12"/>
        <v>65.709999999999994</v>
      </c>
      <c r="L244" s="13">
        <f t="shared" si="13"/>
        <v>39.425999999999995</v>
      </c>
      <c r="M244" s="15">
        <f t="shared" si="14"/>
        <v>3.4573124334195713</v>
      </c>
      <c r="N244" s="10" t="str">
        <f t="shared" si="15"/>
        <v>SI</v>
      </c>
    </row>
    <row r="245" spans="1:14" ht="15.75" customHeight="1" x14ac:dyDescent="0.2">
      <c r="A245" s="5" t="s">
        <v>467</v>
      </c>
      <c r="B245" s="5" t="s">
        <v>737</v>
      </c>
      <c r="C245" s="5" t="s">
        <v>738</v>
      </c>
      <c r="D245" s="6" t="s">
        <v>597</v>
      </c>
      <c r="E245" s="7">
        <v>130.35</v>
      </c>
      <c r="F245" s="7">
        <v>242.65</v>
      </c>
      <c r="G245" s="7">
        <v>70.19</v>
      </c>
      <c r="H245" s="8">
        <v>35</v>
      </c>
      <c r="I245" s="7">
        <v>200.54</v>
      </c>
      <c r="J245" s="7">
        <v>0</v>
      </c>
      <c r="K245" s="7">
        <f t="shared" si="12"/>
        <v>70.19</v>
      </c>
      <c r="L245" s="7">
        <f t="shared" si="13"/>
        <v>42.113999999999997</v>
      </c>
      <c r="M245" s="9">
        <f t="shared" si="14"/>
        <v>3.457045163128651</v>
      </c>
      <c r="N245" s="10" t="str">
        <f t="shared" si="15"/>
        <v>SI</v>
      </c>
    </row>
    <row r="246" spans="1:14" ht="15.75" customHeight="1" x14ac:dyDescent="0.2">
      <c r="A246" s="11" t="s">
        <v>467</v>
      </c>
      <c r="B246" s="11" t="s">
        <v>739</v>
      </c>
      <c r="C246" s="11" t="s">
        <v>740</v>
      </c>
      <c r="D246" s="12" t="s">
        <v>597</v>
      </c>
      <c r="E246" s="13">
        <v>123.32</v>
      </c>
      <c r="F246" s="13">
        <v>229.56</v>
      </c>
      <c r="G246" s="13">
        <v>66.400000000000006</v>
      </c>
      <c r="H246" s="14">
        <v>35</v>
      </c>
      <c r="I246" s="13">
        <v>189.72</v>
      </c>
      <c r="J246" s="13">
        <v>0</v>
      </c>
      <c r="K246" s="13">
        <f t="shared" si="12"/>
        <v>66.400000000000006</v>
      </c>
      <c r="L246" s="13">
        <f t="shared" si="13"/>
        <v>39.840000000000003</v>
      </c>
      <c r="M246" s="15">
        <f t="shared" si="14"/>
        <v>3.4572289156626503</v>
      </c>
      <c r="N246" s="10" t="str">
        <f t="shared" si="15"/>
        <v>SI</v>
      </c>
    </row>
    <row r="247" spans="1:14" ht="15.75" customHeight="1" x14ac:dyDescent="0.2">
      <c r="A247" s="5" t="s">
        <v>467</v>
      </c>
      <c r="B247" s="5" t="s">
        <v>741</v>
      </c>
      <c r="C247" s="5" t="s">
        <v>742</v>
      </c>
      <c r="D247" s="6" t="s">
        <v>597</v>
      </c>
      <c r="E247" s="7">
        <v>136.79</v>
      </c>
      <c r="F247" s="7">
        <v>254.64</v>
      </c>
      <c r="G247" s="7">
        <v>73.66</v>
      </c>
      <c r="H247" s="8">
        <v>35</v>
      </c>
      <c r="I247" s="7">
        <v>210.45</v>
      </c>
      <c r="J247" s="7">
        <v>0</v>
      </c>
      <c r="K247" s="7">
        <f t="shared" si="12"/>
        <v>73.66</v>
      </c>
      <c r="L247" s="7">
        <f t="shared" si="13"/>
        <v>44.195999999999998</v>
      </c>
      <c r="M247" s="9">
        <f t="shared" si="14"/>
        <v>3.4569644311702414</v>
      </c>
      <c r="N247" s="10" t="str">
        <f t="shared" si="15"/>
        <v>SI</v>
      </c>
    </row>
    <row r="248" spans="1:14" ht="15.75" customHeight="1" x14ac:dyDescent="0.2">
      <c r="A248" s="11" t="s">
        <v>467</v>
      </c>
      <c r="B248" s="11" t="s">
        <v>743</v>
      </c>
      <c r="C248" s="11" t="s">
        <v>744</v>
      </c>
      <c r="D248" s="12" t="s">
        <v>745</v>
      </c>
      <c r="E248" s="13">
        <v>367.06</v>
      </c>
      <c r="F248" s="13">
        <v>683.3</v>
      </c>
      <c r="G248" s="13">
        <v>197.65</v>
      </c>
      <c r="H248" s="14">
        <v>35</v>
      </c>
      <c r="I248" s="13">
        <v>564.71</v>
      </c>
      <c r="J248" s="13">
        <v>0</v>
      </c>
      <c r="K248" s="13">
        <f t="shared" si="12"/>
        <v>197.65</v>
      </c>
      <c r="L248" s="13">
        <f t="shared" si="13"/>
        <v>118.59</v>
      </c>
      <c r="M248" s="15">
        <f t="shared" si="14"/>
        <v>3.4571211737920562</v>
      </c>
      <c r="N248" s="10" t="str">
        <f t="shared" si="15"/>
        <v>SI</v>
      </c>
    </row>
    <row r="249" spans="1:14" ht="15.75" customHeight="1" x14ac:dyDescent="0.2">
      <c r="A249" s="5" t="s">
        <v>467</v>
      </c>
      <c r="B249" s="5" t="s">
        <v>743</v>
      </c>
      <c r="C249" s="5" t="s">
        <v>746</v>
      </c>
      <c r="D249" s="6" t="s">
        <v>745</v>
      </c>
      <c r="E249" s="7">
        <v>611.77</v>
      </c>
      <c r="F249" s="7">
        <v>1138.83</v>
      </c>
      <c r="G249" s="7">
        <v>329.41</v>
      </c>
      <c r="H249" s="8">
        <v>35</v>
      </c>
      <c r="I249" s="7">
        <v>941.18</v>
      </c>
      <c r="J249" s="7">
        <v>0</v>
      </c>
      <c r="K249" s="7">
        <f t="shared" si="12"/>
        <v>329.41</v>
      </c>
      <c r="L249" s="7">
        <f t="shared" si="13"/>
        <v>197.64600000000002</v>
      </c>
      <c r="M249" s="9">
        <f t="shared" si="14"/>
        <v>3.4571810206126101</v>
      </c>
      <c r="N249" s="10" t="str">
        <f t="shared" si="15"/>
        <v>SI</v>
      </c>
    </row>
    <row r="250" spans="1:14" ht="15.75" customHeight="1" x14ac:dyDescent="0.2">
      <c r="A250" s="11" t="s">
        <v>467</v>
      </c>
      <c r="B250" s="11" t="s">
        <v>743</v>
      </c>
      <c r="C250" s="11" t="s">
        <v>747</v>
      </c>
      <c r="D250" s="12" t="s">
        <v>745</v>
      </c>
      <c r="E250" s="13">
        <v>837.52</v>
      </c>
      <c r="F250" s="13">
        <v>1559.07</v>
      </c>
      <c r="G250" s="13">
        <v>450.97</v>
      </c>
      <c r="H250" s="14">
        <v>35</v>
      </c>
      <c r="I250" s="13">
        <v>1288.49</v>
      </c>
      <c r="J250" s="13">
        <v>0</v>
      </c>
      <c r="K250" s="13">
        <f t="shared" si="12"/>
        <v>450.97</v>
      </c>
      <c r="L250" s="13">
        <f t="shared" si="13"/>
        <v>270.58199999999999</v>
      </c>
      <c r="M250" s="15">
        <f t="shared" si="14"/>
        <v>3.4571479255826327</v>
      </c>
      <c r="N250" s="10" t="str">
        <f t="shared" si="15"/>
        <v>SI</v>
      </c>
    </row>
    <row r="251" spans="1:14" ht="15.75" customHeight="1" x14ac:dyDescent="0.2">
      <c r="A251" s="5" t="s">
        <v>467</v>
      </c>
      <c r="B251" s="5" t="s">
        <v>748</v>
      </c>
      <c r="C251" s="5" t="s">
        <v>749</v>
      </c>
      <c r="D251" s="6" t="s">
        <v>750</v>
      </c>
      <c r="E251" s="7">
        <v>194.7</v>
      </c>
      <c r="F251" s="7">
        <v>362.44</v>
      </c>
      <c r="G251" s="7">
        <v>104.84</v>
      </c>
      <c r="H251" s="8">
        <v>35</v>
      </c>
      <c r="I251" s="7">
        <v>299.54000000000002</v>
      </c>
      <c r="J251" s="7">
        <v>0</v>
      </c>
      <c r="K251" s="7">
        <f t="shared" si="12"/>
        <v>104.84</v>
      </c>
      <c r="L251" s="7">
        <f t="shared" si="13"/>
        <v>62.903999999999996</v>
      </c>
      <c r="M251" s="9">
        <f t="shared" si="14"/>
        <v>3.4570774513544449</v>
      </c>
      <c r="N251" s="10" t="str">
        <f t="shared" si="15"/>
        <v>SI</v>
      </c>
    </row>
    <row r="252" spans="1:14" ht="15.75" customHeight="1" x14ac:dyDescent="0.2">
      <c r="A252" s="11" t="s">
        <v>467</v>
      </c>
      <c r="B252" s="11" t="s">
        <v>748</v>
      </c>
      <c r="C252" s="11" t="s">
        <v>751</v>
      </c>
      <c r="D252" s="12" t="s">
        <v>750</v>
      </c>
      <c r="E252" s="13">
        <v>226.66</v>
      </c>
      <c r="F252" s="13">
        <v>421.95</v>
      </c>
      <c r="G252" s="13">
        <v>122.06</v>
      </c>
      <c r="H252" s="14">
        <v>35</v>
      </c>
      <c r="I252" s="13">
        <v>348.72</v>
      </c>
      <c r="J252" s="13">
        <v>0</v>
      </c>
      <c r="K252" s="13">
        <f t="shared" si="12"/>
        <v>122.06</v>
      </c>
      <c r="L252" s="13">
        <f t="shared" si="13"/>
        <v>73.236000000000004</v>
      </c>
      <c r="M252" s="15">
        <f t="shared" si="14"/>
        <v>3.456906439456005</v>
      </c>
      <c r="N252" s="10" t="str">
        <f t="shared" si="15"/>
        <v>SI</v>
      </c>
    </row>
    <row r="253" spans="1:14" ht="15.75" customHeight="1" x14ac:dyDescent="0.2">
      <c r="A253" s="5" t="s">
        <v>467</v>
      </c>
      <c r="B253" s="5" t="s">
        <v>752</v>
      </c>
      <c r="C253" s="5" t="s">
        <v>753</v>
      </c>
      <c r="D253" s="6" t="s">
        <v>754</v>
      </c>
      <c r="E253" s="7">
        <v>221.96</v>
      </c>
      <c r="F253" s="7">
        <v>413.19</v>
      </c>
      <c r="G253" s="7">
        <v>119.52</v>
      </c>
      <c r="H253" s="8">
        <v>35</v>
      </c>
      <c r="I253" s="7">
        <v>341.48</v>
      </c>
      <c r="J253" s="7">
        <v>0</v>
      </c>
      <c r="K253" s="7">
        <f t="shared" si="12"/>
        <v>119.52</v>
      </c>
      <c r="L253" s="7">
        <f t="shared" si="13"/>
        <v>71.711999999999989</v>
      </c>
      <c r="M253" s="9">
        <f t="shared" si="14"/>
        <v>3.4570783132530121</v>
      </c>
      <c r="N253" s="10" t="str">
        <f t="shared" si="15"/>
        <v>SI</v>
      </c>
    </row>
    <row r="254" spans="1:14" ht="15.75" customHeight="1" x14ac:dyDescent="0.2">
      <c r="A254" s="11" t="s">
        <v>467</v>
      </c>
      <c r="B254" s="11" t="s">
        <v>755</v>
      </c>
      <c r="C254" s="11" t="s">
        <v>756</v>
      </c>
      <c r="D254" s="12" t="s">
        <v>757</v>
      </c>
      <c r="E254" s="13">
        <v>206.48</v>
      </c>
      <c r="F254" s="13">
        <v>384.37</v>
      </c>
      <c r="G254" s="13">
        <v>111.18</v>
      </c>
      <c r="H254" s="14">
        <v>35</v>
      </c>
      <c r="I254" s="13">
        <v>317.66000000000003</v>
      </c>
      <c r="J254" s="13">
        <v>0</v>
      </c>
      <c r="K254" s="13">
        <f t="shared" si="12"/>
        <v>111.18</v>
      </c>
      <c r="L254" s="13">
        <f t="shared" si="13"/>
        <v>66.707999999999998</v>
      </c>
      <c r="M254" s="15">
        <f t="shared" si="14"/>
        <v>3.4571865443425076</v>
      </c>
      <c r="N254" s="10" t="str">
        <f t="shared" si="15"/>
        <v>SI</v>
      </c>
    </row>
    <row r="255" spans="1:14" ht="15.75" customHeight="1" x14ac:dyDescent="0.2">
      <c r="A255" s="5" t="s">
        <v>467</v>
      </c>
      <c r="B255" s="5" t="s">
        <v>752</v>
      </c>
      <c r="C255" s="5" t="s">
        <v>753</v>
      </c>
      <c r="D255" s="6" t="s">
        <v>754</v>
      </c>
      <c r="E255" s="7">
        <v>213.86</v>
      </c>
      <c r="F255" s="7">
        <v>398.1</v>
      </c>
      <c r="G255" s="7">
        <v>115.15</v>
      </c>
      <c r="H255" s="8">
        <v>35</v>
      </c>
      <c r="I255" s="7">
        <v>329.01</v>
      </c>
      <c r="J255" s="7">
        <v>0</v>
      </c>
      <c r="K255" s="7">
        <f t="shared" si="12"/>
        <v>115.15</v>
      </c>
      <c r="L255" s="7">
        <f t="shared" si="13"/>
        <v>69.09</v>
      </c>
      <c r="M255" s="9">
        <f t="shared" si="14"/>
        <v>3.4572297003907946</v>
      </c>
      <c r="N255" s="10" t="str">
        <f t="shared" si="15"/>
        <v>SI</v>
      </c>
    </row>
    <row r="256" spans="1:14" ht="15.75" customHeight="1" x14ac:dyDescent="0.2">
      <c r="A256" s="11" t="s">
        <v>467</v>
      </c>
      <c r="B256" s="11" t="s">
        <v>755</v>
      </c>
      <c r="C256" s="11" t="s">
        <v>756</v>
      </c>
      <c r="D256" s="12" t="s">
        <v>757</v>
      </c>
      <c r="E256" s="13">
        <v>163.38</v>
      </c>
      <c r="F256" s="13">
        <v>304.13</v>
      </c>
      <c r="G256" s="13">
        <v>87.97</v>
      </c>
      <c r="H256" s="14">
        <v>35</v>
      </c>
      <c r="I256" s="13">
        <v>251.35</v>
      </c>
      <c r="J256" s="13">
        <v>0</v>
      </c>
      <c r="K256" s="13">
        <f t="shared" si="12"/>
        <v>87.97</v>
      </c>
      <c r="L256" s="13">
        <f t="shared" si="13"/>
        <v>52.781999999999996</v>
      </c>
      <c r="M256" s="15">
        <f t="shared" si="14"/>
        <v>3.4572013186313515</v>
      </c>
      <c r="N256" s="10" t="str">
        <f t="shared" si="15"/>
        <v>SI</v>
      </c>
    </row>
    <row r="257" spans="1:14" ht="15.75" customHeight="1" x14ac:dyDescent="0.2">
      <c r="A257" s="5" t="s">
        <v>467</v>
      </c>
      <c r="B257" s="5" t="s">
        <v>758</v>
      </c>
      <c r="C257" s="5" t="s">
        <v>759</v>
      </c>
      <c r="D257" s="6" t="s">
        <v>757</v>
      </c>
      <c r="E257" s="7">
        <v>204.95</v>
      </c>
      <c r="F257" s="7">
        <v>381.54</v>
      </c>
      <c r="G257" s="7">
        <v>110.37</v>
      </c>
      <c r="H257" s="8">
        <v>35</v>
      </c>
      <c r="I257" s="7">
        <v>315.32</v>
      </c>
      <c r="J257" s="7">
        <v>0</v>
      </c>
      <c r="K257" s="7">
        <f t="shared" si="12"/>
        <v>110.37</v>
      </c>
      <c r="L257" s="7">
        <f t="shared" si="13"/>
        <v>66.221999999999994</v>
      </c>
      <c r="M257" s="9">
        <f t="shared" si="14"/>
        <v>3.4569176406632236</v>
      </c>
      <c r="N257" s="10" t="str">
        <f t="shared" si="15"/>
        <v>SI</v>
      </c>
    </row>
    <row r="258" spans="1:14" ht="15.75" customHeight="1" x14ac:dyDescent="0.2">
      <c r="A258" s="11" t="s">
        <v>467</v>
      </c>
      <c r="B258" s="11" t="s">
        <v>760</v>
      </c>
      <c r="C258" s="11" t="s">
        <v>761</v>
      </c>
      <c r="D258" s="12" t="s">
        <v>754</v>
      </c>
      <c r="E258" s="13">
        <v>222.76</v>
      </c>
      <c r="F258" s="13">
        <v>414.67</v>
      </c>
      <c r="G258" s="13">
        <v>119.94</v>
      </c>
      <c r="H258" s="14">
        <v>35</v>
      </c>
      <c r="I258" s="13">
        <v>342.7</v>
      </c>
      <c r="J258" s="13">
        <v>0</v>
      </c>
      <c r="K258" s="13">
        <f t="shared" si="12"/>
        <v>119.94</v>
      </c>
      <c r="L258" s="13">
        <f t="shared" si="13"/>
        <v>71.963999999999999</v>
      </c>
      <c r="M258" s="15">
        <f t="shared" si="14"/>
        <v>3.4573119893279975</v>
      </c>
      <c r="N258" s="10" t="str">
        <f t="shared" si="15"/>
        <v>SI</v>
      </c>
    </row>
    <row r="259" spans="1:14" ht="15.75" customHeight="1" x14ac:dyDescent="0.2">
      <c r="A259" s="5" t="s">
        <v>467</v>
      </c>
      <c r="B259" s="5" t="s">
        <v>752</v>
      </c>
      <c r="C259" s="5" t="s">
        <v>753</v>
      </c>
      <c r="D259" s="6" t="s">
        <v>754</v>
      </c>
      <c r="E259" s="7">
        <v>228.96</v>
      </c>
      <c r="F259" s="7">
        <v>426.22</v>
      </c>
      <c r="G259" s="7">
        <v>123.29</v>
      </c>
      <c r="H259" s="8">
        <v>35</v>
      </c>
      <c r="I259" s="7">
        <v>352.25</v>
      </c>
      <c r="J259" s="7">
        <v>0</v>
      </c>
      <c r="K259" s="7">
        <f t="shared" ref="K259:K322" si="16">G259-J259</f>
        <v>123.29</v>
      </c>
      <c r="L259" s="7">
        <f t="shared" ref="L259:L322" si="17">K259*$L$1</f>
        <v>73.974000000000004</v>
      </c>
      <c r="M259" s="9">
        <f t="shared" ref="M259:M284" si="18">F259/K259</f>
        <v>3.4570524778976397</v>
      </c>
      <c r="N259" s="10" t="str">
        <f t="shared" ref="N259:N322" si="19">IF(M259&lt;3.5,"SI",IF(M259&lt;4.5,IF(K259&gt;=100,"SI",IF(K259&gt;=40,"CUIDADO","NO")),IF(AND(M259&lt;5.5,F259&gt;=500,K259&gt;=80),"CUIDADO","NO")))</f>
        <v>SI</v>
      </c>
    </row>
    <row r="260" spans="1:14" ht="15.75" customHeight="1" x14ac:dyDescent="0.2">
      <c r="A260" s="11" t="s">
        <v>467</v>
      </c>
      <c r="B260" s="11" t="s">
        <v>755</v>
      </c>
      <c r="C260" s="11" t="s">
        <v>756</v>
      </c>
      <c r="D260" s="12" t="s">
        <v>757</v>
      </c>
      <c r="E260" s="13">
        <v>217.14</v>
      </c>
      <c r="F260" s="13">
        <v>404.2</v>
      </c>
      <c r="G260" s="13">
        <v>116.91</v>
      </c>
      <c r="H260" s="14">
        <v>35</v>
      </c>
      <c r="I260" s="13">
        <v>334.05</v>
      </c>
      <c r="J260" s="13">
        <v>0</v>
      </c>
      <c r="K260" s="13">
        <f t="shared" si="16"/>
        <v>116.91</v>
      </c>
      <c r="L260" s="13">
        <f t="shared" si="17"/>
        <v>70.146000000000001</v>
      </c>
      <c r="M260" s="15">
        <f t="shared" si="18"/>
        <v>3.4573603626721408</v>
      </c>
      <c r="N260" s="10" t="str">
        <f t="shared" si="19"/>
        <v>SI</v>
      </c>
    </row>
    <row r="261" spans="1:14" ht="15.75" customHeight="1" x14ac:dyDescent="0.2">
      <c r="A261" s="5" t="s">
        <v>467</v>
      </c>
      <c r="B261" s="5" t="s">
        <v>762</v>
      </c>
      <c r="C261" s="5" t="s">
        <v>763</v>
      </c>
      <c r="D261" s="6" t="s">
        <v>764</v>
      </c>
      <c r="E261" s="7">
        <v>561.54</v>
      </c>
      <c r="F261" s="7">
        <v>1045.32</v>
      </c>
      <c r="G261" s="7">
        <v>302.36</v>
      </c>
      <c r="H261" s="8">
        <v>35</v>
      </c>
      <c r="I261" s="7">
        <v>863.9</v>
      </c>
      <c r="J261" s="7">
        <v>0</v>
      </c>
      <c r="K261" s="7">
        <f t="shared" si="16"/>
        <v>302.36</v>
      </c>
      <c r="L261" s="7">
        <f t="shared" si="17"/>
        <v>181.416</v>
      </c>
      <c r="M261" s="9">
        <f t="shared" si="18"/>
        <v>3.4572033337743084</v>
      </c>
      <c r="N261" s="10" t="str">
        <f t="shared" si="19"/>
        <v>SI</v>
      </c>
    </row>
    <row r="262" spans="1:14" ht="15.75" customHeight="1" x14ac:dyDescent="0.2">
      <c r="A262" s="11" t="s">
        <v>467</v>
      </c>
      <c r="B262" s="11" t="s">
        <v>765</v>
      </c>
      <c r="C262" s="11" t="s">
        <v>766</v>
      </c>
      <c r="D262" s="12" t="s">
        <v>767</v>
      </c>
      <c r="E262" s="13">
        <v>561.54</v>
      </c>
      <c r="F262" s="13">
        <v>1045.32</v>
      </c>
      <c r="G262" s="13">
        <v>302.36</v>
      </c>
      <c r="H262" s="14">
        <v>35</v>
      </c>
      <c r="I262" s="13">
        <v>863.9</v>
      </c>
      <c r="J262" s="13">
        <v>0</v>
      </c>
      <c r="K262" s="13">
        <f t="shared" si="16"/>
        <v>302.36</v>
      </c>
      <c r="L262" s="13">
        <f t="shared" si="17"/>
        <v>181.416</v>
      </c>
      <c r="M262" s="15">
        <f t="shared" si="18"/>
        <v>3.4572033337743084</v>
      </c>
      <c r="N262" s="10" t="str">
        <f t="shared" si="19"/>
        <v>SI</v>
      </c>
    </row>
    <row r="263" spans="1:14" ht="15.75" customHeight="1" x14ac:dyDescent="0.2">
      <c r="A263" s="5" t="s">
        <v>467</v>
      </c>
      <c r="B263" s="5" t="s">
        <v>768</v>
      </c>
      <c r="C263" s="5" t="s">
        <v>769</v>
      </c>
      <c r="D263" s="6" t="s">
        <v>767</v>
      </c>
      <c r="E263" s="7">
        <v>1019.5</v>
      </c>
      <c r="F263" s="7">
        <v>1897.85</v>
      </c>
      <c r="G263" s="7">
        <v>548.97</v>
      </c>
      <c r="H263" s="8">
        <v>35</v>
      </c>
      <c r="I263" s="7">
        <v>1568.47</v>
      </c>
      <c r="J263" s="7">
        <v>0</v>
      </c>
      <c r="K263" s="7">
        <f t="shared" si="16"/>
        <v>548.97</v>
      </c>
      <c r="L263" s="7">
        <f t="shared" si="17"/>
        <v>329.38200000000001</v>
      </c>
      <c r="M263" s="9">
        <f t="shared" si="18"/>
        <v>3.4571105889210698</v>
      </c>
      <c r="N263" s="10" t="str">
        <f t="shared" si="19"/>
        <v>SI</v>
      </c>
    </row>
    <row r="264" spans="1:14" ht="15.75" customHeight="1" x14ac:dyDescent="0.2">
      <c r="A264" s="11" t="s">
        <v>467</v>
      </c>
      <c r="B264" s="11" t="s">
        <v>770</v>
      </c>
      <c r="C264" s="11" t="s">
        <v>771</v>
      </c>
      <c r="D264" s="12" t="s">
        <v>772</v>
      </c>
      <c r="E264" s="13">
        <v>48.25</v>
      </c>
      <c r="F264" s="13">
        <v>89.82</v>
      </c>
      <c r="G264" s="13">
        <v>25.98</v>
      </c>
      <c r="H264" s="14">
        <v>35</v>
      </c>
      <c r="I264" s="13">
        <v>74.23</v>
      </c>
      <c r="J264" s="13">
        <v>0</v>
      </c>
      <c r="K264" s="13">
        <f t="shared" si="16"/>
        <v>25.98</v>
      </c>
      <c r="L264" s="13">
        <f t="shared" si="17"/>
        <v>15.587999999999999</v>
      </c>
      <c r="M264" s="15">
        <f t="shared" si="18"/>
        <v>3.4572748267898379</v>
      </c>
      <c r="N264" s="10" t="str">
        <f t="shared" si="19"/>
        <v>SI</v>
      </c>
    </row>
    <row r="265" spans="1:14" ht="15.75" customHeight="1" x14ac:dyDescent="0.2">
      <c r="A265" s="5" t="s">
        <v>467</v>
      </c>
      <c r="B265" s="5" t="s">
        <v>773</v>
      </c>
      <c r="C265" s="5" t="s">
        <v>774</v>
      </c>
      <c r="D265" s="6" t="s">
        <v>772</v>
      </c>
      <c r="E265" s="7">
        <v>82.22</v>
      </c>
      <c r="F265" s="7">
        <v>153.05000000000001</v>
      </c>
      <c r="G265" s="7">
        <v>44.27</v>
      </c>
      <c r="H265" s="8">
        <v>35</v>
      </c>
      <c r="I265" s="7">
        <v>126.49</v>
      </c>
      <c r="J265" s="7">
        <v>0</v>
      </c>
      <c r="K265" s="7">
        <f t="shared" si="16"/>
        <v>44.27</v>
      </c>
      <c r="L265" s="7">
        <f t="shared" si="17"/>
        <v>26.562000000000001</v>
      </c>
      <c r="M265" s="9">
        <f t="shared" si="18"/>
        <v>3.4571944883668397</v>
      </c>
      <c r="N265" s="10" t="str">
        <f t="shared" si="19"/>
        <v>SI</v>
      </c>
    </row>
    <row r="266" spans="1:14" ht="15.75" customHeight="1" x14ac:dyDescent="0.2">
      <c r="A266" s="11" t="s">
        <v>467</v>
      </c>
      <c r="B266" s="11" t="s">
        <v>775</v>
      </c>
      <c r="C266" s="11" t="s">
        <v>776</v>
      </c>
      <c r="D266" s="12" t="s">
        <v>777</v>
      </c>
      <c r="E266" s="13">
        <v>70.569999999999993</v>
      </c>
      <c r="F266" s="13">
        <v>131.37</v>
      </c>
      <c r="G266" s="13">
        <v>38</v>
      </c>
      <c r="H266" s="14">
        <v>35</v>
      </c>
      <c r="I266" s="13">
        <v>108.57</v>
      </c>
      <c r="J266" s="13">
        <v>0</v>
      </c>
      <c r="K266" s="13">
        <f t="shared" si="16"/>
        <v>38</v>
      </c>
      <c r="L266" s="13">
        <f t="shared" si="17"/>
        <v>22.8</v>
      </c>
      <c r="M266" s="15">
        <f t="shared" si="18"/>
        <v>3.4571052631578949</v>
      </c>
      <c r="N266" s="10" t="str">
        <f t="shared" si="19"/>
        <v>SI</v>
      </c>
    </row>
    <row r="267" spans="1:14" ht="15.75" customHeight="1" x14ac:dyDescent="0.2">
      <c r="A267" s="5" t="s">
        <v>467</v>
      </c>
      <c r="B267" s="5" t="s">
        <v>775</v>
      </c>
      <c r="C267" s="5" t="s">
        <v>778</v>
      </c>
      <c r="D267" s="6" t="s">
        <v>779</v>
      </c>
      <c r="E267" s="7">
        <v>62.07</v>
      </c>
      <c r="F267" s="7">
        <v>115.55</v>
      </c>
      <c r="G267" s="7">
        <v>33.43</v>
      </c>
      <c r="H267" s="8">
        <v>35.01</v>
      </c>
      <c r="I267" s="7">
        <v>95.5</v>
      </c>
      <c r="J267" s="7">
        <v>0</v>
      </c>
      <c r="K267" s="7">
        <f t="shared" si="16"/>
        <v>33.43</v>
      </c>
      <c r="L267" s="7">
        <f t="shared" si="17"/>
        <v>20.058</v>
      </c>
      <c r="M267" s="9">
        <f t="shared" si="18"/>
        <v>3.4564762189650016</v>
      </c>
      <c r="N267" s="10" t="str">
        <f t="shared" si="19"/>
        <v>SI</v>
      </c>
    </row>
    <row r="268" spans="1:14" ht="15.75" customHeight="1" x14ac:dyDescent="0.2">
      <c r="A268" s="11" t="s">
        <v>467</v>
      </c>
      <c r="B268" s="11" t="s">
        <v>775</v>
      </c>
      <c r="C268" s="11" t="s">
        <v>780</v>
      </c>
      <c r="D268" s="12" t="s">
        <v>779</v>
      </c>
      <c r="E268" s="13">
        <v>102.54</v>
      </c>
      <c r="F268" s="13">
        <v>190.88</v>
      </c>
      <c r="G268" s="13">
        <v>55.21</v>
      </c>
      <c r="H268" s="14">
        <v>35</v>
      </c>
      <c r="I268" s="13">
        <v>157.75</v>
      </c>
      <c r="J268" s="13">
        <v>0</v>
      </c>
      <c r="K268" s="13">
        <f t="shared" si="16"/>
        <v>55.21</v>
      </c>
      <c r="L268" s="13">
        <f t="shared" si="17"/>
        <v>33.125999999999998</v>
      </c>
      <c r="M268" s="15">
        <f t="shared" si="18"/>
        <v>3.4573446839340698</v>
      </c>
      <c r="N268" s="10" t="str">
        <f t="shared" si="19"/>
        <v>SI</v>
      </c>
    </row>
    <row r="269" spans="1:14" ht="15.75" customHeight="1" x14ac:dyDescent="0.2">
      <c r="A269" s="5" t="s">
        <v>467</v>
      </c>
      <c r="B269" s="5" t="s">
        <v>781</v>
      </c>
      <c r="C269" s="5" t="s">
        <v>782</v>
      </c>
      <c r="D269" s="6" t="s">
        <v>783</v>
      </c>
      <c r="E269" s="7">
        <v>34.61</v>
      </c>
      <c r="F269" s="7">
        <v>67.540000000000006</v>
      </c>
      <c r="G269" s="7">
        <v>21.21</v>
      </c>
      <c r="H269" s="8">
        <v>38</v>
      </c>
      <c r="I269" s="7">
        <v>55.82</v>
      </c>
      <c r="J269" s="7">
        <v>0</v>
      </c>
      <c r="K269" s="7">
        <f t="shared" si="16"/>
        <v>21.21</v>
      </c>
      <c r="L269" s="7">
        <f t="shared" si="17"/>
        <v>12.726000000000001</v>
      </c>
      <c r="M269" s="9">
        <f t="shared" si="18"/>
        <v>3.1843470061291845</v>
      </c>
      <c r="N269" s="10" t="str">
        <f t="shared" si="19"/>
        <v>SI</v>
      </c>
    </row>
    <row r="270" spans="1:14" ht="15.75" customHeight="1" x14ac:dyDescent="0.2">
      <c r="A270" s="11" t="s">
        <v>467</v>
      </c>
      <c r="B270" s="11" t="s">
        <v>784</v>
      </c>
      <c r="C270" s="11" t="s">
        <v>785</v>
      </c>
      <c r="D270" s="12" t="s">
        <v>786</v>
      </c>
      <c r="E270" s="13">
        <v>88.17</v>
      </c>
      <c r="F270" s="13">
        <v>164.14</v>
      </c>
      <c r="G270" s="13">
        <v>47.48</v>
      </c>
      <c r="H270" s="14">
        <v>35</v>
      </c>
      <c r="I270" s="13">
        <v>135.65</v>
      </c>
      <c r="J270" s="13">
        <v>0</v>
      </c>
      <c r="K270" s="13">
        <f t="shared" si="16"/>
        <v>47.48</v>
      </c>
      <c r="L270" s="13">
        <f t="shared" si="17"/>
        <v>28.487999999999996</v>
      </c>
      <c r="M270" s="15">
        <f t="shared" si="18"/>
        <v>3.4570345408593091</v>
      </c>
      <c r="N270" s="10" t="str">
        <f t="shared" si="19"/>
        <v>SI</v>
      </c>
    </row>
    <row r="271" spans="1:14" ht="15.75" customHeight="1" x14ac:dyDescent="0.2">
      <c r="A271" s="5" t="s">
        <v>467</v>
      </c>
      <c r="B271" s="5" t="s">
        <v>787</v>
      </c>
      <c r="C271" s="5" t="s">
        <v>788</v>
      </c>
      <c r="D271" s="6" t="s">
        <v>786</v>
      </c>
      <c r="E271" s="7">
        <v>68.16</v>
      </c>
      <c r="F271" s="7">
        <v>126.88</v>
      </c>
      <c r="G271" s="7">
        <v>36.700000000000003</v>
      </c>
      <c r="H271" s="8">
        <v>35</v>
      </c>
      <c r="I271" s="7">
        <v>104.86</v>
      </c>
      <c r="J271" s="7">
        <v>0</v>
      </c>
      <c r="K271" s="7">
        <f t="shared" si="16"/>
        <v>36.700000000000003</v>
      </c>
      <c r="L271" s="7">
        <f t="shared" si="17"/>
        <v>22.02</v>
      </c>
      <c r="M271" s="9">
        <f t="shared" si="18"/>
        <v>3.457220708446866</v>
      </c>
      <c r="N271" s="10" t="str">
        <f t="shared" si="19"/>
        <v>SI</v>
      </c>
    </row>
    <row r="272" spans="1:14" ht="15.75" customHeight="1" x14ac:dyDescent="0.2">
      <c r="A272" s="11" t="s">
        <v>467</v>
      </c>
      <c r="B272" s="11" t="s">
        <v>789</v>
      </c>
      <c r="C272" s="11" t="s">
        <v>790</v>
      </c>
      <c r="D272" s="12" t="s">
        <v>791</v>
      </c>
      <c r="E272" s="13">
        <v>54.88</v>
      </c>
      <c r="F272" s="13">
        <v>102.16</v>
      </c>
      <c r="G272" s="13">
        <v>29.55</v>
      </c>
      <c r="H272" s="14">
        <v>35</v>
      </c>
      <c r="I272" s="13">
        <v>84.43</v>
      </c>
      <c r="J272" s="13">
        <v>0</v>
      </c>
      <c r="K272" s="13">
        <f t="shared" si="16"/>
        <v>29.55</v>
      </c>
      <c r="L272" s="13">
        <f t="shared" si="17"/>
        <v>17.73</v>
      </c>
      <c r="M272" s="15">
        <f t="shared" si="18"/>
        <v>3.4571912013536377</v>
      </c>
      <c r="N272" s="10" t="str">
        <f t="shared" si="19"/>
        <v>SI</v>
      </c>
    </row>
    <row r="273" spans="1:14" ht="15.75" customHeight="1" x14ac:dyDescent="0.2">
      <c r="A273" s="5" t="s">
        <v>467</v>
      </c>
      <c r="B273" s="5" t="s">
        <v>792</v>
      </c>
      <c r="C273" s="5" t="s">
        <v>793</v>
      </c>
      <c r="D273" s="6" t="s">
        <v>791</v>
      </c>
      <c r="E273" s="7">
        <v>27.52</v>
      </c>
      <c r="F273" s="7">
        <v>51.23</v>
      </c>
      <c r="G273" s="7">
        <v>14.82</v>
      </c>
      <c r="H273" s="8">
        <v>35</v>
      </c>
      <c r="I273" s="7">
        <v>42.34</v>
      </c>
      <c r="J273" s="7">
        <v>0</v>
      </c>
      <c r="K273" s="7">
        <f t="shared" si="16"/>
        <v>14.82</v>
      </c>
      <c r="L273" s="7">
        <f t="shared" si="17"/>
        <v>8.8919999999999995</v>
      </c>
      <c r="M273" s="9">
        <f t="shared" si="18"/>
        <v>3.4568151147098511</v>
      </c>
      <c r="N273" s="10" t="str">
        <f t="shared" si="19"/>
        <v>SI</v>
      </c>
    </row>
    <row r="274" spans="1:14" ht="15.75" customHeight="1" x14ac:dyDescent="0.2">
      <c r="A274" s="11" t="s">
        <v>467</v>
      </c>
      <c r="B274" s="11" t="s">
        <v>794</v>
      </c>
      <c r="C274" s="11" t="s">
        <v>795</v>
      </c>
      <c r="D274" s="12" t="s">
        <v>796</v>
      </c>
      <c r="E274" s="13">
        <v>137.94</v>
      </c>
      <c r="F274" s="13">
        <v>256.79000000000002</v>
      </c>
      <c r="G274" s="13">
        <v>74.28</v>
      </c>
      <c r="H274" s="14">
        <v>35</v>
      </c>
      <c r="I274" s="13">
        <v>212.22</v>
      </c>
      <c r="J274" s="13">
        <v>0</v>
      </c>
      <c r="K274" s="13">
        <f t="shared" si="16"/>
        <v>74.28</v>
      </c>
      <c r="L274" s="13">
        <f t="shared" si="17"/>
        <v>44.567999999999998</v>
      </c>
      <c r="M274" s="15">
        <f t="shared" si="18"/>
        <v>3.4570543887991385</v>
      </c>
      <c r="N274" s="10" t="str">
        <f t="shared" si="19"/>
        <v>SI</v>
      </c>
    </row>
    <row r="275" spans="1:14" ht="15.75" customHeight="1" x14ac:dyDescent="0.2">
      <c r="A275" s="5" t="s">
        <v>467</v>
      </c>
      <c r="B275" s="5" t="s">
        <v>794</v>
      </c>
      <c r="C275" s="5" t="s">
        <v>797</v>
      </c>
      <c r="D275" s="6" t="s">
        <v>796</v>
      </c>
      <c r="E275" s="7">
        <v>176.97</v>
      </c>
      <c r="F275" s="7">
        <v>329.42</v>
      </c>
      <c r="G275" s="7">
        <v>95.28</v>
      </c>
      <c r="H275" s="8">
        <v>35</v>
      </c>
      <c r="I275" s="7">
        <v>272.25</v>
      </c>
      <c r="J275" s="7">
        <v>0</v>
      </c>
      <c r="K275" s="7">
        <f t="shared" si="16"/>
        <v>95.28</v>
      </c>
      <c r="L275" s="7">
        <f t="shared" si="17"/>
        <v>57.167999999999999</v>
      </c>
      <c r="M275" s="9">
        <f t="shared" si="18"/>
        <v>3.457388748950462</v>
      </c>
      <c r="N275" s="10" t="str">
        <f t="shared" si="19"/>
        <v>SI</v>
      </c>
    </row>
    <row r="276" spans="1:14" ht="15.75" customHeight="1" x14ac:dyDescent="0.2">
      <c r="A276" s="11" t="s">
        <v>467</v>
      </c>
      <c r="B276" s="11" t="s">
        <v>794</v>
      </c>
      <c r="C276" s="11" t="s">
        <v>798</v>
      </c>
      <c r="D276" s="12" t="s">
        <v>796</v>
      </c>
      <c r="E276" s="13">
        <v>42.82</v>
      </c>
      <c r="F276" s="13">
        <v>79.709999999999994</v>
      </c>
      <c r="G276" s="13">
        <v>23.06</v>
      </c>
      <c r="H276" s="14">
        <v>35</v>
      </c>
      <c r="I276" s="13">
        <v>65.88</v>
      </c>
      <c r="J276" s="13">
        <v>0</v>
      </c>
      <c r="K276" s="13">
        <f t="shared" si="16"/>
        <v>23.06</v>
      </c>
      <c r="L276" s="13">
        <f t="shared" si="17"/>
        <v>13.835999999999999</v>
      </c>
      <c r="M276" s="15">
        <f t="shared" si="18"/>
        <v>3.4566348655680832</v>
      </c>
      <c r="N276" s="10" t="str">
        <f t="shared" si="19"/>
        <v>SI</v>
      </c>
    </row>
    <row r="277" spans="1:14" ht="15.75" customHeight="1" x14ac:dyDescent="0.2">
      <c r="A277" s="5" t="s">
        <v>467</v>
      </c>
      <c r="B277" s="5" t="s">
        <v>799</v>
      </c>
      <c r="C277" s="5" t="s">
        <v>800</v>
      </c>
      <c r="D277" s="6" t="s">
        <v>801</v>
      </c>
      <c r="E277" s="7">
        <v>19.68</v>
      </c>
      <c r="F277" s="7">
        <v>36.630000000000003</v>
      </c>
      <c r="G277" s="7">
        <v>10.59</v>
      </c>
      <c r="H277" s="8">
        <v>34.99</v>
      </c>
      <c r="I277" s="7">
        <v>30.27</v>
      </c>
      <c r="J277" s="7">
        <v>0</v>
      </c>
      <c r="K277" s="7">
        <f t="shared" si="16"/>
        <v>10.59</v>
      </c>
      <c r="L277" s="7">
        <f t="shared" si="17"/>
        <v>6.3540000000000001</v>
      </c>
      <c r="M277" s="9">
        <f t="shared" si="18"/>
        <v>3.4589235127478757</v>
      </c>
      <c r="N277" s="10" t="str">
        <f t="shared" si="19"/>
        <v>SI</v>
      </c>
    </row>
    <row r="278" spans="1:14" ht="15.75" customHeight="1" x14ac:dyDescent="0.2">
      <c r="A278" s="11" t="s">
        <v>467</v>
      </c>
      <c r="B278" s="11" t="s">
        <v>802</v>
      </c>
      <c r="C278" s="11" t="s">
        <v>803</v>
      </c>
      <c r="D278" s="12" t="s">
        <v>796</v>
      </c>
      <c r="E278" s="13">
        <v>69.709999999999994</v>
      </c>
      <c r="F278" s="13">
        <v>129.76</v>
      </c>
      <c r="G278" s="13">
        <v>37.53</v>
      </c>
      <c r="H278" s="14">
        <v>35</v>
      </c>
      <c r="I278" s="13">
        <v>107.24</v>
      </c>
      <c r="J278" s="13">
        <v>0</v>
      </c>
      <c r="K278" s="13">
        <f t="shared" si="16"/>
        <v>37.53</v>
      </c>
      <c r="L278" s="13">
        <f t="shared" si="17"/>
        <v>22.518000000000001</v>
      </c>
      <c r="M278" s="15">
        <f t="shared" si="18"/>
        <v>3.4575006661337593</v>
      </c>
      <c r="N278" s="10" t="str">
        <f t="shared" si="19"/>
        <v>SI</v>
      </c>
    </row>
    <row r="279" spans="1:14" ht="15.75" customHeight="1" x14ac:dyDescent="0.2">
      <c r="A279" s="5" t="s">
        <v>467</v>
      </c>
      <c r="B279" s="5" t="s">
        <v>802</v>
      </c>
      <c r="C279" s="5" t="s">
        <v>804</v>
      </c>
      <c r="D279" s="6" t="s">
        <v>796</v>
      </c>
      <c r="E279" s="7">
        <v>99.95</v>
      </c>
      <c r="F279" s="7">
        <v>186.06</v>
      </c>
      <c r="G279" s="7">
        <v>53.82</v>
      </c>
      <c r="H279" s="8">
        <v>35</v>
      </c>
      <c r="I279" s="7">
        <v>153.77000000000001</v>
      </c>
      <c r="J279" s="7">
        <v>0</v>
      </c>
      <c r="K279" s="7">
        <f t="shared" si="16"/>
        <v>53.82</v>
      </c>
      <c r="L279" s="7">
        <f t="shared" si="17"/>
        <v>32.292000000000002</v>
      </c>
      <c r="M279" s="9">
        <f t="shared" si="18"/>
        <v>3.4570791527313265</v>
      </c>
      <c r="N279" s="10" t="str">
        <f t="shared" si="19"/>
        <v>SI</v>
      </c>
    </row>
    <row r="280" spans="1:14" ht="15.75" customHeight="1" x14ac:dyDescent="0.2">
      <c r="A280" s="11" t="s">
        <v>467</v>
      </c>
      <c r="B280" s="11" t="s">
        <v>802</v>
      </c>
      <c r="C280" s="11" t="s">
        <v>805</v>
      </c>
      <c r="D280" s="12" t="s">
        <v>796</v>
      </c>
      <c r="E280" s="13">
        <v>122.35</v>
      </c>
      <c r="F280" s="13">
        <v>227.77</v>
      </c>
      <c r="G280" s="13">
        <v>65.89</v>
      </c>
      <c r="H280" s="14">
        <v>35</v>
      </c>
      <c r="I280" s="13">
        <v>188.24</v>
      </c>
      <c r="J280" s="13">
        <v>0</v>
      </c>
      <c r="K280" s="13">
        <f t="shared" si="16"/>
        <v>65.89</v>
      </c>
      <c r="L280" s="13">
        <f t="shared" si="17"/>
        <v>39.533999999999999</v>
      </c>
      <c r="M280" s="15">
        <f t="shared" si="18"/>
        <v>3.4568219760206405</v>
      </c>
      <c r="N280" s="10" t="str">
        <f t="shared" si="19"/>
        <v>SI</v>
      </c>
    </row>
    <row r="281" spans="1:14" ht="15.75" customHeight="1" x14ac:dyDescent="0.2">
      <c r="A281" s="5" t="s">
        <v>467</v>
      </c>
      <c r="B281" s="5" t="s">
        <v>806</v>
      </c>
      <c r="C281" s="5" t="s">
        <v>807</v>
      </c>
      <c r="D281" s="6" t="s">
        <v>796</v>
      </c>
      <c r="E281" s="7">
        <v>45.21</v>
      </c>
      <c r="F281" s="7">
        <v>84.16</v>
      </c>
      <c r="G281" s="7">
        <v>24.34</v>
      </c>
      <c r="H281" s="8">
        <v>35</v>
      </c>
      <c r="I281" s="7">
        <v>69.55</v>
      </c>
      <c r="J281" s="7">
        <v>0</v>
      </c>
      <c r="K281" s="7">
        <f t="shared" si="16"/>
        <v>24.34</v>
      </c>
      <c r="L281" s="7">
        <f t="shared" si="17"/>
        <v>14.603999999999999</v>
      </c>
      <c r="M281" s="9">
        <f t="shared" si="18"/>
        <v>3.4576828266228428</v>
      </c>
      <c r="N281" s="10" t="str">
        <f t="shared" si="19"/>
        <v>SI</v>
      </c>
    </row>
    <row r="282" spans="1:14" ht="15.75" customHeight="1" x14ac:dyDescent="0.2">
      <c r="A282" s="11" t="s">
        <v>467</v>
      </c>
      <c r="B282" s="11" t="s">
        <v>808</v>
      </c>
      <c r="C282" s="11" t="s">
        <v>809</v>
      </c>
      <c r="D282" s="12" t="s">
        <v>810</v>
      </c>
      <c r="E282" s="13">
        <v>28.69</v>
      </c>
      <c r="F282" s="13">
        <v>53.41</v>
      </c>
      <c r="G282" s="13">
        <v>15.45</v>
      </c>
      <c r="H282" s="14">
        <v>35</v>
      </c>
      <c r="I282" s="13">
        <v>44.14</v>
      </c>
      <c r="J282" s="13">
        <v>0</v>
      </c>
      <c r="K282" s="13">
        <f t="shared" si="16"/>
        <v>15.45</v>
      </c>
      <c r="L282" s="13">
        <f t="shared" si="17"/>
        <v>9.27</v>
      </c>
      <c r="M282" s="15">
        <f t="shared" si="18"/>
        <v>3.4569579288025891</v>
      </c>
      <c r="N282" s="10" t="str">
        <f t="shared" si="19"/>
        <v>SI</v>
      </c>
    </row>
    <row r="283" spans="1:14" ht="15.75" customHeight="1" x14ac:dyDescent="0.2">
      <c r="A283" s="5" t="s">
        <v>467</v>
      </c>
      <c r="B283" s="5" t="s">
        <v>811</v>
      </c>
      <c r="C283" s="5" t="s">
        <v>812</v>
      </c>
      <c r="D283" s="6" t="s">
        <v>813</v>
      </c>
      <c r="E283" s="7">
        <v>12.41</v>
      </c>
      <c r="F283" s="7">
        <v>23.1</v>
      </c>
      <c r="G283" s="7">
        <v>6.68</v>
      </c>
      <c r="H283" s="8">
        <v>34.99</v>
      </c>
      <c r="I283" s="7">
        <v>19.09</v>
      </c>
      <c r="J283" s="7">
        <v>0</v>
      </c>
      <c r="K283" s="7">
        <f t="shared" si="16"/>
        <v>6.68</v>
      </c>
      <c r="L283" s="7">
        <f t="shared" si="17"/>
        <v>4.008</v>
      </c>
      <c r="M283" s="9">
        <f t="shared" si="18"/>
        <v>3.4580838323353298</v>
      </c>
      <c r="N283" s="10" t="str">
        <f t="shared" si="19"/>
        <v>SI</v>
      </c>
    </row>
    <row r="284" spans="1:14" ht="15.75" customHeight="1" x14ac:dyDescent="0.2">
      <c r="D284" s="18" t="s">
        <v>814</v>
      </c>
      <c r="E284" s="19">
        <f>SUM(E3:E283)</f>
        <v>134214.07000000009</v>
      </c>
      <c r="F284" s="19">
        <f>SUM(F3:F283)</f>
        <v>253798.6700000001</v>
      </c>
      <c r="G284" s="19">
        <f>SUM(G3:G283)</f>
        <v>75536.939999999915</v>
      </c>
      <c r="H284" s="20">
        <f>AVERAGE(H3:H283)</f>
        <v>35.454875444839843</v>
      </c>
      <c r="K284" s="19">
        <f t="shared" si="16"/>
        <v>75536.939999999915</v>
      </c>
      <c r="L284" s="19">
        <f t="shared" si="17"/>
        <v>45322.163999999946</v>
      </c>
      <c r="M284" s="21">
        <f t="shared" si="18"/>
        <v>3.3599278710522347</v>
      </c>
      <c r="N284" s="10" t="str">
        <f>IF(M284&lt;3.2,"SI","NO")</f>
        <v>NO</v>
      </c>
    </row>
    <row r="285" spans="1:14" ht="15.75" customHeight="1" x14ac:dyDescent="0.2"/>
    <row r="286" spans="1:14" ht="15.75" customHeight="1" x14ac:dyDescent="0.2"/>
    <row r="287" spans="1:14" ht="15.75" customHeight="1" x14ac:dyDescent="0.2"/>
    <row r="288" spans="1:14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tabSelected="1" topLeftCell="D1" workbookViewId="0">
      <pane ySplit="2" topLeftCell="A272" activePane="bottomLeft" state="frozen"/>
      <selection pane="bottomLeft" activeCell="I296" sqref="I296"/>
    </sheetView>
  </sheetViews>
  <sheetFormatPr baseColWidth="10" defaultColWidth="14.5" defaultRowHeight="15" customHeight="1" x14ac:dyDescent="0.2"/>
  <cols>
    <col min="1" max="1" width="12" customWidth="1"/>
    <col min="2" max="2" width="51" bestFit="1" customWidth="1"/>
    <col min="3" max="3" width="13.1640625" customWidth="1"/>
    <col min="4" max="4" width="52" customWidth="1"/>
    <col min="5" max="5" width="18" customWidth="1"/>
    <col min="6" max="6" width="20" customWidth="1"/>
    <col min="7" max="7" width="14" customWidth="1"/>
    <col min="8" max="8" width="12" customWidth="1"/>
    <col min="9" max="9" width="18" customWidth="1"/>
    <col min="10" max="10" width="14" customWidth="1"/>
    <col min="11" max="11" width="12.83203125" customWidth="1"/>
    <col min="12" max="12" width="9.1640625" bestFit="1" customWidth="1"/>
    <col min="13" max="26" width="8.6640625" customWidth="1"/>
  </cols>
  <sheetData>
    <row r="1" spans="1:26" ht="31.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>
        <v>0.6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1.5" customHeight="1" x14ac:dyDescent="0.2">
      <c r="A2" s="3" t="s">
        <v>111</v>
      </c>
      <c r="B2" s="3" t="s">
        <v>112</v>
      </c>
      <c r="C2" s="3" t="s">
        <v>113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  <c r="K2" s="4" t="s">
        <v>121</v>
      </c>
      <c r="L2" s="4" t="s">
        <v>122</v>
      </c>
      <c r="M2" s="4" t="s">
        <v>123</v>
      </c>
      <c r="N2" s="4" t="s">
        <v>124</v>
      </c>
    </row>
    <row r="3" spans="1:26" ht="15.75" customHeight="1" x14ac:dyDescent="0.2">
      <c r="A3" s="5" t="s">
        <v>125</v>
      </c>
      <c r="B3" s="5" t="s">
        <v>126</v>
      </c>
      <c r="C3" s="5" t="s">
        <v>127</v>
      </c>
      <c r="D3" s="6" t="s">
        <v>128</v>
      </c>
      <c r="E3" s="7">
        <v>539</v>
      </c>
      <c r="F3" s="7">
        <v>809.92</v>
      </c>
      <c r="G3" s="7">
        <v>270.92</v>
      </c>
      <c r="H3" s="8">
        <v>50.26</v>
      </c>
      <c r="I3" s="7">
        <v>980</v>
      </c>
      <c r="J3" s="7">
        <v>0</v>
      </c>
      <c r="K3" s="7">
        <f t="shared" ref="K3:K66" si="0">G3-J3</f>
        <v>270.92</v>
      </c>
      <c r="L3" s="7">
        <f t="shared" ref="L3:L66" si="1">K3*$L$1</f>
        <v>162.55199999999999</v>
      </c>
      <c r="M3" s="9">
        <f t="shared" ref="M3:M66" si="2">F3/K3</f>
        <v>2.989517200649638</v>
      </c>
      <c r="N3" s="10" t="str">
        <f t="shared" ref="N3:N66" si="3">IF(M3&lt;3.5,"SI",IF(M3&lt;4.5,IF(K3&gt;=100,"SI",IF(K3&gt;=40,"CUIDADO","NO")),IF(AND(M3&lt;5.5,F3&gt;=500,K3&gt;=80),"CUIDADO","NO")))</f>
        <v>SI</v>
      </c>
    </row>
    <row r="4" spans="1:26" ht="15.75" customHeight="1" x14ac:dyDescent="0.2">
      <c r="A4" s="11" t="s">
        <v>125</v>
      </c>
      <c r="B4" s="11" t="s">
        <v>129</v>
      </c>
      <c r="C4" s="11" t="s">
        <v>130</v>
      </c>
      <c r="D4" s="12" t="s">
        <v>131</v>
      </c>
      <c r="E4" s="13">
        <v>809</v>
      </c>
      <c r="F4" s="13">
        <v>1214.8800000000001</v>
      </c>
      <c r="G4" s="13">
        <v>405.88</v>
      </c>
      <c r="H4" s="14">
        <v>50.17</v>
      </c>
      <c r="I4" s="13">
        <v>1470</v>
      </c>
      <c r="J4" s="13">
        <v>0</v>
      </c>
      <c r="K4" s="13">
        <f t="shared" si="0"/>
        <v>405.88</v>
      </c>
      <c r="L4" s="13">
        <f t="shared" si="1"/>
        <v>243.52799999999999</v>
      </c>
      <c r="M4" s="15">
        <f t="shared" si="2"/>
        <v>2.9931999605794819</v>
      </c>
      <c r="N4" s="10" t="str">
        <f t="shared" si="3"/>
        <v>SI</v>
      </c>
    </row>
    <row r="5" spans="1:26" ht="15.75" customHeight="1" x14ac:dyDescent="0.2">
      <c r="A5" s="5" t="s">
        <v>125</v>
      </c>
      <c r="B5" s="5" t="s">
        <v>132</v>
      </c>
      <c r="C5" s="5" t="s">
        <v>133</v>
      </c>
      <c r="D5" s="6" t="s">
        <v>134</v>
      </c>
      <c r="E5" s="7">
        <v>1067</v>
      </c>
      <c r="F5" s="7">
        <v>1603.31</v>
      </c>
      <c r="G5" s="7">
        <v>536.30999999999995</v>
      </c>
      <c r="H5" s="8">
        <v>50.26</v>
      </c>
      <c r="I5" s="7">
        <v>1940</v>
      </c>
      <c r="J5" s="7">
        <v>0</v>
      </c>
      <c r="K5" s="7">
        <f t="shared" si="0"/>
        <v>536.30999999999995</v>
      </c>
      <c r="L5" s="7">
        <f t="shared" si="1"/>
        <v>321.78599999999994</v>
      </c>
      <c r="M5" s="9">
        <f t="shared" si="2"/>
        <v>2.9895209859969052</v>
      </c>
      <c r="N5" s="10" t="str">
        <f t="shared" si="3"/>
        <v>SI</v>
      </c>
    </row>
    <row r="6" spans="1:26" ht="15.75" customHeight="1" x14ac:dyDescent="0.2">
      <c r="A6" s="11" t="s">
        <v>125</v>
      </c>
      <c r="B6" s="11" t="s">
        <v>135</v>
      </c>
      <c r="C6" s="11" t="s">
        <v>136</v>
      </c>
      <c r="D6" s="12" t="s">
        <v>137</v>
      </c>
      <c r="E6" s="13">
        <v>240</v>
      </c>
      <c r="F6" s="13">
        <v>359.5</v>
      </c>
      <c r="G6" s="13">
        <v>119.5</v>
      </c>
      <c r="H6" s="16">
        <v>49.79</v>
      </c>
      <c r="I6" s="13">
        <v>435</v>
      </c>
      <c r="J6" s="13">
        <v>50</v>
      </c>
      <c r="K6" s="13">
        <f t="shared" si="0"/>
        <v>69.5</v>
      </c>
      <c r="L6" s="13">
        <f t="shared" si="1"/>
        <v>41.699999999999996</v>
      </c>
      <c r="M6" s="15">
        <f t="shared" si="2"/>
        <v>5.1726618705035969</v>
      </c>
      <c r="N6" s="10" t="str">
        <f t="shared" si="3"/>
        <v>NO</v>
      </c>
    </row>
    <row r="7" spans="1:26" ht="15.75" customHeight="1" x14ac:dyDescent="0.2">
      <c r="A7" s="5" t="s">
        <v>125</v>
      </c>
      <c r="B7" s="5" t="s">
        <v>135</v>
      </c>
      <c r="C7" s="5" t="s">
        <v>136</v>
      </c>
      <c r="D7" s="6" t="s">
        <v>138</v>
      </c>
      <c r="E7" s="7">
        <v>2126</v>
      </c>
      <c r="F7" s="7">
        <v>3194.21</v>
      </c>
      <c r="G7" s="7">
        <v>1068.21</v>
      </c>
      <c r="H7" s="8">
        <v>50.25</v>
      </c>
      <c r="I7" s="7">
        <v>3865</v>
      </c>
      <c r="J7" s="7">
        <v>0</v>
      </c>
      <c r="K7" s="7">
        <f t="shared" si="0"/>
        <v>1068.21</v>
      </c>
      <c r="L7" s="7">
        <f t="shared" si="1"/>
        <v>640.92600000000004</v>
      </c>
      <c r="M7" s="9">
        <f t="shared" si="2"/>
        <v>2.9902453637393394</v>
      </c>
      <c r="N7" s="10" t="str">
        <f t="shared" si="3"/>
        <v>SI</v>
      </c>
    </row>
    <row r="8" spans="1:26" ht="15.75" customHeight="1" x14ac:dyDescent="0.2">
      <c r="A8" s="11" t="s">
        <v>125</v>
      </c>
      <c r="B8" s="11" t="s">
        <v>139</v>
      </c>
      <c r="C8" s="11" t="s">
        <v>140</v>
      </c>
      <c r="D8" s="12" t="s">
        <v>141</v>
      </c>
      <c r="E8" s="13">
        <v>2385</v>
      </c>
      <c r="F8" s="13">
        <v>3582.64</v>
      </c>
      <c r="G8" s="13">
        <v>1197.6400000000001</v>
      </c>
      <c r="H8" s="14">
        <v>50.22</v>
      </c>
      <c r="I8" s="13">
        <v>4335</v>
      </c>
      <c r="J8" s="13">
        <v>0</v>
      </c>
      <c r="K8" s="13">
        <f t="shared" si="0"/>
        <v>1197.6400000000001</v>
      </c>
      <c r="L8" s="13">
        <f t="shared" si="1"/>
        <v>718.58400000000006</v>
      </c>
      <c r="M8" s="15">
        <f t="shared" si="2"/>
        <v>2.9914164523563005</v>
      </c>
      <c r="N8" s="10" t="str">
        <f t="shared" si="3"/>
        <v>SI</v>
      </c>
    </row>
    <row r="9" spans="1:26" ht="15.75" customHeight="1" x14ac:dyDescent="0.2">
      <c r="A9" s="5" t="s">
        <v>125</v>
      </c>
      <c r="B9" s="5" t="s">
        <v>142</v>
      </c>
      <c r="C9" s="5" t="s">
        <v>143</v>
      </c>
      <c r="D9" s="6" t="s">
        <v>144</v>
      </c>
      <c r="E9" s="7">
        <v>361</v>
      </c>
      <c r="F9" s="7">
        <v>541.32000000000005</v>
      </c>
      <c r="G9" s="7">
        <v>180.32</v>
      </c>
      <c r="H9" s="17">
        <v>49.95</v>
      </c>
      <c r="I9" s="7">
        <v>655</v>
      </c>
      <c r="J9" s="7">
        <v>50</v>
      </c>
      <c r="K9" s="7">
        <f t="shared" si="0"/>
        <v>130.32</v>
      </c>
      <c r="L9" s="7">
        <f t="shared" si="1"/>
        <v>78.191999999999993</v>
      </c>
      <c r="M9" s="9">
        <f t="shared" si="2"/>
        <v>4.15377532228361</v>
      </c>
      <c r="N9" s="10" t="str">
        <f t="shared" si="3"/>
        <v>SI</v>
      </c>
    </row>
    <row r="10" spans="1:26" ht="15.75" customHeight="1" x14ac:dyDescent="0.2">
      <c r="A10" s="11" t="s">
        <v>125</v>
      </c>
      <c r="B10" s="11" t="s">
        <v>145</v>
      </c>
      <c r="C10" s="11" t="s">
        <v>146</v>
      </c>
      <c r="D10" s="12" t="s">
        <v>147</v>
      </c>
      <c r="E10" s="13">
        <v>531</v>
      </c>
      <c r="F10" s="13">
        <v>797.52</v>
      </c>
      <c r="G10" s="13">
        <v>266.52</v>
      </c>
      <c r="H10" s="14">
        <v>50.19</v>
      </c>
      <c r="I10" s="13">
        <v>965</v>
      </c>
      <c r="J10" s="13">
        <v>0</v>
      </c>
      <c r="K10" s="13">
        <f t="shared" si="0"/>
        <v>266.52</v>
      </c>
      <c r="L10" s="13">
        <f t="shared" si="1"/>
        <v>159.91199999999998</v>
      </c>
      <c r="M10" s="15">
        <f t="shared" si="2"/>
        <v>2.9923457901846016</v>
      </c>
      <c r="N10" s="10" t="str">
        <f t="shared" si="3"/>
        <v>SI</v>
      </c>
    </row>
    <row r="11" spans="1:26" ht="15.75" customHeight="1" x14ac:dyDescent="0.2">
      <c r="A11" s="5" t="s">
        <v>125</v>
      </c>
      <c r="B11" s="5" t="s">
        <v>148</v>
      </c>
      <c r="C11" s="5" t="s">
        <v>149</v>
      </c>
      <c r="D11" s="6" t="s">
        <v>150</v>
      </c>
      <c r="E11" s="7">
        <v>674</v>
      </c>
      <c r="F11" s="7">
        <v>1012.4</v>
      </c>
      <c r="G11" s="7">
        <v>338.4</v>
      </c>
      <c r="H11" s="8">
        <v>50.21</v>
      </c>
      <c r="I11" s="7">
        <v>1225</v>
      </c>
      <c r="J11" s="7">
        <v>0</v>
      </c>
      <c r="K11" s="7">
        <f t="shared" si="0"/>
        <v>338.4</v>
      </c>
      <c r="L11" s="7">
        <f t="shared" si="1"/>
        <v>203.04</v>
      </c>
      <c r="M11" s="9">
        <f t="shared" si="2"/>
        <v>2.9917257683215133</v>
      </c>
      <c r="N11" s="10" t="str">
        <f t="shared" si="3"/>
        <v>SI</v>
      </c>
    </row>
    <row r="12" spans="1:26" ht="15.75" customHeight="1" x14ac:dyDescent="0.2">
      <c r="A12" s="11" t="s">
        <v>125</v>
      </c>
      <c r="B12" s="11" t="s">
        <v>151</v>
      </c>
      <c r="C12" s="11" t="s">
        <v>152</v>
      </c>
      <c r="D12" s="12" t="s">
        <v>153</v>
      </c>
      <c r="E12" s="13">
        <v>154</v>
      </c>
      <c r="F12" s="13">
        <v>231.4</v>
      </c>
      <c r="G12" s="13">
        <v>77.400000000000006</v>
      </c>
      <c r="H12" s="14">
        <v>50.26</v>
      </c>
      <c r="I12" s="13">
        <v>280</v>
      </c>
      <c r="J12" s="13">
        <v>0</v>
      </c>
      <c r="K12" s="13">
        <f t="shared" si="0"/>
        <v>77.400000000000006</v>
      </c>
      <c r="L12" s="13">
        <f t="shared" si="1"/>
        <v>46.440000000000005</v>
      </c>
      <c r="M12" s="15">
        <f t="shared" si="2"/>
        <v>2.9896640826873382</v>
      </c>
      <c r="N12" s="10" t="str">
        <f t="shared" si="3"/>
        <v>SI</v>
      </c>
    </row>
    <row r="13" spans="1:26" ht="15.75" customHeight="1" x14ac:dyDescent="0.2">
      <c r="A13" s="5" t="s">
        <v>125</v>
      </c>
      <c r="B13" s="5" t="s">
        <v>154</v>
      </c>
      <c r="C13" s="5" t="s">
        <v>155</v>
      </c>
      <c r="D13" s="6" t="s">
        <v>156</v>
      </c>
      <c r="E13" s="7">
        <v>215</v>
      </c>
      <c r="F13" s="7">
        <v>322.31</v>
      </c>
      <c r="G13" s="7">
        <v>107.31</v>
      </c>
      <c r="H13" s="17">
        <v>49.91</v>
      </c>
      <c r="I13" s="7">
        <v>390</v>
      </c>
      <c r="J13" s="7">
        <v>50</v>
      </c>
      <c r="K13" s="7">
        <f t="shared" si="0"/>
        <v>57.31</v>
      </c>
      <c r="L13" s="7">
        <f t="shared" si="1"/>
        <v>34.386000000000003</v>
      </c>
      <c r="M13" s="9">
        <f t="shared" si="2"/>
        <v>5.623974873495027</v>
      </c>
      <c r="N13" s="10" t="str">
        <f t="shared" si="3"/>
        <v>NO</v>
      </c>
    </row>
    <row r="14" spans="1:26" ht="15.75" customHeight="1" x14ac:dyDescent="0.2">
      <c r="A14" s="11" t="s">
        <v>125</v>
      </c>
      <c r="B14" s="11" t="s">
        <v>157</v>
      </c>
      <c r="C14" s="11" t="s">
        <v>158</v>
      </c>
      <c r="D14" s="12" t="s">
        <v>159</v>
      </c>
      <c r="E14" s="13">
        <v>1406</v>
      </c>
      <c r="F14" s="13">
        <v>2111.5700000000002</v>
      </c>
      <c r="G14" s="13">
        <v>705.57</v>
      </c>
      <c r="H14" s="14">
        <v>50.18</v>
      </c>
      <c r="I14" s="13">
        <v>2555</v>
      </c>
      <c r="J14" s="13">
        <v>0</v>
      </c>
      <c r="K14" s="13">
        <f t="shared" si="0"/>
        <v>705.57</v>
      </c>
      <c r="L14" s="13">
        <f t="shared" si="1"/>
        <v>423.34200000000004</v>
      </c>
      <c r="M14" s="15">
        <f t="shared" si="2"/>
        <v>2.9927151097694065</v>
      </c>
      <c r="N14" s="10" t="str">
        <f t="shared" si="3"/>
        <v>SI</v>
      </c>
    </row>
    <row r="15" spans="1:26" ht="15.75" customHeight="1" x14ac:dyDescent="0.2">
      <c r="A15" s="5" t="s">
        <v>125</v>
      </c>
      <c r="B15" s="5" t="s">
        <v>160</v>
      </c>
      <c r="C15" s="5" t="s">
        <v>161</v>
      </c>
      <c r="D15" s="6" t="s">
        <v>162</v>
      </c>
      <c r="E15" s="7">
        <v>1609</v>
      </c>
      <c r="F15" s="7">
        <v>2417.36</v>
      </c>
      <c r="G15" s="7">
        <v>808.36</v>
      </c>
      <c r="H15" s="8">
        <v>50.24</v>
      </c>
      <c r="I15" s="7">
        <v>2925</v>
      </c>
      <c r="J15" s="7">
        <v>0</v>
      </c>
      <c r="K15" s="7">
        <f t="shared" si="0"/>
        <v>808.36</v>
      </c>
      <c r="L15" s="7">
        <f t="shared" si="1"/>
        <v>485.01599999999996</v>
      </c>
      <c r="M15" s="9">
        <f t="shared" si="2"/>
        <v>2.9904497995942405</v>
      </c>
      <c r="N15" s="10" t="str">
        <f t="shared" si="3"/>
        <v>SI</v>
      </c>
    </row>
    <row r="16" spans="1:26" ht="15.75" customHeight="1" x14ac:dyDescent="0.2">
      <c r="A16" s="11" t="s">
        <v>125</v>
      </c>
      <c r="B16" s="11" t="s">
        <v>163</v>
      </c>
      <c r="C16" s="11" t="s">
        <v>164</v>
      </c>
      <c r="D16" s="12" t="s">
        <v>165</v>
      </c>
      <c r="E16" s="13">
        <v>435</v>
      </c>
      <c r="F16" s="13">
        <v>652.89</v>
      </c>
      <c r="G16" s="13">
        <v>217.89</v>
      </c>
      <c r="H16" s="14">
        <v>50.09</v>
      </c>
      <c r="I16" s="13">
        <v>790</v>
      </c>
      <c r="J16" s="13">
        <v>50</v>
      </c>
      <c r="K16" s="13">
        <f t="shared" si="0"/>
        <v>167.89</v>
      </c>
      <c r="L16" s="13">
        <f t="shared" si="1"/>
        <v>100.73399999999999</v>
      </c>
      <c r="M16" s="15">
        <f t="shared" si="2"/>
        <v>3.8887962356304726</v>
      </c>
      <c r="N16" s="10" t="str">
        <f t="shared" si="3"/>
        <v>SI</v>
      </c>
    </row>
    <row r="17" spans="1:14" ht="15.75" customHeight="1" x14ac:dyDescent="0.2">
      <c r="A17" s="5" t="s">
        <v>125</v>
      </c>
      <c r="B17" s="5" t="s">
        <v>166</v>
      </c>
      <c r="C17" s="5" t="s">
        <v>167</v>
      </c>
      <c r="D17" s="6" t="s">
        <v>168</v>
      </c>
      <c r="E17" s="7">
        <v>636</v>
      </c>
      <c r="F17" s="7">
        <v>954.55</v>
      </c>
      <c r="G17" s="7">
        <v>318.55</v>
      </c>
      <c r="H17" s="8">
        <v>50.09</v>
      </c>
      <c r="I17" s="7">
        <v>1155</v>
      </c>
      <c r="J17" s="7">
        <v>0</v>
      </c>
      <c r="K17" s="7">
        <f t="shared" si="0"/>
        <v>318.55</v>
      </c>
      <c r="L17" s="7">
        <f t="shared" si="1"/>
        <v>191.13</v>
      </c>
      <c r="M17" s="9">
        <f t="shared" si="2"/>
        <v>2.9965468529273269</v>
      </c>
      <c r="N17" s="10" t="str">
        <f t="shared" si="3"/>
        <v>SI</v>
      </c>
    </row>
    <row r="18" spans="1:14" ht="15.75" customHeight="1" x14ac:dyDescent="0.2">
      <c r="A18" s="11" t="s">
        <v>125</v>
      </c>
      <c r="B18" s="11" t="s">
        <v>169</v>
      </c>
      <c r="C18" s="11" t="s">
        <v>170</v>
      </c>
      <c r="D18" s="12" t="s">
        <v>171</v>
      </c>
      <c r="E18" s="13">
        <v>806</v>
      </c>
      <c r="F18" s="13">
        <v>1210.74</v>
      </c>
      <c r="G18" s="13">
        <v>404.74</v>
      </c>
      <c r="H18" s="14">
        <v>50.22</v>
      </c>
      <c r="I18" s="13">
        <v>1465</v>
      </c>
      <c r="J18" s="13">
        <v>0</v>
      </c>
      <c r="K18" s="13">
        <f t="shared" si="0"/>
        <v>404.74</v>
      </c>
      <c r="L18" s="13">
        <f t="shared" si="1"/>
        <v>242.84399999999999</v>
      </c>
      <c r="M18" s="15">
        <f t="shared" si="2"/>
        <v>2.9914018876315658</v>
      </c>
      <c r="N18" s="10" t="str">
        <f t="shared" si="3"/>
        <v>SI</v>
      </c>
    </row>
    <row r="19" spans="1:14" ht="15.75" customHeight="1" x14ac:dyDescent="0.2">
      <c r="A19" s="5" t="s">
        <v>125</v>
      </c>
      <c r="B19" s="5" t="s">
        <v>172</v>
      </c>
      <c r="C19" s="5" t="s">
        <v>173</v>
      </c>
      <c r="D19" s="6" t="s">
        <v>174</v>
      </c>
      <c r="E19" s="7">
        <v>229</v>
      </c>
      <c r="F19" s="7">
        <v>342.98</v>
      </c>
      <c r="G19" s="7">
        <v>113.98</v>
      </c>
      <c r="H19" s="17">
        <v>49.77</v>
      </c>
      <c r="I19" s="7">
        <v>415</v>
      </c>
      <c r="J19" s="7">
        <v>50</v>
      </c>
      <c r="K19" s="7">
        <f t="shared" si="0"/>
        <v>63.980000000000004</v>
      </c>
      <c r="L19" s="7">
        <f t="shared" si="1"/>
        <v>38.387999999999998</v>
      </c>
      <c r="M19" s="9">
        <f t="shared" si="2"/>
        <v>5.3607377305407944</v>
      </c>
      <c r="N19" s="10" t="str">
        <f t="shared" si="3"/>
        <v>NO</v>
      </c>
    </row>
    <row r="20" spans="1:14" ht="15.75" customHeight="1" x14ac:dyDescent="0.2">
      <c r="A20" s="11" t="s">
        <v>125</v>
      </c>
      <c r="B20" s="11" t="s">
        <v>175</v>
      </c>
      <c r="C20" s="11" t="s">
        <v>176</v>
      </c>
      <c r="D20" s="12" t="s">
        <v>177</v>
      </c>
      <c r="E20" s="13">
        <v>176</v>
      </c>
      <c r="F20" s="13">
        <v>264.45999999999998</v>
      </c>
      <c r="G20" s="13">
        <v>88.46</v>
      </c>
      <c r="H20" s="14">
        <v>50.26</v>
      </c>
      <c r="I20" s="13">
        <v>320</v>
      </c>
      <c r="J20" s="13">
        <v>50</v>
      </c>
      <c r="K20" s="13">
        <f t="shared" si="0"/>
        <v>38.459999999999994</v>
      </c>
      <c r="L20" s="13">
        <f t="shared" si="1"/>
        <v>23.075999999999997</v>
      </c>
      <c r="M20" s="15">
        <f t="shared" si="2"/>
        <v>6.8762350494019771</v>
      </c>
      <c r="N20" s="10" t="str">
        <f t="shared" si="3"/>
        <v>NO</v>
      </c>
    </row>
    <row r="21" spans="1:14" ht="15.75" customHeight="1" x14ac:dyDescent="0.2">
      <c r="A21" s="5" t="s">
        <v>125</v>
      </c>
      <c r="B21" s="5" t="s">
        <v>178</v>
      </c>
      <c r="C21" s="5" t="s">
        <v>179</v>
      </c>
      <c r="D21" s="6" t="s">
        <v>180</v>
      </c>
      <c r="E21" s="7">
        <v>1736</v>
      </c>
      <c r="F21" s="7">
        <v>2607.44</v>
      </c>
      <c r="G21" s="7">
        <v>871.44</v>
      </c>
      <c r="H21" s="8">
        <v>50.2</v>
      </c>
      <c r="I21" s="7">
        <v>3155</v>
      </c>
      <c r="J21" s="7">
        <v>0</v>
      </c>
      <c r="K21" s="7">
        <f t="shared" si="0"/>
        <v>871.44</v>
      </c>
      <c r="L21" s="7">
        <f t="shared" si="1"/>
        <v>522.86400000000003</v>
      </c>
      <c r="M21" s="9">
        <f t="shared" si="2"/>
        <v>2.9921050215734875</v>
      </c>
      <c r="N21" s="10" t="str">
        <f t="shared" si="3"/>
        <v>SI</v>
      </c>
    </row>
    <row r="22" spans="1:14" ht="15.75" customHeight="1" x14ac:dyDescent="0.2">
      <c r="A22" s="11" t="s">
        <v>125</v>
      </c>
      <c r="B22" s="11" t="s">
        <v>181</v>
      </c>
      <c r="C22" s="11" t="s">
        <v>182</v>
      </c>
      <c r="D22" s="12" t="s">
        <v>183</v>
      </c>
      <c r="E22" s="13">
        <v>1906</v>
      </c>
      <c r="F22" s="13">
        <v>2863.64</v>
      </c>
      <c r="G22" s="13">
        <v>957.64</v>
      </c>
      <c r="H22" s="14">
        <v>50.24</v>
      </c>
      <c r="I22" s="13">
        <v>3465</v>
      </c>
      <c r="J22" s="13">
        <v>0</v>
      </c>
      <c r="K22" s="13">
        <f t="shared" si="0"/>
        <v>957.64</v>
      </c>
      <c r="L22" s="13">
        <f t="shared" si="1"/>
        <v>574.58399999999995</v>
      </c>
      <c r="M22" s="15">
        <f t="shared" si="2"/>
        <v>2.9903095108809157</v>
      </c>
      <c r="N22" s="10" t="str">
        <f t="shared" si="3"/>
        <v>SI</v>
      </c>
    </row>
    <row r="23" spans="1:14" ht="15.75" customHeight="1" x14ac:dyDescent="0.2">
      <c r="A23" s="5" t="s">
        <v>125</v>
      </c>
      <c r="B23" s="5" t="s">
        <v>184</v>
      </c>
      <c r="C23" s="5" t="s">
        <v>185</v>
      </c>
      <c r="D23" s="6" t="s">
        <v>186</v>
      </c>
      <c r="E23" s="7">
        <v>462</v>
      </c>
      <c r="F23" s="7">
        <v>694.21</v>
      </c>
      <c r="G23" s="7">
        <v>232.21</v>
      </c>
      <c r="H23" s="8">
        <v>50.26</v>
      </c>
      <c r="I23" s="7">
        <v>840</v>
      </c>
      <c r="J23" s="7">
        <v>50</v>
      </c>
      <c r="K23" s="7">
        <f t="shared" si="0"/>
        <v>182.21</v>
      </c>
      <c r="L23" s="7">
        <f t="shared" si="1"/>
        <v>109.32600000000001</v>
      </c>
      <c r="M23" s="9">
        <f t="shared" si="2"/>
        <v>3.8099445694528291</v>
      </c>
      <c r="N23" s="10" t="str">
        <f t="shared" si="3"/>
        <v>SI</v>
      </c>
    </row>
    <row r="24" spans="1:14" ht="15.75" customHeight="1" x14ac:dyDescent="0.2">
      <c r="A24" s="11" t="s">
        <v>125</v>
      </c>
      <c r="B24" s="11" t="s">
        <v>187</v>
      </c>
      <c r="C24" s="11" t="s">
        <v>188</v>
      </c>
      <c r="D24" s="12" t="s">
        <v>189</v>
      </c>
      <c r="E24" s="13">
        <v>660</v>
      </c>
      <c r="F24" s="13">
        <v>991.74</v>
      </c>
      <c r="G24" s="13">
        <v>331.74</v>
      </c>
      <c r="H24" s="14">
        <v>50.26</v>
      </c>
      <c r="I24" s="13">
        <v>1200</v>
      </c>
      <c r="J24" s="13">
        <v>0</v>
      </c>
      <c r="K24" s="13">
        <f t="shared" si="0"/>
        <v>331.74</v>
      </c>
      <c r="L24" s="13">
        <f t="shared" si="1"/>
        <v>199.04400000000001</v>
      </c>
      <c r="M24" s="15">
        <f t="shared" si="2"/>
        <v>2.9895098571170191</v>
      </c>
      <c r="N24" s="10" t="str">
        <f t="shared" si="3"/>
        <v>SI</v>
      </c>
    </row>
    <row r="25" spans="1:14" ht="15.75" customHeight="1" x14ac:dyDescent="0.2">
      <c r="A25" s="5" t="s">
        <v>125</v>
      </c>
      <c r="B25" s="5" t="s">
        <v>190</v>
      </c>
      <c r="C25" s="5" t="s">
        <v>191</v>
      </c>
      <c r="D25" s="6" t="s">
        <v>192</v>
      </c>
      <c r="E25" s="7">
        <v>836</v>
      </c>
      <c r="F25" s="7">
        <v>1256.2</v>
      </c>
      <c r="G25" s="7">
        <v>420.2</v>
      </c>
      <c r="H25" s="8">
        <v>50.26</v>
      </c>
      <c r="I25" s="7">
        <v>1520</v>
      </c>
      <c r="J25" s="7">
        <v>0</v>
      </c>
      <c r="K25" s="7">
        <f t="shared" si="0"/>
        <v>420.2</v>
      </c>
      <c r="L25" s="7">
        <f t="shared" si="1"/>
        <v>252.11999999999998</v>
      </c>
      <c r="M25" s="9">
        <f t="shared" si="2"/>
        <v>2.9895287958115184</v>
      </c>
      <c r="N25" s="10" t="str">
        <f t="shared" si="3"/>
        <v>SI</v>
      </c>
    </row>
    <row r="26" spans="1:14" ht="15.75" customHeight="1" x14ac:dyDescent="0.2">
      <c r="A26" s="11" t="s">
        <v>125</v>
      </c>
      <c r="B26" s="11" t="s">
        <v>193</v>
      </c>
      <c r="C26" s="11" t="s">
        <v>194</v>
      </c>
      <c r="D26" s="12" t="s">
        <v>195</v>
      </c>
      <c r="E26" s="13">
        <v>149</v>
      </c>
      <c r="F26" s="13">
        <v>223.14</v>
      </c>
      <c r="G26" s="13">
        <v>74.14</v>
      </c>
      <c r="H26" s="16">
        <v>49.76</v>
      </c>
      <c r="I26" s="13">
        <v>270</v>
      </c>
      <c r="J26" s="13">
        <v>0</v>
      </c>
      <c r="K26" s="13">
        <f t="shared" si="0"/>
        <v>74.14</v>
      </c>
      <c r="L26" s="13">
        <f t="shared" si="1"/>
        <v>44.484000000000002</v>
      </c>
      <c r="M26" s="15">
        <f t="shared" si="2"/>
        <v>3.0097113568923657</v>
      </c>
      <c r="N26" s="10" t="str">
        <f t="shared" si="3"/>
        <v>SI</v>
      </c>
    </row>
    <row r="27" spans="1:14" ht="15.75" customHeight="1" x14ac:dyDescent="0.2">
      <c r="A27" s="5" t="s">
        <v>125</v>
      </c>
      <c r="B27" s="5" t="s">
        <v>196</v>
      </c>
      <c r="C27" s="5" t="s">
        <v>197</v>
      </c>
      <c r="D27" s="6" t="s">
        <v>198</v>
      </c>
      <c r="E27" s="7">
        <v>1738</v>
      </c>
      <c r="F27" s="7">
        <v>2611.5700000000002</v>
      </c>
      <c r="G27" s="7">
        <v>873.57</v>
      </c>
      <c r="H27" s="8">
        <v>50.26</v>
      </c>
      <c r="I27" s="7">
        <v>3160</v>
      </c>
      <c r="J27" s="7">
        <v>0</v>
      </c>
      <c r="K27" s="7">
        <f t="shared" si="0"/>
        <v>873.57</v>
      </c>
      <c r="L27" s="7">
        <f t="shared" si="1"/>
        <v>524.14200000000005</v>
      </c>
      <c r="M27" s="9">
        <f t="shared" si="2"/>
        <v>2.9895371864876314</v>
      </c>
      <c r="N27" s="10" t="str">
        <f t="shared" si="3"/>
        <v>SI</v>
      </c>
    </row>
    <row r="28" spans="1:14" ht="15.75" customHeight="1" x14ac:dyDescent="0.2">
      <c r="A28" s="11" t="s">
        <v>125</v>
      </c>
      <c r="B28" s="11" t="s">
        <v>199</v>
      </c>
      <c r="C28" s="11" t="s">
        <v>200</v>
      </c>
      <c r="D28" s="12" t="s">
        <v>201</v>
      </c>
      <c r="E28" s="13">
        <v>1975</v>
      </c>
      <c r="F28" s="13">
        <v>2966.94</v>
      </c>
      <c r="G28" s="13">
        <v>991.94</v>
      </c>
      <c r="H28" s="14">
        <v>50.22</v>
      </c>
      <c r="I28" s="13">
        <v>3590</v>
      </c>
      <c r="J28" s="13">
        <v>0</v>
      </c>
      <c r="K28" s="13">
        <f t="shared" si="0"/>
        <v>991.94</v>
      </c>
      <c r="L28" s="13">
        <f t="shared" si="1"/>
        <v>595.16399999999999</v>
      </c>
      <c r="M28" s="15">
        <f t="shared" si="2"/>
        <v>2.9910478456358245</v>
      </c>
      <c r="N28" s="10" t="str">
        <f t="shared" si="3"/>
        <v>SI</v>
      </c>
    </row>
    <row r="29" spans="1:14" ht="15.75" customHeight="1" x14ac:dyDescent="0.2">
      <c r="A29" s="5" t="s">
        <v>125</v>
      </c>
      <c r="B29" s="5" t="s">
        <v>202</v>
      </c>
      <c r="C29" s="5" t="s">
        <v>203</v>
      </c>
      <c r="D29" s="6" t="s">
        <v>204</v>
      </c>
      <c r="E29" s="7">
        <v>361</v>
      </c>
      <c r="F29" s="7">
        <v>541.32000000000005</v>
      </c>
      <c r="G29" s="7">
        <v>180.32</v>
      </c>
      <c r="H29" s="17">
        <v>49.95</v>
      </c>
      <c r="I29" s="7">
        <v>655</v>
      </c>
      <c r="J29" s="7">
        <v>50</v>
      </c>
      <c r="K29" s="7">
        <f t="shared" si="0"/>
        <v>130.32</v>
      </c>
      <c r="L29" s="7">
        <f t="shared" si="1"/>
        <v>78.191999999999993</v>
      </c>
      <c r="M29" s="9">
        <f t="shared" si="2"/>
        <v>4.15377532228361</v>
      </c>
      <c r="N29" s="10" t="str">
        <f t="shared" si="3"/>
        <v>SI</v>
      </c>
    </row>
    <row r="30" spans="1:14" ht="15.75" customHeight="1" x14ac:dyDescent="0.2">
      <c r="A30" s="11" t="s">
        <v>125</v>
      </c>
      <c r="B30" s="11" t="s">
        <v>205</v>
      </c>
      <c r="C30" s="11" t="s">
        <v>206</v>
      </c>
      <c r="D30" s="12" t="s">
        <v>207</v>
      </c>
      <c r="E30" s="13">
        <v>677</v>
      </c>
      <c r="F30" s="13">
        <v>1016.53</v>
      </c>
      <c r="G30" s="13">
        <v>339.53</v>
      </c>
      <c r="H30" s="14">
        <v>50.15</v>
      </c>
      <c r="I30" s="13">
        <v>1230</v>
      </c>
      <c r="J30" s="13">
        <v>0</v>
      </c>
      <c r="K30" s="13">
        <f t="shared" si="0"/>
        <v>339.53</v>
      </c>
      <c r="L30" s="13">
        <f t="shared" si="1"/>
        <v>203.71799999999999</v>
      </c>
      <c r="M30" s="15">
        <f t="shared" si="2"/>
        <v>2.9939327894442318</v>
      </c>
      <c r="N30" s="10" t="str">
        <f t="shared" si="3"/>
        <v>SI</v>
      </c>
    </row>
    <row r="31" spans="1:14" ht="15.75" customHeight="1" x14ac:dyDescent="0.2">
      <c r="A31" s="5" t="s">
        <v>125</v>
      </c>
      <c r="B31" s="5" t="s">
        <v>208</v>
      </c>
      <c r="C31" s="5" t="s">
        <v>209</v>
      </c>
      <c r="D31" s="6" t="s">
        <v>210</v>
      </c>
      <c r="E31" s="7">
        <v>479</v>
      </c>
      <c r="F31" s="7">
        <v>719.01</v>
      </c>
      <c r="G31" s="7">
        <v>240.01</v>
      </c>
      <c r="H31" s="8">
        <v>50.11</v>
      </c>
      <c r="I31" s="7">
        <v>870</v>
      </c>
      <c r="J31" s="7">
        <v>50</v>
      </c>
      <c r="K31" s="7">
        <f t="shared" si="0"/>
        <v>190.01</v>
      </c>
      <c r="L31" s="7">
        <f t="shared" si="1"/>
        <v>114.00599999999999</v>
      </c>
      <c r="M31" s="9">
        <f t="shared" si="2"/>
        <v>3.7840639966317564</v>
      </c>
      <c r="N31" s="10" t="str">
        <f t="shared" si="3"/>
        <v>SI</v>
      </c>
    </row>
    <row r="32" spans="1:14" ht="15.75" customHeight="1" x14ac:dyDescent="0.2">
      <c r="A32" s="11" t="s">
        <v>125</v>
      </c>
      <c r="B32" s="11" t="s">
        <v>211</v>
      </c>
      <c r="C32" s="11" t="s">
        <v>212</v>
      </c>
      <c r="D32" s="12" t="s">
        <v>213</v>
      </c>
      <c r="E32" s="13">
        <v>171</v>
      </c>
      <c r="F32" s="13">
        <v>256.2</v>
      </c>
      <c r="G32" s="13">
        <v>85.2</v>
      </c>
      <c r="H32" s="16">
        <v>49.82</v>
      </c>
      <c r="I32" s="13">
        <v>310</v>
      </c>
      <c r="J32" s="13">
        <v>50</v>
      </c>
      <c r="K32" s="13">
        <f t="shared" si="0"/>
        <v>35.200000000000003</v>
      </c>
      <c r="L32" s="13">
        <f t="shared" si="1"/>
        <v>21.12</v>
      </c>
      <c r="M32" s="15">
        <f t="shared" si="2"/>
        <v>7.2784090909090899</v>
      </c>
      <c r="N32" s="10" t="str">
        <f t="shared" si="3"/>
        <v>NO</v>
      </c>
    </row>
    <row r="33" spans="1:14" ht="15.75" customHeight="1" x14ac:dyDescent="0.2">
      <c r="A33" s="5" t="s">
        <v>125</v>
      </c>
      <c r="B33" s="5" t="s">
        <v>214</v>
      </c>
      <c r="C33" s="5" t="s">
        <v>215</v>
      </c>
      <c r="D33" s="6" t="s">
        <v>216</v>
      </c>
      <c r="E33" s="7">
        <v>1370</v>
      </c>
      <c r="F33" s="7">
        <v>2057.85</v>
      </c>
      <c r="G33" s="7">
        <v>687.85</v>
      </c>
      <c r="H33" s="8">
        <v>50.21</v>
      </c>
      <c r="I33" s="7">
        <v>2490</v>
      </c>
      <c r="J33" s="7">
        <v>0</v>
      </c>
      <c r="K33" s="7">
        <f t="shared" si="0"/>
        <v>687.85</v>
      </c>
      <c r="L33" s="7">
        <f t="shared" si="1"/>
        <v>412.71</v>
      </c>
      <c r="M33" s="9">
        <f t="shared" si="2"/>
        <v>2.9917133095878459</v>
      </c>
      <c r="N33" s="10" t="str">
        <f t="shared" si="3"/>
        <v>SI</v>
      </c>
    </row>
    <row r="34" spans="1:14" ht="15.75" customHeight="1" x14ac:dyDescent="0.2">
      <c r="A34" s="11" t="s">
        <v>125</v>
      </c>
      <c r="B34" s="11" t="s">
        <v>217</v>
      </c>
      <c r="C34" s="11" t="s">
        <v>218</v>
      </c>
      <c r="D34" s="12" t="s">
        <v>219</v>
      </c>
      <c r="E34" s="13">
        <v>1568</v>
      </c>
      <c r="F34" s="13">
        <v>2355.37</v>
      </c>
      <c r="G34" s="13">
        <v>787.37</v>
      </c>
      <c r="H34" s="14">
        <v>50.22</v>
      </c>
      <c r="I34" s="13">
        <v>2850</v>
      </c>
      <c r="J34" s="13">
        <v>0</v>
      </c>
      <c r="K34" s="13">
        <f t="shared" si="0"/>
        <v>787.37</v>
      </c>
      <c r="L34" s="13">
        <f t="shared" si="1"/>
        <v>472.42199999999997</v>
      </c>
      <c r="M34" s="15">
        <f t="shared" si="2"/>
        <v>2.9914398567382552</v>
      </c>
      <c r="N34" s="10" t="str">
        <f t="shared" si="3"/>
        <v>SI</v>
      </c>
    </row>
    <row r="35" spans="1:14" ht="15.75" customHeight="1" x14ac:dyDescent="0.2">
      <c r="A35" s="5" t="s">
        <v>125</v>
      </c>
      <c r="B35" s="5" t="s">
        <v>220</v>
      </c>
      <c r="C35" s="5" t="s">
        <v>221</v>
      </c>
      <c r="D35" s="6" t="s">
        <v>222</v>
      </c>
      <c r="E35" s="7">
        <v>443</v>
      </c>
      <c r="F35" s="7">
        <v>665.29</v>
      </c>
      <c r="G35" s="7">
        <v>222.29</v>
      </c>
      <c r="H35" s="8">
        <v>50.18</v>
      </c>
      <c r="I35" s="7">
        <v>805</v>
      </c>
      <c r="J35" s="7">
        <v>50</v>
      </c>
      <c r="K35" s="7">
        <f t="shared" si="0"/>
        <v>172.29</v>
      </c>
      <c r="L35" s="7">
        <f t="shared" si="1"/>
        <v>103.374</v>
      </c>
      <c r="M35" s="9">
        <f t="shared" si="2"/>
        <v>3.8614545243484821</v>
      </c>
      <c r="N35" s="10" t="str">
        <f t="shared" si="3"/>
        <v>SI</v>
      </c>
    </row>
    <row r="36" spans="1:14" ht="15.75" customHeight="1" x14ac:dyDescent="0.2">
      <c r="A36" s="11" t="s">
        <v>125</v>
      </c>
      <c r="B36" s="11" t="s">
        <v>223</v>
      </c>
      <c r="C36" s="11" t="s">
        <v>224</v>
      </c>
      <c r="D36" s="12" t="s">
        <v>225</v>
      </c>
      <c r="E36" s="13">
        <v>630</v>
      </c>
      <c r="F36" s="13">
        <v>946.28</v>
      </c>
      <c r="G36" s="13">
        <v>316.27999999999997</v>
      </c>
      <c r="H36" s="14">
        <v>50.2</v>
      </c>
      <c r="I36" s="13">
        <v>1145</v>
      </c>
      <c r="J36" s="13">
        <v>0</v>
      </c>
      <c r="K36" s="13">
        <f t="shared" si="0"/>
        <v>316.27999999999997</v>
      </c>
      <c r="L36" s="13">
        <f t="shared" si="1"/>
        <v>189.76799999999997</v>
      </c>
      <c r="M36" s="15">
        <f t="shared" si="2"/>
        <v>2.9919059061590998</v>
      </c>
      <c r="N36" s="10" t="str">
        <f t="shared" si="3"/>
        <v>SI</v>
      </c>
    </row>
    <row r="37" spans="1:14" ht="15.75" customHeight="1" x14ac:dyDescent="0.2">
      <c r="A37" s="5" t="s">
        <v>125</v>
      </c>
      <c r="B37" s="5" t="s">
        <v>226</v>
      </c>
      <c r="C37" s="5" t="s">
        <v>227</v>
      </c>
      <c r="D37" s="6" t="s">
        <v>228</v>
      </c>
      <c r="E37" s="7">
        <v>872</v>
      </c>
      <c r="F37" s="7">
        <v>1309.92</v>
      </c>
      <c r="G37" s="7">
        <v>437.92</v>
      </c>
      <c r="H37" s="8">
        <v>50.22</v>
      </c>
      <c r="I37" s="7">
        <v>1585</v>
      </c>
      <c r="J37" s="7">
        <v>0</v>
      </c>
      <c r="K37" s="7">
        <f t="shared" si="0"/>
        <v>437.92</v>
      </c>
      <c r="L37" s="7">
        <f t="shared" si="1"/>
        <v>262.75200000000001</v>
      </c>
      <c r="M37" s="9">
        <f t="shared" si="2"/>
        <v>2.9912312751187433</v>
      </c>
      <c r="N37" s="10" t="str">
        <f t="shared" si="3"/>
        <v>SI</v>
      </c>
    </row>
    <row r="38" spans="1:14" ht="15.75" customHeight="1" x14ac:dyDescent="0.2">
      <c r="A38" s="11" t="s">
        <v>125</v>
      </c>
      <c r="B38" s="11" t="s">
        <v>229</v>
      </c>
      <c r="C38" s="11" t="s">
        <v>230</v>
      </c>
      <c r="D38" s="12" t="s">
        <v>231</v>
      </c>
      <c r="E38" s="13">
        <v>86</v>
      </c>
      <c r="F38" s="13">
        <v>128.1</v>
      </c>
      <c r="G38" s="13">
        <v>42.1</v>
      </c>
      <c r="H38" s="16">
        <v>48.95</v>
      </c>
      <c r="I38" s="13">
        <v>155</v>
      </c>
      <c r="J38" s="13">
        <v>0</v>
      </c>
      <c r="K38" s="13">
        <f t="shared" si="0"/>
        <v>42.1</v>
      </c>
      <c r="L38" s="13">
        <f t="shared" si="1"/>
        <v>25.26</v>
      </c>
      <c r="M38" s="15">
        <f t="shared" si="2"/>
        <v>3.042755344418052</v>
      </c>
      <c r="N38" s="10" t="str">
        <f t="shared" si="3"/>
        <v>SI</v>
      </c>
    </row>
    <row r="39" spans="1:14" ht="15.75" customHeight="1" x14ac:dyDescent="0.2">
      <c r="A39" s="5" t="s">
        <v>125</v>
      </c>
      <c r="B39" s="5" t="s">
        <v>232</v>
      </c>
      <c r="C39" s="5" t="s">
        <v>233</v>
      </c>
      <c r="D39" s="6" t="s">
        <v>234</v>
      </c>
      <c r="E39" s="7">
        <v>234</v>
      </c>
      <c r="F39" s="7">
        <v>351.24</v>
      </c>
      <c r="G39" s="7">
        <v>117.24</v>
      </c>
      <c r="H39" s="8">
        <v>50.1</v>
      </c>
      <c r="I39" s="7">
        <v>425</v>
      </c>
      <c r="J39" s="7">
        <v>50</v>
      </c>
      <c r="K39" s="7">
        <f t="shared" si="0"/>
        <v>67.239999999999995</v>
      </c>
      <c r="L39" s="7">
        <f t="shared" si="1"/>
        <v>40.343999999999994</v>
      </c>
      <c r="M39" s="9">
        <f t="shared" si="2"/>
        <v>5.2236763831052953</v>
      </c>
      <c r="N39" s="10" t="str">
        <f t="shared" si="3"/>
        <v>NO</v>
      </c>
    </row>
    <row r="40" spans="1:14" ht="15.75" customHeight="1" x14ac:dyDescent="0.2">
      <c r="A40" s="11" t="s">
        <v>125</v>
      </c>
      <c r="B40" s="11" t="s">
        <v>235</v>
      </c>
      <c r="C40" s="11" t="s">
        <v>236</v>
      </c>
      <c r="D40" s="12" t="s">
        <v>237</v>
      </c>
      <c r="E40" s="13">
        <v>396</v>
      </c>
      <c r="F40" s="13">
        <v>595.04</v>
      </c>
      <c r="G40" s="13">
        <v>199.04</v>
      </c>
      <c r="H40" s="14">
        <v>50.26</v>
      </c>
      <c r="I40" s="13">
        <v>720</v>
      </c>
      <c r="J40" s="13">
        <v>50</v>
      </c>
      <c r="K40" s="13">
        <f t="shared" si="0"/>
        <v>149.04</v>
      </c>
      <c r="L40" s="13">
        <f t="shared" si="1"/>
        <v>89.423999999999992</v>
      </c>
      <c r="M40" s="15">
        <f t="shared" si="2"/>
        <v>3.9924852388620504</v>
      </c>
      <c r="N40" s="10" t="str">
        <f t="shared" si="3"/>
        <v>SI</v>
      </c>
    </row>
    <row r="41" spans="1:14" ht="15.75" customHeight="1" x14ac:dyDescent="0.2">
      <c r="A41" s="5" t="s">
        <v>125</v>
      </c>
      <c r="B41" s="5" t="s">
        <v>238</v>
      </c>
      <c r="C41" s="5" t="s">
        <v>239</v>
      </c>
      <c r="D41" s="6" t="s">
        <v>240</v>
      </c>
      <c r="E41" s="7">
        <v>520</v>
      </c>
      <c r="F41" s="7">
        <v>780.99</v>
      </c>
      <c r="G41" s="7">
        <v>260.99</v>
      </c>
      <c r="H41" s="8">
        <v>50.19</v>
      </c>
      <c r="I41" s="7">
        <v>945</v>
      </c>
      <c r="J41" s="7">
        <v>0</v>
      </c>
      <c r="K41" s="7">
        <f t="shared" si="0"/>
        <v>260.99</v>
      </c>
      <c r="L41" s="7">
        <f t="shared" si="1"/>
        <v>156.59399999999999</v>
      </c>
      <c r="M41" s="9">
        <f t="shared" si="2"/>
        <v>2.9924135024330432</v>
      </c>
      <c r="N41" s="10" t="str">
        <f t="shared" si="3"/>
        <v>SI</v>
      </c>
    </row>
    <row r="42" spans="1:14" ht="15.75" customHeight="1" x14ac:dyDescent="0.2">
      <c r="A42" s="11" t="s">
        <v>125</v>
      </c>
      <c r="B42" s="11" t="s">
        <v>241</v>
      </c>
      <c r="C42" s="11" t="s">
        <v>242</v>
      </c>
      <c r="D42" s="12" t="s">
        <v>243</v>
      </c>
      <c r="E42" s="13">
        <v>154</v>
      </c>
      <c r="F42" s="13">
        <v>231.4</v>
      </c>
      <c r="G42" s="13">
        <v>77.400000000000006</v>
      </c>
      <c r="H42" s="14">
        <v>50.26</v>
      </c>
      <c r="I42" s="13">
        <v>280</v>
      </c>
      <c r="J42" s="13">
        <v>0</v>
      </c>
      <c r="K42" s="13">
        <f t="shared" si="0"/>
        <v>77.400000000000006</v>
      </c>
      <c r="L42" s="13">
        <f t="shared" si="1"/>
        <v>46.440000000000005</v>
      </c>
      <c r="M42" s="15">
        <f t="shared" si="2"/>
        <v>2.9896640826873382</v>
      </c>
      <c r="N42" s="10" t="str">
        <f t="shared" si="3"/>
        <v>SI</v>
      </c>
    </row>
    <row r="43" spans="1:14" ht="15.75" customHeight="1" x14ac:dyDescent="0.2">
      <c r="A43" s="5" t="s">
        <v>125</v>
      </c>
      <c r="B43" s="5" t="s">
        <v>244</v>
      </c>
      <c r="C43" s="5" t="s">
        <v>245</v>
      </c>
      <c r="D43" s="6" t="s">
        <v>246</v>
      </c>
      <c r="E43" s="7">
        <v>215</v>
      </c>
      <c r="F43" s="7">
        <v>322.31</v>
      </c>
      <c r="G43" s="7">
        <v>107.31</v>
      </c>
      <c r="H43" s="17">
        <v>49.91</v>
      </c>
      <c r="I43" s="7">
        <v>390</v>
      </c>
      <c r="J43" s="7">
        <v>50</v>
      </c>
      <c r="K43" s="7">
        <f t="shared" si="0"/>
        <v>57.31</v>
      </c>
      <c r="L43" s="7">
        <f t="shared" si="1"/>
        <v>34.386000000000003</v>
      </c>
      <c r="M43" s="9">
        <f t="shared" si="2"/>
        <v>5.623974873495027</v>
      </c>
      <c r="N43" s="10" t="str">
        <f t="shared" si="3"/>
        <v>NO</v>
      </c>
    </row>
    <row r="44" spans="1:14" ht="15.75" customHeight="1" x14ac:dyDescent="0.2">
      <c r="A44" s="11" t="s">
        <v>125</v>
      </c>
      <c r="B44" s="11" t="s">
        <v>247</v>
      </c>
      <c r="C44" s="11" t="s">
        <v>248</v>
      </c>
      <c r="D44" s="12" t="s">
        <v>249</v>
      </c>
      <c r="E44" s="13">
        <v>1018</v>
      </c>
      <c r="F44" s="13">
        <v>1528.93</v>
      </c>
      <c r="G44" s="13">
        <v>510.93</v>
      </c>
      <c r="H44" s="14">
        <v>50.19</v>
      </c>
      <c r="I44" s="13">
        <v>1850</v>
      </c>
      <c r="J44" s="13">
        <v>0</v>
      </c>
      <c r="K44" s="13">
        <f t="shared" si="0"/>
        <v>510.93</v>
      </c>
      <c r="L44" s="13">
        <f t="shared" si="1"/>
        <v>306.55799999999999</v>
      </c>
      <c r="M44" s="15">
        <f t="shared" si="2"/>
        <v>2.9924451490419433</v>
      </c>
      <c r="N44" s="10" t="str">
        <f t="shared" si="3"/>
        <v>SI</v>
      </c>
    </row>
    <row r="45" spans="1:14" ht="15.75" customHeight="1" x14ac:dyDescent="0.2">
      <c r="A45" s="5" t="s">
        <v>125</v>
      </c>
      <c r="B45" s="5" t="s">
        <v>250</v>
      </c>
      <c r="C45" s="5" t="s">
        <v>251</v>
      </c>
      <c r="D45" s="6" t="s">
        <v>252</v>
      </c>
      <c r="E45" s="7">
        <v>1202</v>
      </c>
      <c r="F45" s="7">
        <v>1805.79</v>
      </c>
      <c r="G45" s="7">
        <v>603.79</v>
      </c>
      <c r="H45" s="8">
        <v>50.23</v>
      </c>
      <c r="I45" s="7">
        <v>2185</v>
      </c>
      <c r="J45" s="7">
        <v>0</v>
      </c>
      <c r="K45" s="7">
        <f t="shared" si="0"/>
        <v>603.79</v>
      </c>
      <c r="L45" s="7">
        <f t="shared" si="1"/>
        <v>362.27399999999994</v>
      </c>
      <c r="M45" s="9">
        <f t="shared" si="2"/>
        <v>2.9907583762566454</v>
      </c>
      <c r="N45" s="10" t="str">
        <f t="shared" si="3"/>
        <v>SI</v>
      </c>
    </row>
    <row r="46" spans="1:14" ht="15.75" customHeight="1" x14ac:dyDescent="0.2">
      <c r="A46" s="11" t="s">
        <v>125</v>
      </c>
      <c r="B46" s="11" t="s">
        <v>253</v>
      </c>
      <c r="C46" s="11" t="s">
        <v>254</v>
      </c>
      <c r="D46" s="12" t="s">
        <v>255</v>
      </c>
      <c r="E46" s="13">
        <v>273</v>
      </c>
      <c r="F46" s="13">
        <v>409.09</v>
      </c>
      <c r="G46" s="13">
        <v>136.09</v>
      </c>
      <c r="H46" s="16">
        <v>49.85</v>
      </c>
      <c r="I46" s="13">
        <v>495</v>
      </c>
      <c r="J46" s="13">
        <v>50</v>
      </c>
      <c r="K46" s="13">
        <f t="shared" si="0"/>
        <v>86.09</v>
      </c>
      <c r="L46" s="13">
        <f t="shared" si="1"/>
        <v>51.654000000000003</v>
      </c>
      <c r="M46" s="15">
        <f t="shared" si="2"/>
        <v>4.7518875595307231</v>
      </c>
      <c r="N46" s="10" t="str">
        <f t="shared" si="3"/>
        <v>NO</v>
      </c>
    </row>
    <row r="47" spans="1:14" ht="15.75" customHeight="1" x14ac:dyDescent="0.2">
      <c r="A47" s="5" t="s">
        <v>125</v>
      </c>
      <c r="B47" s="5" t="s">
        <v>256</v>
      </c>
      <c r="C47" s="5" t="s">
        <v>257</v>
      </c>
      <c r="D47" s="6" t="s">
        <v>258</v>
      </c>
      <c r="E47" s="7">
        <v>432</v>
      </c>
      <c r="F47" s="7">
        <v>648.76</v>
      </c>
      <c r="G47" s="7">
        <v>216.76</v>
      </c>
      <c r="H47" s="8">
        <v>50.18</v>
      </c>
      <c r="I47" s="7">
        <v>785</v>
      </c>
      <c r="J47" s="7">
        <v>50</v>
      </c>
      <c r="K47" s="7">
        <f t="shared" si="0"/>
        <v>166.76</v>
      </c>
      <c r="L47" s="7">
        <f t="shared" si="1"/>
        <v>100.056</v>
      </c>
      <c r="M47" s="9">
        <f t="shared" si="2"/>
        <v>3.890381386423603</v>
      </c>
      <c r="N47" s="10" t="str">
        <f t="shared" si="3"/>
        <v>SI</v>
      </c>
    </row>
    <row r="48" spans="1:14" ht="15.75" customHeight="1" x14ac:dyDescent="0.2">
      <c r="A48" s="11" t="s">
        <v>125</v>
      </c>
      <c r="B48" s="11" t="s">
        <v>259</v>
      </c>
      <c r="C48" s="11" t="s">
        <v>260</v>
      </c>
      <c r="D48" s="12" t="s">
        <v>261</v>
      </c>
      <c r="E48" s="13">
        <v>548</v>
      </c>
      <c r="F48" s="13">
        <v>822.31</v>
      </c>
      <c r="G48" s="13">
        <v>274.31</v>
      </c>
      <c r="H48" s="14">
        <v>50.06</v>
      </c>
      <c r="I48" s="13">
        <v>995</v>
      </c>
      <c r="J48" s="13">
        <v>0</v>
      </c>
      <c r="K48" s="13">
        <f t="shared" si="0"/>
        <v>274.31</v>
      </c>
      <c r="L48" s="13">
        <f t="shared" si="1"/>
        <v>164.58599999999998</v>
      </c>
      <c r="M48" s="15">
        <f t="shared" si="2"/>
        <v>2.997739783456673</v>
      </c>
      <c r="N48" s="10" t="str">
        <f t="shared" si="3"/>
        <v>SI</v>
      </c>
    </row>
    <row r="49" spans="1:14" ht="15.75" customHeight="1" x14ac:dyDescent="0.2">
      <c r="A49" s="5" t="s">
        <v>125</v>
      </c>
      <c r="B49" s="5" t="s">
        <v>262</v>
      </c>
      <c r="C49" s="5" t="s">
        <v>263</v>
      </c>
      <c r="D49" s="6" t="s">
        <v>264</v>
      </c>
      <c r="E49" s="7">
        <v>1279</v>
      </c>
      <c r="F49" s="7">
        <v>1921.49</v>
      </c>
      <c r="G49" s="7">
        <v>642.49</v>
      </c>
      <c r="H49" s="8">
        <v>50.23</v>
      </c>
      <c r="I49" s="7">
        <v>2325</v>
      </c>
      <c r="J49" s="7">
        <v>0</v>
      </c>
      <c r="K49" s="7">
        <f t="shared" si="0"/>
        <v>642.49</v>
      </c>
      <c r="L49" s="7">
        <f t="shared" si="1"/>
        <v>385.49399999999997</v>
      </c>
      <c r="M49" s="9">
        <f t="shared" si="2"/>
        <v>2.9906924621394886</v>
      </c>
      <c r="N49" s="10" t="str">
        <f t="shared" si="3"/>
        <v>SI</v>
      </c>
    </row>
    <row r="50" spans="1:14" ht="15.75" customHeight="1" x14ac:dyDescent="0.2">
      <c r="A50" s="11" t="s">
        <v>125</v>
      </c>
      <c r="B50" s="11" t="s">
        <v>265</v>
      </c>
      <c r="C50" s="11" t="s">
        <v>266</v>
      </c>
      <c r="D50" s="12" t="s">
        <v>267</v>
      </c>
      <c r="E50" s="13">
        <v>1428</v>
      </c>
      <c r="F50" s="13">
        <v>2144.63</v>
      </c>
      <c r="G50" s="13">
        <v>716.63</v>
      </c>
      <c r="H50" s="14">
        <v>50.18</v>
      </c>
      <c r="I50" s="13">
        <v>2595</v>
      </c>
      <c r="J50" s="13">
        <v>0</v>
      </c>
      <c r="K50" s="13">
        <f t="shared" si="0"/>
        <v>716.63</v>
      </c>
      <c r="L50" s="13">
        <f t="shared" si="1"/>
        <v>429.97800000000001</v>
      </c>
      <c r="M50" s="15">
        <f t="shared" si="2"/>
        <v>2.992660089585979</v>
      </c>
      <c r="N50" s="10" t="str">
        <f t="shared" si="3"/>
        <v>SI</v>
      </c>
    </row>
    <row r="51" spans="1:14" ht="15.75" customHeight="1" x14ac:dyDescent="0.2">
      <c r="A51" s="5" t="s">
        <v>125</v>
      </c>
      <c r="B51" s="5" t="s">
        <v>268</v>
      </c>
      <c r="C51" s="5" t="s">
        <v>269</v>
      </c>
      <c r="D51" s="6" t="s">
        <v>270</v>
      </c>
      <c r="E51" s="7">
        <v>163</v>
      </c>
      <c r="F51" s="7">
        <v>243.8</v>
      </c>
      <c r="G51" s="7">
        <v>80.8</v>
      </c>
      <c r="H51" s="17">
        <v>49.57</v>
      </c>
      <c r="I51" s="7">
        <v>295</v>
      </c>
      <c r="J51" s="7">
        <v>0</v>
      </c>
      <c r="K51" s="7">
        <f t="shared" si="0"/>
        <v>80.8</v>
      </c>
      <c r="L51" s="7">
        <f t="shared" si="1"/>
        <v>48.48</v>
      </c>
      <c r="M51" s="9">
        <f t="shared" si="2"/>
        <v>3.0173267326732676</v>
      </c>
      <c r="N51" s="10" t="str">
        <f t="shared" si="3"/>
        <v>SI</v>
      </c>
    </row>
    <row r="52" spans="1:14" ht="15.75" customHeight="1" x14ac:dyDescent="0.2">
      <c r="A52" s="11" t="s">
        <v>125</v>
      </c>
      <c r="B52" s="11" t="s">
        <v>271</v>
      </c>
      <c r="C52" s="11" t="s">
        <v>272</v>
      </c>
      <c r="D52" s="12" t="s">
        <v>273</v>
      </c>
      <c r="E52" s="13">
        <v>462</v>
      </c>
      <c r="F52" s="13">
        <v>694.21</v>
      </c>
      <c r="G52" s="13">
        <v>232.21</v>
      </c>
      <c r="H52" s="14">
        <v>50.26</v>
      </c>
      <c r="I52" s="13">
        <v>840</v>
      </c>
      <c r="J52" s="13">
        <v>50</v>
      </c>
      <c r="K52" s="13">
        <f t="shared" si="0"/>
        <v>182.21</v>
      </c>
      <c r="L52" s="13">
        <f t="shared" si="1"/>
        <v>109.32600000000001</v>
      </c>
      <c r="M52" s="15">
        <f t="shared" si="2"/>
        <v>3.8099445694528291</v>
      </c>
      <c r="N52" s="10" t="str">
        <f t="shared" si="3"/>
        <v>SI</v>
      </c>
    </row>
    <row r="53" spans="1:14" ht="15.75" customHeight="1" x14ac:dyDescent="0.2">
      <c r="A53" s="5" t="s">
        <v>125</v>
      </c>
      <c r="B53" s="5" t="s">
        <v>274</v>
      </c>
      <c r="C53" s="5" t="s">
        <v>275</v>
      </c>
      <c r="D53" s="6" t="s">
        <v>276</v>
      </c>
      <c r="E53" s="7">
        <v>718</v>
      </c>
      <c r="F53" s="7">
        <v>1078.51</v>
      </c>
      <c r="G53" s="7">
        <v>360.51</v>
      </c>
      <c r="H53" s="8">
        <v>50.21</v>
      </c>
      <c r="I53" s="7">
        <v>1305</v>
      </c>
      <c r="J53" s="7">
        <v>0</v>
      </c>
      <c r="K53" s="7">
        <f t="shared" si="0"/>
        <v>360.51</v>
      </c>
      <c r="L53" s="7">
        <f t="shared" si="1"/>
        <v>216.30599999999998</v>
      </c>
      <c r="M53" s="9">
        <f t="shared" si="2"/>
        <v>2.9916229785581536</v>
      </c>
      <c r="N53" s="10" t="str">
        <f t="shared" si="3"/>
        <v>SI</v>
      </c>
    </row>
    <row r="54" spans="1:14" ht="15.75" customHeight="1" x14ac:dyDescent="0.2">
      <c r="A54" s="11" t="s">
        <v>125</v>
      </c>
      <c r="B54" s="11" t="s">
        <v>277</v>
      </c>
      <c r="C54" s="11" t="s">
        <v>278</v>
      </c>
      <c r="D54" s="12" t="s">
        <v>279</v>
      </c>
      <c r="E54" s="13">
        <v>957</v>
      </c>
      <c r="F54" s="13">
        <v>1438.02</v>
      </c>
      <c r="G54" s="13">
        <v>481.02</v>
      </c>
      <c r="H54" s="14">
        <v>50.26</v>
      </c>
      <c r="I54" s="13">
        <v>1740</v>
      </c>
      <c r="J54" s="13">
        <v>0</v>
      </c>
      <c r="K54" s="13">
        <f t="shared" si="0"/>
        <v>481.02</v>
      </c>
      <c r="L54" s="13">
        <f t="shared" si="1"/>
        <v>288.61199999999997</v>
      </c>
      <c r="M54" s="15">
        <f t="shared" si="2"/>
        <v>2.989522265186479</v>
      </c>
      <c r="N54" s="10" t="str">
        <f t="shared" si="3"/>
        <v>SI</v>
      </c>
    </row>
    <row r="55" spans="1:14" ht="15.75" customHeight="1" x14ac:dyDescent="0.2">
      <c r="A55" s="5" t="s">
        <v>125</v>
      </c>
      <c r="B55" s="5" t="s">
        <v>280</v>
      </c>
      <c r="C55" s="5" t="s">
        <v>281</v>
      </c>
      <c r="D55" s="6" t="s">
        <v>282</v>
      </c>
      <c r="E55" s="7">
        <v>259</v>
      </c>
      <c r="F55" s="7">
        <v>388.43</v>
      </c>
      <c r="G55" s="7">
        <v>129.43</v>
      </c>
      <c r="H55" s="17">
        <v>49.97</v>
      </c>
      <c r="I55" s="7">
        <v>470</v>
      </c>
      <c r="J55" s="7">
        <v>50</v>
      </c>
      <c r="K55" s="7">
        <f t="shared" si="0"/>
        <v>79.430000000000007</v>
      </c>
      <c r="L55" s="7">
        <f t="shared" si="1"/>
        <v>47.658000000000001</v>
      </c>
      <c r="M55" s="9">
        <f t="shared" si="2"/>
        <v>4.8902178018380962</v>
      </c>
      <c r="N55" s="10" t="str">
        <f t="shared" si="3"/>
        <v>NO</v>
      </c>
    </row>
    <row r="56" spans="1:14" ht="15.75" customHeight="1" x14ac:dyDescent="0.2">
      <c r="A56" s="11" t="s">
        <v>125</v>
      </c>
      <c r="B56" s="11" t="s">
        <v>283</v>
      </c>
      <c r="C56" s="11" t="s">
        <v>284</v>
      </c>
      <c r="D56" s="12" t="s">
        <v>285</v>
      </c>
      <c r="E56" s="13">
        <v>187</v>
      </c>
      <c r="F56" s="13">
        <v>280.99</v>
      </c>
      <c r="G56" s="13">
        <v>93.99</v>
      </c>
      <c r="H56" s="14">
        <v>50.26</v>
      </c>
      <c r="I56" s="13">
        <v>340</v>
      </c>
      <c r="J56" s="13">
        <v>50</v>
      </c>
      <c r="K56" s="13">
        <f t="shared" si="0"/>
        <v>43.989999999999995</v>
      </c>
      <c r="L56" s="13">
        <f t="shared" si="1"/>
        <v>26.393999999999995</v>
      </c>
      <c r="M56" s="15">
        <f t="shared" si="2"/>
        <v>6.3875880882018654</v>
      </c>
      <c r="N56" s="10" t="str">
        <f t="shared" si="3"/>
        <v>NO</v>
      </c>
    </row>
    <row r="57" spans="1:14" ht="15.75" customHeight="1" x14ac:dyDescent="0.2">
      <c r="A57" s="5" t="s">
        <v>125</v>
      </c>
      <c r="B57" s="5" t="s">
        <v>286</v>
      </c>
      <c r="C57" s="5" t="s">
        <v>287</v>
      </c>
      <c r="D57" s="6" t="s">
        <v>288</v>
      </c>
      <c r="E57" s="7">
        <v>1898</v>
      </c>
      <c r="F57" s="7">
        <v>2851.24</v>
      </c>
      <c r="G57" s="7">
        <v>953.24</v>
      </c>
      <c r="H57" s="8">
        <v>50.22</v>
      </c>
      <c r="I57" s="7">
        <v>3450</v>
      </c>
      <c r="J57" s="7">
        <v>0</v>
      </c>
      <c r="K57" s="7">
        <f t="shared" si="0"/>
        <v>953.24</v>
      </c>
      <c r="L57" s="7">
        <f t="shared" si="1"/>
        <v>571.94399999999996</v>
      </c>
      <c r="M57" s="9">
        <f t="shared" si="2"/>
        <v>2.9911040241701983</v>
      </c>
      <c r="N57" s="10" t="str">
        <f t="shared" si="3"/>
        <v>SI</v>
      </c>
    </row>
    <row r="58" spans="1:14" ht="15.75" customHeight="1" x14ac:dyDescent="0.2">
      <c r="A58" s="11" t="s">
        <v>125</v>
      </c>
      <c r="B58" s="11" t="s">
        <v>289</v>
      </c>
      <c r="C58" s="11" t="s">
        <v>290</v>
      </c>
      <c r="D58" s="12" t="s">
        <v>291</v>
      </c>
      <c r="E58" s="13">
        <v>2140</v>
      </c>
      <c r="F58" s="13">
        <v>3214.88</v>
      </c>
      <c r="G58" s="13">
        <v>1074.8800000000001</v>
      </c>
      <c r="H58" s="14">
        <v>50.23</v>
      </c>
      <c r="I58" s="13">
        <v>3890</v>
      </c>
      <c r="J58" s="13">
        <v>0</v>
      </c>
      <c r="K58" s="13">
        <f t="shared" si="0"/>
        <v>1074.8800000000001</v>
      </c>
      <c r="L58" s="13">
        <f t="shared" si="1"/>
        <v>644.928</v>
      </c>
      <c r="M58" s="15">
        <f t="shared" si="2"/>
        <v>2.9909199166418574</v>
      </c>
      <c r="N58" s="10" t="str">
        <f t="shared" si="3"/>
        <v>SI</v>
      </c>
    </row>
    <row r="59" spans="1:14" ht="15.75" customHeight="1" x14ac:dyDescent="0.2">
      <c r="A59" s="5" t="s">
        <v>125</v>
      </c>
      <c r="B59" s="5" t="s">
        <v>292</v>
      </c>
      <c r="C59" s="5" t="s">
        <v>293</v>
      </c>
      <c r="D59" s="6" t="s">
        <v>294</v>
      </c>
      <c r="E59" s="7">
        <v>429</v>
      </c>
      <c r="F59" s="7">
        <v>644.63</v>
      </c>
      <c r="G59" s="7">
        <v>215.63</v>
      </c>
      <c r="H59" s="8">
        <v>50.26</v>
      </c>
      <c r="I59" s="7">
        <v>780</v>
      </c>
      <c r="J59" s="7">
        <v>50</v>
      </c>
      <c r="K59" s="7">
        <f t="shared" si="0"/>
        <v>165.63</v>
      </c>
      <c r="L59" s="7">
        <f t="shared" si="1"/>
        <v>99.378</v>
      </c>
      <c r="M59" s="9">
        <f t="shared" si="2"/>
        <v>3.8919881663949769</v>
      </c>
      <c r="N59" s="10" t="str">
        <f t="shared" si="3"/>
        <v>SI</v>
      </c>
    </row>
    <row r="60" spans="1:14" ht="15.75" customHeight="1" x14ac:dyDescent="0.2">
      <c r="A60" s="11" t="s">
        <v>125</v>
      </c>
      <c r="B60" s="11" t="s">
        <v>295</v>
      </c>
      <c r="C60" s="11" t="s">
        <v>296</v>
      </c>
      <c r="D60" s="12" t="s">
        <v>297</v>
      </c>
      <c r="E60" s="13">
        <v>619</v>
      </c>
      <c r="F60" s="13">
        <v>929.75</v>
      </c>
      <c r="G60" s="13">
        <v>310.75</v>
      </c>
      <c r="H60" s="14">
        <v>50.2</v>
      </c>
      <c r="I60" s="13">
        <v>1125</v>
      </c>
      <c r="J60" s="13">
        <v>0</v>
      </c>
      <c r="K60" s="13">
        <f t="shared" si="0"/>
        <v>310.75</v>
      </c>
      <c r="L60" s="13">
        <f t="shared" si="1"/>
        <v>186.45</v>
      </c>
      <c r="M60" s="15">
        <f t="shared" si="2"/>
        <v>2.9919549477071601</v>
      </c>
      <c r="N60" s="10" t="str">
        <f t="shared" si="3"/>
        <v>SI</v>
      </c>
    </row>
    <row r="61" spans="1:14" ht="15.75" customHeight="1" x14ac:dyDescent="0.2">
      <c r="A61" s="5" t="s">
        <v>125</v>
      </c>
      <c r="B61" s="5" t="s">
        <v>298</v>
      </c>
      <c r="C61" s="5" t="s">
        <v>299</v>
      </c>
      <c r="D61" s="6" t="s">
        <v>300</v>
      </c>
      <c r="E61" s="7">
        <v>765</v>
      </c>
      <c r="F61" s="7">
        <v>1148.76</v>
      </c>
      <c r="G61" s="7">
        <v>383.76</v>
      </c>
      <c r="H61" s="8">
        <v>50.16</v>
      </c>
      <c r="I61" s="7">
        <v>1390</v>
      </c>
      <c r="J61" s="7">
        <v>0</v>
      </c>
      <c r="K61" s="7">
        <f t="shared" si="0"/>
        <v>383.76</v>
      </c>
      <c r="L61" s="7">
        <f t="shared" si="1"/>
        <v>230.256</v>
      </c>
      <c r="M61" s="9">
        <f t="shared" si="2"/>
        <v>2.9934333958724202</v>
      </c>
      <c r="N61" s="10" t="str">
        <f t="shared" si="3"/>
        <v>SI</v>
      </c>
    </row>
    <row r="62" spans="1:14" ht="15.75" customHeight="1" x14ac:dyDescent="0.2">
      <c r="A62" s="11" t="s">
        <v>125</v>
      </c>
      <c r="B62" s="11" t="s">
        <v>301</v>
      </c>
      <c r="C62" s="11" t="s">
        <v>302</v>
      </c>
      <c r="D62" s="12" t="s">
        <v>303</v>
      </c>
      <c r="E62" s="13">
        <v>325</v>
      </c>
      <c r="F62" s="13">
        <v>487.6</v>
      </c>
      <c r="G62" s="13">
        <v>162.6</v>
      </c>
      <c r="H62" s="14">
        <v>50.03</v>
      </c>
      <c r="I62" s="13">
        <v>590</v>
      </c>
      <c r="J62" s="13">
        <v>50</v>
      </c>
      <c r="K62" s="13">
        <f t="shared" si="0"/>
        <v>112.6</v>
      </c>
      <c r="L62" s="13">
        <f t="shared" si="1"/>
        <v>67.559999999999988</v>
      </c>
      <c r="M62" s="15">
        <f t="shared" si="2"/>
        <v>4.3303730017761994</v>
      </c>
      <c r="N62" s="10" t="str">
        <f t="shared" si="3"/>
        <v>SI</v>
      </c>
    </row>
    <row r="63" spans="1:14" ht="15.75" customHeight="1" x14ac:dyDescent="0.2">
      <c r="A63" s="5" t="s">
        <v>125</v>
      </c>
      <c r="B63" s="5" t="s">
        <v>304</v>
      </c>
      <c r="C63" s="5" t="s">
        <v>305</v>
      </c>
      <c r="D63" s="6" t="s">
        <v>306</v>
      </c>
      <c r="E63" s="7">
        <v>380</v>
      </c>
      <c r="F63" s="7">
        <v>570.25</v>
      </c>
      <c r="G63" s="7">
        <v>190.25</v>
      </c>
      <c r="H63" s="8">
        <v>50.07</v>
      </c>
      <c r="I63" s="7">
        <v>690</v>
      </c>
      <c r="J63" s="7">
        <v>50</v>
      </c>
      <c r="K63" s="7">
        <f t="shared" si="0"/>
        <v>140.25</v>
      </c>
      <c r="L63" s="7">
        <f t="shared" si="1"/>
        <v>84.149999999999991</v>
      </c>
      <c r="M63" s="9">
        <f t="shared" si="2"/>
        <v>4.0659536541889487</v>
      </c>
      <c r="N63" s="10" t="str">
        <f t="shared" si="3"/>
        <v>SI</v>
      </c>
    </row>
    <row r="64" spans="1:14" ht="15.75" customHeight="1" x14ac:dyDescent="0.2">
      <c r="A64" s="11" t="s">
        <v>125</v>
      </c>
      <c r="B64" s="11" t="s">
        <v>307</v>
      </c>
      <c r="C64" s="11" t="s">
        <v>308</v>
      </c>
      <c r="D64" s="12" t="s">
        <v>309</v>
      </c>
      <c r="E64" s="13">
        <v>231</v>
      </c>
      <c r="F64" s="13">
        <v>347.11</v>
      </c>
      <c r="G64" s="13">
        <v>116.11</v>
      </c>
      <c r="H64" s="14">
        <v>50.26</v>
      </c>
      <c r="I64" s="13">
        <v>420</v>
      </c>
      <c r="J64" s="13">
        <v>50</v>
      </c>
      <c r="K64" s="13">
        <f t="shared" si="0"/>
        <v>66.11</v>
      </c>
      <c r="L64" s="13">
        <f t="shared" si="1"/>
        <v>39.665999999999997</v>
      </c>
      <c r="M64" s="15">
        <f t="shared" si="2"/>
        <v>5.2504916049009234</v>
      </c>
      <c r="N64" s="10" t="str">
        <f t="shared" si="3"/>
        <v>NO</v>
      </c>
    </row>
    <row r="65" spans="1:14" ht="15.75" customHeight="1" x14ac:dyDescent="0.2">
      <c r="A65" s="5" t="s">
        <v>125</v>
      </c>
      <c r="B65" s="5" t="s">
        <v>310</v>
      </c>
      <c r="C65" s="5" t="s">
        <v>311</v>
      </c>
      <c r="D65" s="6" t="s">
        <v>312</v>
      </c>
      <c r="E65" s="7">
        <v>1802</v>
      </c>
      <c r="F65" s="7">
        <v>2706.61</v>
      </c>
      <c r="G65" s="7">
        <v>904.61</v>
      </c>
      <c r="H65" s="8">
        <v>50.2</v>
      </c>
      <c r="I65" s="7">
        <v>3275</v>
      </c>
      <c r="J65" s="7">
        <v>0</v>
      </c>
      <c r="K65" s="7">
        <f t="shared" si="0"/>
        <v>904.61</v>
      </c>
      <c r="L65" s="7">
        <f t="shared" si="1"/>
        <v>542.76599999999996</v>
      </c>
      <c r="M65" s="9">
        <f t="shared" si="2"/>
        <v>2.9920186599750171</v>
      </c>
      <c r="N65" s="10" t="str">
        <f t="shared" si="3"/>
        <v>SI</v>
      </c>
    </row>
    <row r="66" spans="1:14" ht="15.75" customHeight="1" x14ac:dyDescent="0.2">
      <c r="A66" s="11" t="s">
        <v>125</v>
      </c>
      <c r="B66" s="11" t="s">
        <v>313</v>
      </c>
      <c r="C66" s="11" t="s">
        <v>314</v>
      </c>
      <c r="D66" s="12" t="s">
        <v>315</v>
      </c>
      <c r="E66" s="13">
        <v>2002</v>
      </c>
      <c r="F66" s="13">
        <v>3008.26</v>
      </c>
      <c r="G66" s="13">
        <v>1006.26</v>
      </c>
      <c r="H66" s="14">
        <v>50.26</v>
      </c>
      <c r="I66" s="13">
        <v>3640</v>
      </c>
      <c r="J66" s="13">
        <v>0</v>
      </c>
      <c r="K66" s="13">
        <f t="shared" si="0"/>
        <v>1006.26</v>
      </c>
      <c r="L66" s="13">
        <f t="shared" si="1"/>
        <v>603.75599999999997</v>
      </c>
      <c r="M66" s="15">
        <f t="shared" si="2"/>
        <v>2.9895454455111006</v>
      </c>
      <c r="N66" s="10" t="str">
        <f t="shared" si="3"/>
        <v>SI</v>
      </c>
    </row>
    <row r="67" spans="1:14" ht="15.75" customHeight="1" x14ac:dyDescent="0.2">
      <c r="A67" s="5" t="s">
        <v>125</v>
      </c>
      <c r="B67" s="5" t="s">
        <v>316</v>
      </c>
      <c r="C67" s="5" t="s">
        <v>317</v>
      </c>
      <c r="D67" s="6" t="s">
        <v>318</v>
      </c>
      <c r="E67" s="7">
        <v>292</v>
      </c>
      <c r="F67" s="7">
        <v>438.02</v>
      </c>
      <c r="G67" s="7">
        <v>146.02000000000001</v>
      </c>
      <c r="H67" s="8">
        <v>50.01</v>
      </c>
      <c r="I67" s="7">
        <v>530</v>
      </c>
      <c r="J67" s="7">
        <v>50</v>
      </c>
      <c r="K67" s="7">
        <f t="shared" ref="K67:K130" si="4">G67-J67</f>
        <v>96.02000000000001</v>
      </c>
      <c r="L67" s="7">
        <f t="shared" ref="L67:L130" si="5">K67*$L$1</f>
        <v>57.612000000000002</v>
      </c>
      <c r="M67" s="9">
        <f t="shared" ref="M67:M130" si="6">F67/K67</f>
        <v>4.5617579670901884</v>
      </c>
      <c r="N67" s="10" t="str">
        <f t="shared" ref="N67:N130" si="7">IF(M67&lt;3.5,"SI",IF(M67&lt;4.5,IF(K67&gt;=100,"SI",IF(K67&gt;=40,"CUIDADO","NO")),IF(AND(M67&lt;5.5,F67&gt;=500,K67&gt;=80),"CUIDADO","NO")))</f>
        <v>NO</v>
      </c>
    </row>
    <row r="68" spans="1:14" ht="15.75" customHeight="1" x14ac:dyDescent="0.2">
      <c r="A68" s="11" t="s">
        <v>125</v>
      </c>
      <c r="B68" s="11" t="s">
        <v>319</v>
      </c>
      <c r="C68" s="11" t="s">
        <v>320</v>
      </c>
      <c r="D68" s="12" t="s">
        <v>321</v>
      </c>
      <c r="E68" s="13">
        <v>413</v>
      </c>
      <c r="F68" s="13">
        <v>619.83000000000004</v>
      </c>
      <c r="G68" s="13">
        <v>206.83</v>
      </c>
      <c r="H68" s="14">
        <v>50.08</v>
      </c>
      <c r="I68" s="13">
        <v>750</v>
      </c>
      <c r="J68" s="13">
        <v>50</v>
      </c>
      <c r="K68" s="13">
        <f t="shared" si="4"/>
        <v>156.83000000000001</v>
      </c>
      <c r="L68" s="13">
        <f t="shared" si="5"/>
        <v>94.097999999999999</v>
      </c>
      <c r="M68" s="15">
        <f t="shared" si="6"/>
        <v>3.9522412803672764</v>
      </c>
      <c r="N68" s="10" t="str">
        <f t="shared" si="7"/>
        <v>SI</v>
      </c>
    </row>
    <row r="69" spans="1:14" ht="15.75" customHeight="1" x14ac:dyDescent="0.2">
      <c r="A69" s="5" t="s">
        <v>125</v>
      </c>
      <c r="B69" s="5" t="s">
        <v>322</v>
      </c>
      <c r="C69" s="5" t="s">
        <v>323</v>
      </c>
      <c r="D69" s="6" t="s">
        <v>324</v>
      </c>
      <c r="E69" s="7">
        <v>534</v>
      </c>
      <c r="F69" s="7">
        <v>801.65</v>
      </c>
      <c r="G69" s="7">
        <v>267.64999999999998</v>
      </c>
      <c r="H69" s="8">
        <v>50.12</v>
      </c>
      <c r="I69" s="7">
        <v>970</v>
      </c>
      <c r="J69" s="7">
        <v>0</v>
      </c>
      <c r="K69" s="7">
        <f t="shared" si="4"/>
        <v>267.64999999999998</v>
      </c>
      <c r="L69" s="7">
        <f t="shared" si="5"/>
        <v>160.58999999999997</v>
      </c>
      <c r="M69" s="9">
        <f t="shared" si="6"/>
        <v>2.9951429105174672</v>
      </c>
      <c r="N69" s="10" t="str">
        <f t="shared" si="7"/>
        <v>SI</v>
      </c>
    </row>
    <row r="70" spans="1:14" ht="15.75" customHeight="1" x14ac:dyDescent="0.2">
      <c r="A70" s="11" t="s">
        <v>125</v>
      </c>
      <c r="B70" s="11" t="s">
        <v>325</v>
      </c>
      <c r="C70" s="11" t="s">
        <v>326</v>
      </c>
      <c r="D70" s="12" t="s">
        <v>327</v>
      </c>
      <c r="E70" s="13">
        <v>1153</v>
      </c>
      <c r="F70" s="13">
        <v>1731.4</v>
      </c>
      <c r="G70" s="13">
        <v>578.4</v>
      </c>
      <c r="H70" s="14">
        <v>50.17</v>
      </c>
      <c r="I70" s="13">
        <v>2095</v>
      </c>
      <c r="J70" s="13">
        <v>0</v>
      </c>
      <c r="K70" s="13">
        <f t="shared" si="4"/>
        <v>578.4</v>
      </c>
      <c r="L70" s="13">
        <f t="shared" si="5"/>
        <v>347.03999999999996</v>
      </c>
      <c r="M70" s="15">
        <f t="shared" si="6"/>
        <v>2.9934301521438456</v>
      </c>
      <c r="N70" s="10" t="str">
        <f t="shared" si="7"/>
        <v>SI</v>
      </c>
    </row>
    <row r="71" spans="1:14" ht="15.75" customHeight="1" x14ac:dyDescent="0.2">
      <c r="A71" s="5" t="s">
        <v>125</v>
      </c>
      <c r="B71" s="5" t="s">
        <v>328</v>
      </c>
      <c r="C71" s="5" t="s">
        <v>329</v>
      </c>
      <c r="D71" s="6" t="s">
        <v>330</v>
      </c>
      <c r="E71" s="7">
        <v>1318</v>
      </c>
      <c r="F71" s="7">
        <v>1979.34</v>
      </c>
      <c r="G71" s="7">
        <v>661.34</v>
      </c>
      <c r="H71" s="8">
        <v>50.18</v>
      </c>
      <c r="I71" s="7">
        <v>2395</v>
      </c>
      <c r="J71" s="7">
        <v>0</v>
      </c>
      <c r="K71" s="7">
        <f t="shared" si="4"/>
        <v>661.34</v>
      </c>
      <c r="L71" s="7">
        <f t="shared" si="5"/>
        <v>396.80400000000003</v>
      </c>
      <c r="M71" s="9">
        <f t="shared" si="6"/>
        <v>2.9929234584328785</v>
      </c>
      <c r="N71" s="10" t="str">
        <f t="shared" si="7"/>
        <v>SI</v>
      </c>
    </row>
    <row r="72" spans="1:14" ht="15.75" customHeight="1" x14ac:dyDescent="0.2">
      <c r="A72" s="11" t="s">
        <v>125</v>
      </c>
      <c r="B72" s="11" t="s">
        <v>331</v>
      </c>
      <c r="C72" s="11" t="s">
        <v>332</v>
      </c>
      <c r="D72" s="12" t="s">
        <v>333</v>
      </c>
      <c r="E72" s="13">
        <v>264</v>
      </c>
      <c r="F72" s="13">
        <v>396.69</v>
      </c>
      <c r="G72" s="13">
        <v>132.69</v>
      </c>
      <c r="H72" s="14">
        <v>50.26</v>
      </c>
      <c r="I72" s="13">
        <v>480</v>
      </c>
      <c r="J72" s="13">
        <v>50</v>
      </c>
      <c r="K72" s="13">
        <f t="shared" si="4"/>
        <v>82.69</v>
      </c>
      <c r="L72" s="13">
        <f t="shared" si="5"/>
        <v>49.613999999999997</v>
      </c>
      <c r="M72" s="15">
        <f t="shared" si="6"/>
        <v>4.797315273914621</v>
      </c>
      <c r="N72" s="10" t="str">
        <f t="shared" si="7"/>
        <v>NO</v>
      </c>
    </row>
    <row r="73" spans="1:14" ht="15.75" customHeight="1" x14ac:dyDescent="0.2">
      <c r="A73" s="5" t="s">
        <v>125</v>
      </c>
      <c r="B73" s="5" t="s">
        <v>334</v>
      </c>
      <c r="C73" s="5" t="s">
        <v>335</v>
      </c>
      <c r="D73" s="6" t="s">
        <v>336</v>
      </c>
      <c r="E73" s="7">
        <v>413</v>
      </c>
      <c r="F73" s="7">
        <v>619.83000000000004</v>
      </c>
      <c r="G73" s="7">
        <v>206.83</v>
      </c>
      <c r="H73" s="8">
        <v>50.08</v>
      </c>
      <c r="I73" s="7">
        <v>750</v>
      </c>
      <c r="J73" s="7">
        <v>50</v>
      </c>
      <c r="K73" s="7">
        <f t="shared" si="4"/>
        <v>156.83000000000001</v>
      </c>
      <c r="L73" s="7">
        <f t="shared" si="5"/>
        <v>94.097999999999999</v>
      </c>
      <c r="M73" s="9">
        <f t="shared" si="6"/>
        <v>3.9522412803672764</v>
      </c>
      <c r="N73" s="10" t="str">
        <f t="shared" si="7"/>
        <v>SI</v>
      </c>
    </row>
    <row r="74" spans="1:14" ht="15.75" customHeight="1" x14ac:dyDescent="0.2">
      <c r="A74" s="11" t="s">
        <v>125</v>
      </c>
      <c r="B74" s="11" t="s">
        <v>337</v>
      </c>
      <c r="C74" s="11" t="s">
        <v>338</v>
      </c>
      <c r="D74" s="12" t="s">
        <v>339</v>
      </c>
      <c r="E74" s="13">
        <v>534</v>
      </c>
      <c r="F74" s="13">
        <v>801.65</v>
      </c>
      <c r="G74" s="13">
        <v>267.64999999999998</v>
      </c>
      <c r="H74" s="14">
        <v>50.12</v>
      </c>
      <c r="I74" s="13">
        <v>970</v>
      </c>
      <c r="J74" s="13">
        <v>0</v>
      </c>
      <c r="K74" s="13">
        <f t="shared" si="4"/>
        <v>267.64999999999998</v>
      </c>
      <c r="L74" s="13">
        <f t="shared" si="5"/>
        <v>160.58999999999997</v>
      </c>
      <c r="M74" s="15">
        <f t="shared" si="6"/>
        <v>2.9951429105174672</v>
      </c>
      <c r="N74" s="10" t="str">
        <f t="shared" si="7"/>
        <v>SI</v>
      </c>
    </row>
    <row r="75" spans="1:14" ht="15.75" customHeight="1" x14ac:dyDescent="0.2">
      <c r="A75" s="5" t="s">
        <v>125</v>
      </c>
      <c r="B75" s="5" t="s">
        <v>340</v>
      </c>
      <c r="C75" s="5" t="s">
        <v>341</v>
      </c>
      <c r="D75" s="6" t="s">
        <v>342</v>
      </c>
      <c r="E75" s="7">
        <v>1092</v>
      </c>
      <c r="F75" s="7">
        <v>1640.5</v>
      </c>
      <c r="G75" s="7">
        <v>548.5</v>
      </c>
      <c r="H75" s="8">
        <v>50.23</v>
      </c>
      <c r="I75" s="7">
        <v>1985</v>
      </c>
      <c r="J75" s="7">
        <v>0</v>
      </c>
      <c r="K75" s="7">
        <f t="shared" si="4"/>
        <v>548.5</v>
      </c>
      <c r="L75" s="7">
        <f t="shared" si="5"/>
        <v>329.09999999999997</v>
      </c>
      <c r="M75" s="9">
        <f t="shared" si="6"/>
        <v>2.9908842297174112</v>
      </c>
      <c r="N75" s="10" t="str">
        <f t="shared" si="7"/>
        <v>SI</v>
      </c>
    </row>
    <row r="76" spans="1:14" ht="15.75" customHeight="1" x14ac:dyDescent="0.2">
      <c r="A76" s="11" t="s">
        <v>125</v>
      </c>
      <c r="B76" s="11" t="s">
        <v>343</v>
      </c>
      <c r="C76" s="11" t="s">
        <v>344</v>
      </c>
      <c r="D76" s="12" t="s">
        <v>345</v>
      </c>
      <c r="E76" s="13">
        <v>1263</v>
      </c>
      <c r="F76" s="13">
        <v>1896.69</v>
      </c>
      <c r="G76" s="13">
        <v>633.69000000000005</v>
      </c>
      <c r="H76" s="14">
        <v>50.17</v>
      </c>
      <c r="I76" s="13">
        <v>2295</v>
      </c>
      <c r="J76" s="13">
        <v>0</v>
      </c>
      <c r="K76" s="13">
        <f t="shared" si="4"/>
        <v>633.69000000000005</v>
      </c>
      <c r="L76" s="13">
        <f t="shared" si="5"/>
        <v>380.214</v>
      </c>
      <c r="M76" s="15">
        <f t="shared" si="6"/>
        <v>2.99308810301567</v>
      </c>
      <c r="N76" s="10" t="str">
        <f t="shared" si="7"/>
        <v>SI</v>
      </c>
    </row>
    <row r="77" spans="1:14" ht="15.75" customHeight="1" x14ac:dyDescent="0.2">
      <c r="A77" s="5" t="s">
        <v>125</v>
      </c>
      <c r="B77" s="5" t="s">
        <v>346</v>
      </c>
      <c r="C77" s="5" t="s">
        <v>347</v>
      </c>
      <c r="D77" s="6" t="s">
        <v>348</v>
      </c>
      <c r="E77" s="7">
        <v>152</v>
      </c>
      <c r="F77" s="7">
        <v>227.27</v>
      </c>
      <c r="G77" s="7">
        <v>75.27</v>
      </c>
      <c r="H77" s="17">
        <v>49.52</v>
      </c>
      <c r="I77" s="7">
        <v>275</v>
      </c>
      <c r="J77" s="7">
        <v>0</v>
      </c>
      <c r="K77" s="7">
        <f t="shared" si="4"/>
        <v>75.27</v>
      </c>
      <c r="L77" s="7">
        <f t="shared" si="5"/>
        <v>45.161999999999999</v>
      </c>
      <c r="M77" s="9">
        <f t="shared" si="6"/>
        <v>3.0193968380496883</v>
      </c>
      <c r="N77" s="10" t="str">
        <f t="shared" si="7"/>
        <v>SI</v>
      </c>
    </row>
    <row r="78" spans="1:14" ht="15.75" customHeight="1" x14ac:dyDescent="0.2">
      <c r="A78" s="11" t="s">
        <v>125</v>
      </c>
      <c r="B78" s="11" t="s">
        <v>154</v>
      </c>
      <c r="C78" s="11" t="s">
        <v>155</v>
      </c>
      <c r="D78" s="12" t="s">
        <v>349</v>
      </c>
      <c r="E78" s="13">
        <v>201</v>
      </c>
      <c r="F78" s="13">
        <v>301.64999999999998</v>
      </c>
      <c r="G78" s="13">
        <v>100.65</v>
      </c>
      <c r="H78" s="14">
        <v>50.08</v>
      </c>
      <c r="I78" s="13">
        <v>365</v>
      </c>
      <c r="J78" s="13">
        <v>50</v>
      </c>
      <c r="K78" s="13">
        <f t="shared" si="4"/>
        <v>50.650000000000006</v>
      </c>
      <c r="L78" s="13">
        <f t="shared" si="5"/>
        <v>30.39</v>
      </c>
      <c r="M78" s="15">
        <f t="shared" si="6"/>
        <v>5.9555774925962472</v>
      </c>
      <c r="N78" s="10" t="str">
        <f t="shared" si="7"/>
        <v>NO</v>
      </c>
    </row>
    <row r="79" spans="1:14" ht="15.75" customHeight="1" x14ac:dyDescent="0.2">
      <c r="A79" s="5" t="s">
        <v>125</v>
      </c>
      <c r="B79" s="5" t="s">
        <v>350</v>
      </c>
      <c r="C79" s="5" t="s">
        <v>351</v>
      </c>
      <c r="D79" s="6" t="s">
        <v>352</v>
      </c>
      <c r="E79" s="7">
        <v>253</v>
      </c>
      <c r="F79" s="7">
        <v>380.17</v>
      </c>
      <c r="G79" s="7">
        <v>127.17</v>
      </c>
      <c r="H79" s="8">
        <v>50.26</v>
      </c>
      <c r="I79" s="7">
        <v>460</v>
      </c>
      <c r="J79" s="7">
        <v>50</v>
      </c>
      <c r="K79" s="7">
        <f t="shared" si="4"/>
        <v>77.17</v>
      </c>
      <c r="L79" s="7">
        <f t="shared" si="5"/>
        <v>46.302</v>
      </c>
      <c r="M79" s="9">
        <f t="shared" si="6"/>
        <v>4.9263962679797846</v>
      </c>
      <c r="N79" s="10" t="str">
        <f t="shared" si="7"/>
        <v>NO</v>
      </c>
    </row>
    <row r="80" spans="1:14" ht="15.75" customHeight="1" x14ac:dyDescent="0.2">
      <c r="A80" s="11" t="s">
        <v>125</v>
      </c>
      <c r="B80" s="11" t="s">
        <v>353</v>
      </c>
      <c r="C80" s="11" t="s">
        <v>354</v>
      </c>
      <c r="D80" s="12" t="s">
        <v>355</v>
      </c>
      <c r="E80" s="13">
        <v>413</v>
      </c>
      <c r="F80" s="13">
        <v>619.83000000000004</v>
      </c>
      <c r="G80" s="13">
        <v>206.83</v>
      </c>
      <c r="H80" s="14">
        <v>50.08</v>
      </c>
      <c r="I80" s="13">
        <v>750</v>
      </c>
      <c r="J80" s="13">
        <v>50</v>
      </c>
      <c r="K80" s="13">
        <f t="shared" si="4"/>
        <v>156.83000000000001</v>
      </c>
      <c r="L80" s="13">
        <f t="shared" si="5"/>
        <v>94.097999999999999</v>
      </c>
      <c r="M80" s="15">
        <f t="shared" si="6"/>
        <v>3.9522412803672764</v>
      </c>
      <c r="N80" s="10" t="str">
        <f t="shared" si="7"/>
        <v>SI</v>
      </c>
    </row>
    <row r="81" spans="1:14" ht="15.75" customHeight="1" x14ac:dyDescent="0.2">
      <c r="A81" s="5" t="s">
        <v>125</v>
      </c>
      <c r="B81" s="5" t="s">
        <v>356</v>
      </c>
      <c r="C81" s="5" t="s">
        <v>357</v>
      </c>
      <c r="D81" s="6" t="s">
        <v>358</v>
      </c>
      <c r="E81" s="7">
        <v>545</v>
      </c>
      <c r="F81" s="7">
        <v>818.18</v>
      </c>
      <c r="G81" s="7">
        <v>273.18</v>
      </c>
      <c r="H81" s="8">
        <v>50.13</v>
      </c>
      <c r="I81" s="7">
        <v>990</v>
      </c>
      <c r="J81" s="7">
        <v>0</v>
      </c>
      <c r="K81" s="7">
        <f t="shared" si="4"/>
        <v>273.18</v>
      </c>
      <c r="L81" s="7">
        <f t="shared" si="5"/>
        <v>163.90799999999999</v>
      </c>
      <c r="M81" s="9">
        <f t="shared" si="6"/>
        <v>2.995021597481514</v>
      </c>
      <c r="N81" s="10" t="str">
        <f t="shared" si="7"/>
        <v>SI</v>
      </c>
    </row>
    <row r="82" spans="1:14" ht="15.75" customHeight="1" x14ac:dyDescent="0.2">
      <c r="A82" s="11" t="s">
        <v>125</v>
      </c>
      <c r="B82" s="11" t="s">
        <v>359</v>
      </c>
      <c r="C82" s="11" t="s">
        <v>360</v>
      </c>
      <c r="D82" s="12" t="s">
        <v>361</v>
      </c>
      <c r="E82" s="13">
        <v>1070</v>
      </c>
      <c r="F82" s="13">
        <v>1607.44</v>
      </c>
      <c r="G82" s="13">
        <v>537.44000000000005</v>
      </c>
      <c r="H82" s="14">
        <v>50.23</v>
      </c>
      <c r="I82" s="13">
        <v>1945</v>
      </c>
      <c r="J82" s="13">
        <v>0</v>
      </c>
      <c r="K82" s="13">
        <f t="shared" si="4"/>
        <v>537.44000000000005</v>
      </c>
      <c r="L82" s="13">
        <f t="shared" si="5"/>
        <v>322.464</v>
      </c>
      <c r="M82" s="15">
        <f t="shared" si="6"/>
        <v>2.9909199166418574</v>
      </c>
      <c r="N82" s="10" t="str">
        <f t="shared" si="7"/>
        <v>SI</v>
      </c>
    </row>
    <row r="83" spans="1:14" ht="15.75" customHeight="1" x14ac:dyDescent="0.2">
      <c r="A83" s="5" t="s">
        <v>125</v>
      </c>
      <c r="B83" s="5" t="s">
        <v>362</v>
      </c>
      <c r="C83" s="5" t="s">
        <v>363</v>
      </c>
      <c r="D83" s="6" t="s">
        <v>364</v>
      </c>
      <c r="E83" s="7">
        <v>1252</v>
      </c>
      <c r="F83" s="7">
        <v>1880.17</v>
      </c>
      <c r="G83" s="7">
        <v>628.16999999999996</v>
      </c>
      <c r="H83" s="8">
        <v>50.17</v>
      </c>
      <c r="I83" s="7">
        <v>2275</v>
      </c>
      <c r="J83" s="7">
        <v>0</v>
      </c>
      <c r="K83" s="7">
        <f t="shared" si="4"/>
        <v>628.16999999999996</v>
      </c>
      <c r="L83" s="7">
        <f t="shared" si="5"/>
        <v>376.90199999999999</v>
      </c>
      <c r="M83" s="9">
        <f t="shared" si="6"/>
        <v>2.9930910422337904</v>
      </c>
      <c r="N83" s="10" t="str">
        <f t="shared" si="7"/>
        <v>SI</v>
      </c>
    </row>
    <row r="84" spans="1:14" ht="15.75" customHeight="1" x14ac:dyDescent="0.2">
      <c r="A84" s="11" t="s">
        <v>125</v>
      </c>
      <c r="B84" s="11" t="s">
        <v>365</v>
      </c>
      <c r="C84" s="11" t="s">
        <v>366</v>
      </c>
      <c r="D84" s="12" t="s">
        <v>367</v>
      </c>
      <c r="E84" s="13">
        <v>267</v>
      </c>
      <c r="F84" s="13">
        <v>400.83</v>
      </c>
      <c r="G84" s="13">
        <v>133.83000000000001</v>
      </c>
      <c r="H84" s="14">
        <v>50.12</v>
      </c>
      <c r="I84" s="13">
        <v>485</v>
      </c>
      <c r="J84" s="13">
        <v>50</v>
      </c>
      <c r="K84" s="13">
        <f t="shared" si="4"/>
        <v>83.830000000000013</v>
      </c>
      <c r="L84" s="13">
        <f t="shared" si="5"/>
        <v>50.298000000000009</v>
      </c>
      <c r="M84" s="15">
        <f t="shared" si="6"/>
        <v>4.7814624835977568</v>
      </c>
      <c r="N84" s="10" t="str">
        <f t="shared" si="7"/>
        <v>NO</v>
      </c>
    </row>
    <row r="85" spans="1:14" ht="15.75" customHeight="1" x14ac:dyDescent="0.2">
      <c r="A85" s="5" t="s">
        <v>125</v>
      </c>
      <c r="B85" s="5" t="s">
        <v>368</v>
      </c>
      <c r="C85" s="5" t="s">
        <v>369</v>
      </c>
      <c r="D85" s="6" t="s">
        <v>370</v>
      </c>
      <c r="E85" s="7">
        <v>383</v>
      </c>
      <c r="F85" s="7">
        <v>574.38</v>
      </c>
      <c r="G85" s="7">
        <v>191.38</v>
      </c>
      <c r="H85" s="17">
        <v>49.97</v>
      </c>
      <c r="I85" s="7">
        <v>695</v>
      </c>
      <c r="J85" s="7">
        <v>50</v>
      </c>
      <c r="K85" s="7">
        <f t="shared" si="4"/>
        <v>141.38</v>
      </c>
      <c r="L85" s="7">
        <f t="shared" si="5"/>
        <v>84.827999999999989</v>
      </c>
      <c r="M85" s="9">
        <f t="shared" si="6"/>
        <v>4.0626679869854296</v>
      </c>
      <c r="N85" s="10" t="str">
        <f t="shared" si="7"/>
        <v>SI</v>
      </c>
    </row>
    <row r="86" spans="1:14" ht="15.75" customHeight="1" x14ac:dyDescent="0.2">
      <c r="A86" s="11" t="s">
        <v>125</v>
      </c>
      <c r="B86" s="11" t="s">
        <v>371</v>
      </c>
      <c r="C86" s="11" t="s">
        <v>372</v>
      </c>
      <c r="D86" s="12" t="s">
        <v>373</v>
      </c>
      <c r="E86" s="13">
        <v>523</v>
      </c>
      <c r="F86" s="13">
        <v>785.12</v>
      </c>
      <c r="G86" s="13">
        <v>262.12</v>
      </c>
      <c r="H86" s="14">
        <v>50.12</v>
      </c>
      <c r="I86" s="13">
        <v>950</v>
      </c>
      <c r="J86" s="13">
        <v>0</v>
      </c>
      <c r="K86" s="13">
        <f t="shared" si="4"/>
        <v>262.12</v>
      </c>
      <c r="L86" s="13">
        <f t="shared" si="5"/>
        <v>157.27199999999999</v>
      </c>
      <c r="M86" s="15">
        <f t="shared" si="6"/>
        <v>2.995269342285976</v>
      </c>
      <c r="N86" s="10" t="str">
        <f t="shared" si="7"/>
        <v>SI</v>
      </c>
    </row>
    <row r="87" spans="1:14" ht="15.75" customHeight="1" x14ac:dyDescent="0.2">
      <c r="A87" s="5" t="s">
        <v>125</v>
      </c>
      <c r="B87" s="5" t="s">
        <v>374</v>
      </c>
      <c r="C87" s="5" t="s">
        <v>375</v>
      </c>
      <c r="D87" s="6" t="s">
        <v>376</v>
      </c>
      <c r="E87" s="7">
        <v>152</v>
      </c>
      <c r="F87" s="7">
        <v>227.27</v>
      </c>
      <c r="G87" s="7">
        <v>75.27</v>
      </c>
      <c r="H87" s="17">
        <v>49.52</v>
      </c>
      <c r="I87" s="7">
        <v>275</v>
      </c>
      <c r="J87" s="7">
        <v>0</v>
      </c>
      <c r="K87" s="7">
        <f t="shared" si="4"/>
        <v>75.27</v>
      </c>
      <c r="L87" s="7">
        <f t="shared" si="5"/>
        <v>45.161999999999999</v>
      </c>
      <c r="M87" s="9">
        <f t="shared" si="6"/>
        <v>3.0193968380496883</v>
      </c>
      <c r="N87" s="10" t="str">
        <f t="shared" si="7"/>
        <v>SI</v>
      </c>
    </row>
    <row r="88" spans="1:14" ht="15.75" customHeight="1" x14ac:dyDescent="0.2">
      <c r="A88" s="11" t="s">
        <v>125</v>
      </c>
      <c r="B88" s="11" t="s">
        <v>377</v>
      </c>
      <c r="C88" s="11" t="s">
        <v>378</v>
      </c>
      <c r="D88" s="12" t="s">
        <v>379</v>
      </c>
      <c r="E88" s="13">
        <v>201</v>
      </c>
      <c r="F88" s="13">
        <v>301.64999999999998</v>
      </c>
      <c r="G88" s="13">
        <v>100.65</v>
      </c>
      <c r="H88" s="14">
        <v>50.08</v>
      </c>
      <c r="I88" s="13">
        <v>365</v>
      </c>
      <c r="J88" s="13">
        <v>50</v>
      </c>
      <c r="K88" s="13">
        <f t="shared" si="4"/>
        <v>50.650000000000006</v>
      </c>
      <c r="L88" s="13">
        <f t="shared" si="5"/>
        <v>30.39</v>
      </c>
      <c r="M88" s="15">
        <f t="shared" si="6"/>
        <v>5.9555774925962472</v>
      </c>
      <c r="N88" s="10" t="str">
        <f t="shared" si="7"/>
        <v>NO</v>
      </c>
    </row>
    <row r="89" spans="1:14" ht="15.75" customHeight="1" x14ac:dyDescent="0.2">
      <c r="A89" s="5" t="s">
        <v>125</v>
      </c>
      <c r="B89" s="5" t="s">
        <v>380</v>
      </c>
      <c r="C89" s="5" t="s">
        <v>381</v>
      </c>
      <c r="D89" s="6" t="s">
        <v>382</v>
      </c>
      <c r="E89" s="7">
        <v>1067</v>
      </c>
      <c r="F89" s="7">
        <v>1603.31</v>
      </c>
      <c r="G89" s="7">
        <v>536.30999999999995</v>
      </c>
      <c r="H89" s="8">
        <v>50.26</v>
      </c>
      <c r="I89" s="7">
        <v>1940</v>
      </c>
      <c r="J89" s="7">
        <v>0</v>
      </c>
      <c r="K89" s="7">
        <f t="shared" si="4"/>
        <v>536.30999999999995</v>
      </c>
      <c r="L89" s="7">
        <f t="shared" si="5"/>
        <v>321.78599999999994</v>
      </c>
      <c r="M89" s="9">
        <f t="shared" si="6"/>
        <v>2.9895209859969052</v>
      </c>
      <c r="N89" s="10" t="str">
        <f t="shared" si="7"/>
        <v>SI</v>
      </c>
    </row>
    <row r="90" spans="1:14" ht="15.75" customHeight="1" x14ac:dyDescent="0.2">
      <c r="A90" s="11" t="s">
        <v>125</v>
      </c>
      <c r="B90" s="11" t="s">
        <v>371</v>
      </c>
      <c r="C90" s="11" t="s">
        <v>372</v>
      </c>
      <c r="D90" s="12" t="s">
        <v>383</v>
      </c>
      <c r="E90" s="13">
        <v>1257</v>
      </c>
      <c r="F90" s="13">
        <v>1888.43</v>
      </c>
      <c r="G90" s="13">
        <v>631.42999999999995</v>
      </c>
      <c r="H90" s="14">
        <v>50.23</v>
      </c>
      <c r="I90" s="13">
        <v>2285</v>
      </c>
      <c r="J90" s="13">
        <v>0</v>
      </c>
      <c r="K90" s="13">
        <f t="shared" si="4"/>
        <v>631.42999999999995</v>
      </c>
      <c r="L90" s="13">
        <f t="shared" si="5"/>
        <v>378.85799999999995</v>
      </c>
      <c r="M90" s="15">
        <f t="shared" si="6"/>
        <v>2.9907194780102313</v>
      </c>
      <c r="N90" s="10" t="str">
        <f t="shared" si="7"/>
        <v>SI</v>
      </c>
    </row>
    <row r="91" spans="1:14" ht="15.75" customHeight="1" x14ac:dyDescent="0.2">
      <c r="A91" s="5" t="s">
        <v>125</v>
      </c>
      <c r="B91" s="5" t="s">
        <v>384</v>
      </c>
      <c r="C91" s="5" t="s">
        <v>385</v>
      </c>
      <c r="D91" s="6" t="s">
        <v>386</v>
      </c>
      <c r="E91" s="7">
        <v>930</v>
      </c>
      <c r="F91" s="7">
        <v>1396.69</v>
      </c>
      <c r="G91" s="7">
        <v>466.69</v>
      </c>
      <c r="H91" s="8">
        <v>50.18</v>
      </c>
      <c r="I91" s="7">
        <v>1690</v>
      </c>
      <c r="J91" s="7">
        <v>0</v>
      </c>
      <c r="K91" s="7">
        <f t="shared" si="4"/>
        <v>466.69</v>
      </c>
      <c r="L91" s="7">
        <f t="shared" si="5"/>
        <v>280.01400000000001</v>
      </c>
      <c r="M91" s="9">
        <f t="shared" si="6"/>
        <v>2.9927575049818937</v>
      </c>
      <c r="N91" s="10" t="str">
        <f t="shared" si="7"/>
        <v>SI</v>
      </c>
    </row>
    <row r="92" spans="1:14" ht="15.75" customHeight="1" x14ac:dyDescent="0.2">
      <c r="A92" s="11" t="s">
        <v>125</v>
      </c>
      <c r="B92" s="11" t="s">
        <v>387</v>
      </c>
      <c r="C92" s="11" t="s">
        <v>388</v>
      </c>
      <c r="D92" s="12" t="s">
        <v>389</v>
      </c>
      <c r="E92" s="13">
        <v>212</v>
      </c>
      <c r="F92" s="13">
        <v>318.18</v>
      </c>
      <c r="G92" s="13">
        <v>106.18</v>
      </c>
      <c r="H92" s="14">
        <v>50.09</v>
      </c>
      <c r="I92" s="13">
        <v>385</v>
      </c>
      <c r="J92" s="13">
        <v>50</v>
      </c>
      <c r="K92" s="13">
        <f t="shared" si="4"/>
        <v>56.180000000000007</v>
      </c>
      <c r="L92" s="13">
        <f t="shared" si="5"/>
        <v>33.708000000000006</v>
      </c>
      <c r="M92" s="15">
        <f t="shared" si="6"/>
        <v>5.6635813456746167</v>
      </c>
      <c r="N92" s="10" t="str">
        <f t="shared" si="7"/>
        <v>NO</v>
      </c>
    </row>
    <row r="93" spans="1:14" ht="15.75" customHeight="1" x14ac:dyDescent="0.2">
      <c r="A93" s="5" t="s">
        <v>125</v>
      </c>
      <c r="B93" s="5" t="s">
        <v>390</v>
      </c>
      <c r="C93" s="5" t="s">
        <v>391</v>
      </c>
      <c r="D93" s="6" t="s">
        <v>392</v>
      </c>
      <c r="E93" s="7">
        <v>325</v>
      </c>
      <c r="F93" s="7">
        <v>487.6</v>
      </c>
      <c r="G93" s="7">
        <v>162.6</v>
      </c>
      <c r="H93" s="8">
        <v>50.03</v>
      </c>
      <c r="I93" s="7">
        <v>590</v>
      </c>
      <c r="J93" s="7">
        <v>50</v>
      </c>
      <c r="K93" s="7">
        <f t="shared" si="4"/>
        <v>112.6</v>
      </c>
      <c r="L93" s="7">
        <f t="shared" si="5"/>
        <v>67.559999999999988</v>
      </c>
      <c r="M93" s="9">
        <f t="shared" si="6"/>
        <v>4.3303730017761994</v>
      </c>
      <c r="N93" s="10" t="str">
        <f t="shared" si="7"/>
        <v>SI</v>
      </c>
    </row>
    <row r="94" spans="1:14" ht="15.75" customHeight="1" x14ac:dyDescent="0.2">
      <c r="A94" s="11" t="s">
        <v>125</v>
      </c>
      <c r="B94" s="11" t="s">
        <v>393</v>
      </c>
      <c r="C94" s="11" t="s">
        <v>394</v>
      </c>
      <c r="D94" s="12" t="s">
        <v>395</v>
      </c>
      <c r="E94" s="13">
        <v>468</v>
      </c>
      <c r="F94" s="13">
        <v>702.48</v>
      </c>
      <c r="G94" s="13">
        <v>234.48</v>
      </c>
      <c r="H94" s="14">
        <v>50.1</v>
      </c>
      <c r="I94" s="13">
        <v>850</v>
      </c>
      <c r="J94" s="13">
        <v>50</v>
      </c>
      <c r="K94" s="13">
        <f t="shared" si="4"/>
        <v>184.48</v>
      </c>
      <c r="L94" s="13">
        <f t="shared" si="5"/>
        <v>110.68799999999999</v>
      </c>
      <c r="M94" s="15">
        <f t="shared" si="6"/>
        <v>3.8078924544666091</v>
      </c>
      <c r="N94" s="10" t="str">
        <f t="shared" si="7"/>
        <v>SI</v>
      </c>
    </row>
    <row r="95" spans="1:14" ht="15.75" customHeight="1" x14ac:dyDescent="0.2">
      <c r="A95" s="5" t="s">
        <v>125</v>
      </c>
      <c r="B95" s="5" t="s">
        <v>396</v>
      </c>
      <c r="C95" s="5" t="s">
        <v>397</v>
      </c>
      <c r="D95" s="6" t="s">
        <v>398</v>
      </c>
      <c r="E95" s="7">
        <v>905</v>
      </c>
      <c r="F95" s="7">
        <v>1359.5</v>
      </c>
      <c r="G95" s="7">
        <v>454.5</v>
      </c>
      <c r="H95" s="8">
        <v>50.22</v>
      </c>
      <c r="I95" s="7">
        <v>1645</v>
      </c>
      <c r="J95" s="7">
        <v>0</v>
      </c>
      <c r="K95" s="7">
        <f t="shared" si="4"/>
        <v>454.5</v>
      </c>
      <c r="L95" s="7">
        <f t="shared" si="5"/>
        <v>272.7</v>
      </c>
      <c r="M95" s="9">
        <f t="shared" si="6"/>
        <v>2.9911991199119914</v>
      </c>
      <c r="N95" s="10" t="str">
        <f t="shared" si="7"/>
        <v>SI</v>
      </c>
    </row>
    <row r="96" spans="1:14" ht="15.75" customHeight="1" x14ac:dyDescent="0.2">
      <c r="A96" s="11" t="s">
        <v>125</v>
      </c>
      <c r="B96" s="11" t="s">
        <v>399</v>
      </c>
      <c r="C96" s="11" t="s">
        <v>400</v>
      </c>
      <c r="D96" s="12" t="s">
        <v>401</v>
      </c>
      <c r="E96" s="13">
        <v>1092</v>
      </c>
      <c r="F96" s="13">
        <v>1640.5</v>
      </c>
      <c r="G96" s="13">
        <v>548.5</v>
      </c>
      <c r="H96" s="14">
        <v>50.23</v>
      </c>
      <c r="I96" s="13">
        <v>1985</v>
      </c>
      <c r="J96" s="13">
        <v>0</v>
      </c>
      <c r="K96" s="13">
        <f t="shared" si="4"/>
        <v>548.5</v>
      </c>
      <c r="L96" s="13">
        <f t="shared" si="5"/>
        <v>329.09999999999997</v>
      </c>
      <c r="M96" s="15">
        <f t="shared" si="6"/>
        <v>2.9908842297174112</v>
      </c>
      <c r="N96" s="10" t="str">
        <f t="shared" si="7"/>
        <v>SI</v>
      </c>
    </row>
    <row r="97" spans="1:14" ht="15.75" customHeight="1" x14ac:dyDescent="0.2">
      <c r="A97" s="5" t="s">
        <v>125</v>
      </c>
      <c r="B97" s="5" t="s">
        <v>402</v>
      </c>
      <c r="C97" s="5" t="s">
        <v>403</v>
      </c>
      <c r="D97" s="6" t="s">
        <v>404</v>
      </c>
      <c r="E97" s="7">
        <v>1318</v>
      </c>
      <c r="F97" s="7">
        <v>1979.34</v>
      </c>
      <c r="G97" s="7">
        <v>661.34</v>
      </c>
      <c r="H97" s="8">
        <v>50.18</v>
      </c>
      <c r="I97" s="7">
        <v>2395</v>
      </c>
      <c r="J97" s="7">
        <v>0</v>
      </c>
      <c r="K97" s="7">
        <f t="shared" si="4"/>
        <v>661.34</v>
      </c>
      <c r="L97" s="7">
        <f t="shared" si="5"/>
        <v>396.80400000000003</v>
      </c>
      <c r="M97" s="9">
        <f t="shared" si="6"/>
        <v>2.9929234584328785</v>
      </c>
      <c r="N97" s="10" t="str">
        <f t="shared" si="7"/>
        <v>SI</v>
      </c>
    </row>
    <row r="98" spans="1:14" ht="15.75" customHeight="1" x14ac:dyDescent="0.2">
      <c r="A98" s="11" t="s">
        <v>125</v>
      </c>
      <c r="B98" s="11" t="s">
        <v>405</v>
      </c>
      <c r="C98" s="11" t="s">
        <v>406</v>
      </c>
      <c r="D98" s="12" t="s">
        <v>407</v>
      </c>
      <c r="E98" s="13">
        <v>1725</v>
      </c>
      <c r="F98" s="13">
        <v>2590.91</v>
      </c>
      <c r="G98" s="13">
        <v>865.91</v>
      </c>
      <c r="H98" s="14">
        <v>50.2</v>
      </c>
      <c r="I98" s="13">
        <v>3135</v>
      </c>
      <c r="J98" s="13">
        <v>0</v>
      </c>
      <c r="K98" s="13">
        <f t="shared" si="4"/>
        <v>865.91</v>
      </c>
      <c r="L98" s="13">
        <f t="shared" si="5"/>
        <v>519.54599999999994</v>
      </c>
      <c r="M98" s="15">
        <f t="shared" si="6"/>
        <v>2.9921238927833147</v>
      </c>
      <c r="N98" s="10" t="str">
        <f t="shared" si="7"/>
        <v>SI</v>
      </c>
    </row>
    <row r="99" spans="1:14" ht="15.75" customHeight="1" x14ac:dyDescent="0.2">
      <c r="A99" s="5" t="s">
        <v>125</v>
      </c>
      <c r="B99" s="5" t="s">
        <v>408</v>
      </c>
      <c r="C99" s="5" t="s">
        <v>409</v>
      </c>
      <c r="D99" s="6" t="s">
        <v>410</v>
      </c>
      <c r="E99" s="7">
        <v>1920</v>
      </c>
      <c r="F99" s="7">
        <v>2884.3</v>
      </c>
      <c r="G99" s="7">
        <v>964.3</v>
      </c>
      <c r="H99" s="8">
        <v>50.22</v>
      </c>
      <c r="I99" s="7">
        <v>3490</v>
      </c>
      <c r="J99" s="7">
        <v>0</v>
      </c>
      <c r="K99" s="7">
        <f t="shared" si="4"/>
        <v>964.3</v>
      </c>
      <c r="L99" s="7">
        <f t="shared" si="5"/>
        <v>578.57999999999993</v>
      </c>
      <c r="M99" s="9">
        <f t="shared" si="6"/>
        <v>2.9910816136057248</v>
      </c>
      <c r="N99" s="10" t="str">
        <f t="shared" si="7"/>
        <v>SI</v>
      </c>
    </row>
    <row r="100" spans="1:14" ht="15.75" customHeight="1" x14ac:dyDescent="0.2">
      <c r="A100" s="11" t="s">
        <v>125</v>
      </c>
      <c r="B100" s="11" t="s">
        <v>411</v>
      </c>
      <c r="C100" s="11" t="s">
        <v>412</v>
      </c>
      <c r="D100" s="12" t="s">
        <v>413</v>
      </c>
      <c r="E100" s="13">
        <v>1172</v>
      </c>
      <c r="F100" s="13">
        <v>1760.33</v>
      </c>
      <c r="G100" s="13">
        <v>588.33000000000004</v>
      </c>
      <c r="H100" s="14">
        <v>50.2</v>
      </c>
      <c r="I100" s="13">
        <v>2130</v>
      </c>
      <c r="J100" s="13">
        <v>0</v>
      </c>
      <c r="K100" s="13">
        <f t="shared" si="4"/>
        <v>588.33000000000004</v>
      </c>
      <c r="L100" s="13">
        <f t="shared" si="5"/>
        <v>352.99799999999999</v>
      </c>
      <c r="M100" s="15">
        <f t="shared" si="6"/>
        <v>2.9920792752366867</v>
      </c>
      <c r="N100" s="10" t="str">
        <f t="shared" si="7"/>
        <v>SI</v>
      </c>
    </row>
    <row r="101" spans="1:14" ht="15.75" customHeight="1" x14ac:dyDescent="0.2">
      <c r="A101" s="5" t="s">
        <v>125</v>
      </c>
      <c r="B101" s="5" t="s">
        <v>414</v>
      </c>
      <c r="C101" s="5" t="s">
        <v>415</v>
      </c>
      <c r="D101" s="6" t="s">
        <v>416</v>
      </c>
      <c r="E101" s="7">
        <v>1736</v>
      </c>
      <c r="F101" s="7">
        <v>2607.44</v>
      </c>
      <c r="G101" s="7">
        <v>871.44</v>
      </c>
      <c r="H101" s="8">
        <v>50.2</v>
      </c>
      <c r="I101" s="7">
        <v>3155</v>
      </c>
      <c r="J101" s="7">
        <v>0</v>
      </c>
      <c r="K101" s="7">
        <f t="shared" si="4"/>
        <v>871.44</v>
      </c>
      <c r="L101" s="7">
        <f t="shared" si="5"/>
        <v>522.86400000000003</v>
      </c>
      <c r="M101" s="9">
        <f t="shared" si="6"/>
        <v>2.9921050215734875</v>
      </c>
      <c r="N101" s="10" t="str">
        <f t="shared" si="7"/>
        <v>SI</v>
      </c>
    </row>
    <row r="102" spans="1:14" ht="15.75" customHeight="1" x14ac:dyDescent="0.2">
      <c r="A102" s="11" t="s">
        <v>125</v>
      </c>
      <c r="B102" s="11" t="s">
        <v>417</v>
      </c>
      <c r="C102" s="11" t="s">
        <v>418</v>
      </c>
      <c r="D102" s="12" t="s">
        <v>419</v>
      </c>
      <c r="E102" s="13">
        <v>300</v>
      </c>
      <c r="F102" s="13">
        <v>450.41</v>
      </c>
      <c r="G102" s="13">
        <v>150.41</v>
      </c>
      <c r="H102" s="14">
        <v>50.14</v>
      </c>
      <c r="I102" s="13">
        <v>545</v>
      </c>
      <c r="J102" s="13">
        <v>50</v>
      </c>
      <c r="K102" s="13">
        <f t="shared" si="4"/>
        <v>100.41</v>
      </c>
      <c r="L102" s="13">
        <f t="shared" si="5"/>
        <v>60.245999999999995</v>
      </c>
      <c r="M102" s="15">
        <f t="shared" si="6"/>
        <v>4.4857085947614781</v>
      </c>
      <c r="N102" s="10" t="str">
        <f t="shared" si="7"/>
        <v>SI</v>
      </c>
    </row>
    <row r="103" spans="1:14" ht="15.75" customHeight="1" x14ac:dyDescent="0.2">
      <c r="A103" s="5" t="s">
        <v>125</v>
      </c>
      <c r="B103" s="5" t="s">
        <v>417</v>
      </c>
      <c r="C103" s="5" t="s">
        <v>420</v>
      </c>
      <c r="D103" s="6" t="s">
        <v>421</v>
      </c>
      <c r="E103" s="7">
        <v>328</v>
      </c>
      <c r="F103" s="7">
        <v>491.74</v>
      </c>
      <c r="G103" s="7">
        <v>163.74</v>
      </c>
      <c r="H103" s="17">
        <v>49.92</v>
      </c>
      <c r="I103" s="7">
        <v>595</v>
      </c>
      <c r="J103" s="7">
        <v>50</v>
      </c>
      <c r="K103" s="7">
        <f t="shared" si="4"/>
        <v>113.74000000000001</v>
      </c>
      <c r="L103" s="7">
        <f t="shared" si="5"/>
        <v>68.244</v>
      </c>
      <c r="M103" s="9">
        <f t="shared" si="6"/>
        <v>4.3233690873922983</v>
      </c>
      <c r="N103" s="10" t="str">
        <f t="shared" si="7"/>
        <v>SI</v>
      </c>
    </row>
    <row r="104" spans="1:14" ht="15.75" customHeight="1" x14ac:dyDescent="0.2">
      <c r="A104" s="11" t="s">
        <v>125</v>
      </c>
      <c r="B104" s="11" t="s">
        <v>422</v>
      </c>
      <c r="C104" s="11" t="s">
        <v>423</v>
      </c>
      <c r="D104" s="12" t="s">
        <v>424</v>
      </c>
      <c r="E104" s="13">
        <v>91</v>
      </c>
      <c r="F104" s="13">
        <v>136.36000000000001</v>
      </c>
      <c r="G104" s="13">
        <v>45.36</v>
      </c>
      <c r="H104" s="16">
        <v>49.85</v>
      </c>
      <c r="I104" s="13">
        <v>165</v>
      </c>
      <c r="J104" s="13">
        <v>0</v>
      </c>
      <c r="K104" s="13">
        <f t="shared" si="4"/>
        <v>45.36</v>
      </c>
      <c r="L104" s="13">
        <f t="shared" si="5"/>
        <v>27.215999999999998</v>
      </c>
      <c r="M104" s="15">
        <f t="shared" si="6"/>
        <v>3.0061728395061733</v>
      </c>
      <c r="N104" s="10" t="str">
        <f t="shared" si="7"/>
        <v>SI</v>
      </c>
    </row>
    <row r="105" spans="1:14" ht="15.75" customHeight="1" x14ac:dyDescent="0.2">
      <c r="A105" s="5" t="s">
        <v>125</v>
      </c>
      <c r="B105" s="5" t="s">
        <v>425</v>
      </c>
      <c r="C105" s="5" t="s">
        <v>426</v>
      </c>
      <c r="D105" s="6" t="s">
        <v>427</v>
      </c>
      <c r="E105" s="7">
        <v>80</v>
      </c>
      <c r="F105" s="7">
        <v>119.83</v>
      </c>
      <c r="G105" s="7">
        <v>39.83</v>
      </c>
      <c r="H105" s="17">
        <v>49.79</v>
      </c>
      <c r="I105" s="7">
        <v>145</v>
      </c>
      <c r="J105" s="7">
        <v>0</v>
      </c>
      <c r="K105" s="7">
        <f t="shared" si="4"/>
        <v>39.83</v>
      </c>
      <c r="L105" s="7">
        <f t="shared" si="5"/>
        <v>23.898</v>
      </c>
      <c r="M105" s="9">
        <f t="shared" si="6"/>
        <v>3.0085362791865431</v>
      </c>
      <c r="N105" s="10" t="str">
        <f t="shared" si="7"/>
        <v>SI</v>
      </c>
    </row>
    <row r="106" spans="1:14" ht="15.75" customHeight="1" x14ac:dyDescent="0.2">
      <c r="A106" s="11" t="s">
        <v>125</v>
      </c>
      <c r="B106" s="11" t="s">
        <v>428</v>
      </c>
      <c r="C106" s="11" t="s">
        <v>429</v>
      </c>
      <c r="D106" s="12" t="s">
        <v>430</v>
      </c>
      <c r="E106" s="13">
        <v>264</v>
      </c>
      <c r="F106" s="13">
        <v>396.69</v>
      </c>
      <c r="G106" s="13">
        <v>132.69</v>
      </c>
      <c r="H106" s="14">
        <v>50.26</v>
      </c>
      <c r="I106" s="13">
        <v>480</v>
      </c>
      <c r="J106" s="13">
        <v>50</v>
      </c>
      <c r="K106" s="13">
        <f t="shared" si="4"/>
        <v>82.69</v>
      </c>
      <c r="L106" s="13">
        <f t="shared" si="5"/>
        <v>49.613999999999997</v>
      </c>
      <c r="M106" s="15">
        <f t="shared" si="6"/>
        <v>4.797315273914621</v>
      </c>
      <c r="N106" s="10" t="str">
        <f t="shared" si="7"/>
        <v>NO</v>
      </c>
    </row>
    <row r="107" spans="1:14" ht="15.75" customHeight="1" x14ac:dyDescent="0.2">
      <c r="A107" s="5" t="s">
        <v>125</v>
      </c>
      <c r="B107" s="5" t="s">
        <v>431</v>
      </c>
      <c r="C107" s="5" t="s">
        <v>432</v>
      </c>
      <c r="D107" s="6" t="s">
        <v>433</v>
      </c>
      <c r="E107" s="7">
        <v>303</v>
      </c>
      <c r="F107" s="7">
        <v>454.55</v>
      </c>
      <c r="G107" s="7">
        <v>151.55000000000001</v>
      </c>
      <c r="H107" s="8">
        <v>50.02</v>
      </c>
      <c r="I107" s="7">
        <v>550</v>
      </c>
      <c r="J107" s="7">
        <v>50</v>
      </c>
      <c r="K107" s="7">
        <f t="shared" si="4"/>
        <v>101.55000000000001</v>
      </c>
      <c r="L107" s="7">
        <f t="shared" si="5"/>
        <v>60.930000000000007</v>
      </c>
      <c r="M107" s="9">
        <f t="shared" si="6"/>
        <v>4.4761201378631208</v>
      </c>
      <c r="N107" s="10" t="str">
        <f t="shared" si="7"/>
        <v>SI</v>
      </c>
    </row>
    <row r="108" spans="1:14" ht="15.75" customHeight="1" x14ac:dyDescent="0.2">
      <c r="A108" s="11" t="s">
        <v>125</v>
      </c>
      <c r="B108" s="11" t="s">
        <v>434</v>
      </c>
      <c r="C108" s="11" t="s">
        <v>435</v>
      </c>
      <c r="D108" s="12" t="s">
        <v>436</v>
      </c>
      <c r="E108" s="13">
        <v>53</v>
      </c>
      <c r="F108" s="13">
        <v>78.510000000000005</v>
      </c>
      <c r="G108" s="13">
        <v>25.51</v>
      </c>
      <c r="H108" s="16">
        <v>48.14</v>
      </c>
      <c r="I108" s="13">
        <v>95</v>
      </c>
      <c r="J108" s="13">
        <v>0</v>
      </c>
      <c r="K108" s="13">
        <f t="shared" si="4"/>
        <v>25.51</v>
      </c>
      <c r="L108" s="13">
        <f t="shared" si="5"/>
        <v>15.306000000000001</v>
      </c>
      <c r="M108" s="15">
        <f t="shared" si="6"/>
        <v>3.0776166209329676</v>
      </c>
      <c r="N108" s="10" t="str">
        <f t="shared" si="7"/>
        <v>SI</v>
      </c>
    </row>
    <row r="109" spans="1:14" ht="15.75" customHeight="1" x14ac:dyDescent="0.2">
      <c r="A109" s="5" t="s">
        <v>125</v>
      </c>
      <c r="B109" s="5" t="s">
        <v>437</v>
      </c>
      <c r="C109" s="5" t="s">
        <v>438</v>
      </c>
      <c r="D109" s="6" t="s">
        <v>439</v>
      </c>
      <c r="E109" s="7">
        <v>88</v>
      </c>
      <c r="F109" s="7">
        <v>132.22999999999999</v>
      </c>
      <c r="G109" s="7">
        <v>44.23</v>
      </c>
      <c r="H109" s="8">
        <v>50.26</v>
      </c>
      <c r="I109" s="7">
        <v>160</v>
      </c>
      <c r="J109" s="7">
        <v>0</v>
      </c>
      <c r="K109" s="7">
        <f t="shared" si="4"/>
        <v>44.23</v>
      </c>
      <c r="L109" s="7">
        <f t="shared" si="5"/>
        <v>26.537999999999997</v>
      </c>
      <c r="M109" s="9">
        <f t="shared" si="6"/>
        <v>2.9895998191272892</v>
      </c>
      <c r="N109" s="10" t="str">
        <f t="shared" si="7"/>
        <v>SI</v>
      </c>
    </row>
    <row r="110" spans="1:14" ht="15.75" customHeight="1" x14ac:dyDescent="0.2">
      <c r="A110" s="11" t="s">
        <v>125</v>
      </c>
      <c r="B110" s="11" t="s">
        <v>440</v>
      </c>
      <c r="C110" s="11" t="s">
        <v>441</v>
      </c>
      <c r="D110" s="12" t="s">
        <v>442</v>
      </c>
      <c r="E110" s="13">
        <v>165</v>
      </c>
      <c r="F110" s="13">
        <v>247.93</v>
      </c>
      <c r="G110" s="13">
        <v>82.93</v>
      </c>
      <c r="H110" s="14">
        <v>50.26</v>
      </c>
      <c r="I110" s="13">
        <v>300</v>
      </c>
      <c r="J110" s="13">
        <v>0</v>
      </c>
      <c r="K110" s="13">
        <f t="shared" si="4"/>
        <v>82.93</v>
      </c>
      <c r="L110" s="13">
        <f t="shared" si="5"/>
        <v>49.758000000000003</v>
      </c>
      <c r="M110" s="15">
        <f t="shared" si="6"/>
        <v>2.9896298082720363</v>
      </c>
      <c r="N110" s="10" t="str">
        <f t="shared" si="7"/>
        <v>SI</v>
      </c>
    </row>
    <row r="111" spans="1:14" ht="15.75" customHeight="1" x14ac:dyDescent="0.2">
      <c r="A111" s="5" t="s">
        <v>125</v>
      </c>
      <c r="B111" s="5" t="s">
        <v>443</v>
      </c>
      <c r="C111" s="5" t="s">
        <v>444</v>
      </c>
      <c r="D111" s="6" t="s">
        <v>445</v>
      </c>
      <c r="E111" s="7">
        <v>490</v>
      </c>
      <c r="F111" s="7">
        <v>735.54</v>
      </c>
      <c r="G111" s="7">
        <v>245.54</v>
      </c>
      <c r="H111" s="8">
        <v>50.11</v>
      </c>
      <c r="I111" s="7">
        <v>890</v>
      </c>
      <c r="J111" s="7">
        <v>50</v>
      </c>
      <c r="K111" s="7">
        <f t="shared" si="4"/>
        <v>195.54</v>
      </c>
      <c r="L111" s="7">
        <f t="shared" si="5"/>
        <v>117.32399999999998</v>
      </c>
      <c r="M111" s="9">
        <f t="shared" si="6"/>
        <v>3.7615833077631176</v>
      </c>
      <c r="N111" s="10" t="str">
        <f t="shared" si="7"/>
        <v>SI</v>
      </c>
    </row>
    <row r="112" spans="1:14" ht="15.75" customHeight="1" x14ac:dyDescent="0.2">
      <c r="A112" s="11" t="s">
        <v>125</v>
      </c>
      <c r="B112" s="11" t="s">
        <v>446</v>
      </c>
      <c r="C112" s="11" t="s">
        <v>447</v>
      </c>
      <c r="D112" s="12" t="s">
        <v>448</v>
      </c>
      <c r="E112" s="13">
        <v>75</v>
      </c>
      <c r="F112" s="13">
        <v>111.57</v>
      </c>
      <c r="G112" s="13">
        <v>36.57</v>
      </c>
      <c r="H112" s="16">
        <v>48.76</v>
      </c>
      <c r="I112" s="13">
        <v>135</v>
      </c>
      <c r="J112" s="13">
        <v>0</v>
      </c>
      <c r="K112" s="13">
        <f t="shared" si="4"/>
        <v>36.57</v>
      </c>
      <c r="L112" s="13">
        <f t="shared" si="5"/>
        <v>21.942</v>
      </c>
      <c r="M112" s="15">
        <f t="shared" si="6"/>
        <v>3.0508613617719442</v>
      </c>
      <c r="N112" s="10" t="str">
        <f t="shared" si="7"/>
        <v>SI</v>
      </c>
    </row>
    <row r="113" spans="1:14" ht="15.75" customHeight="1" x14ac:dyDescent="0.2">
      <c r="A113" s="5" t="s">
        <v>125</v>
      </c>
      <c r="B113" s="5" t="s">
        <v>449</v>
      </c>
      <c r="C113" s="5" t="s">
        <v>450</v>
      </c>
      <c r="D113" s="6" t="s">
        <v>451</v>
      </c>
      <c r="E113" s="7">
        <v>36</v>
      </c>
      <c r="F113" s="7">
        <v>53.72</v>
      </c>
      <c r="G113" s="7">
        <v>17.72</v>
      </c>
      <c r="H113" s="17">
        <v>49.22</v>
      </c>
      <c r="I113" s="7">
        <v>65</v>
      </c>
      <c r="J113" s="7">
        <v>0</v>
      </c>
      <c r="K113" s="7">
        <f t="shared" si="4"/>
        <v>17.72</v>
      </c>
      <c r="L113" s="7">
        <f t="shared" si="5"/>
        <v>10.632</v>
      </c>
      <c r="M113" s="9">
        <f t="shared" si="6"/>
        <v>3.0316027088036117</v>
      </c>
      <c r="N113" s="10" t="str">
        <f t="shared" si="7"/>
        <v>SI</v>
      </c>
    </row>
    <row r="114" spans="1:14" ht="15.75" customHeight="1" x14ac:dyDescent="0.2">
      <c r="A114" s="11" t="s">
        <v>125</v>
      </c>
      <c r="B114" s="11" t="s">
        <v>452</v>
      </c>
      <c r="C114" s="11" t="s">
        <v>453</v>
      </c>
      <c r="D114" s="12" t="s">
        <v>454</v>
      </c>
      <c r="E114" s="13">
        <v>99</v>
      </c>
      <c r="F114" s="13">
        <v>148.76</v>
      </c>
      <c r="G114" s="13">
        <v>49.76</v>
      </c>
      <c r="H114" s="14">
        <v>50.26</v>
      </c>
      <c r="I114" s="13">
        <v>180</v>
      </c>
      <c r="J114" s="13">
        <v>0</v>
      </c>
      <c r="K114" s="13">
        <f t="shared" si="4"/>
        <v>49.76</v>
      </c>
      <c r="L114" s="13">
        <f t="shared" si="5"/>
        <v>29.855999999999998</v>
      </c>
      <c r="M114" s="15">
        <f t="shared" si="6"/>
        <v>2.9895498392282955</v>
      </c>
      <c r="N114" s="10" t="str">
        <f t="shared" si="7"/>
        <v>SI</v>
      </c>
    </row>
    <row r="115" spans="1:14" ht="15.75" customHeight="1" x14ac:dyDescent="0.2">
      <c r="A115" s="5" t="s">
        <v>125</v>
      </c>
      <c r="B115" s="5" t="s">
        <v>455</v>
      </c>
      <c r="C115" s="5" t="s">
        <v>456</v>
      </c>
      <c r="D115" s="6" t="s">
        <v>457</v>
      </c>
      <c r="E115" s="7">
        <v>820</v>
      </c>
      <c r="F115" s="7">
        <v>1231.4000000000001</v>
      </c>
      <c r="G115" s="7">
        <v>411.4</v>
      </c>
      <c r="H115" s="8">
        <v>50.17</v>
      </c>
      <c r="I115" s="7">
        <v>1490</v>
      </c>
      <c r="J115" s="7">
        <v>0</v>
      </c>
      <c r="K115" s="7">
        <f t="shared" si="4"/>
        <v>411.4</v>
      </c>
      <c r="L115" s="7">
        <f t="shared" si="5"/>
        <v>246.83999999999997</v>
      </c>
      <c r="M115" s="9">
        <f t="shared" si="6"/>
        <v>2.9931939718035978</v>
      </c>
      <c r="N115" s="10" t="str">
        <f t="shared" si="7"/>
        <v>SI</v>
      </c>
    </row>
    <row r="116" spans="1:14" ht="15.75" customHeight="1" x14ac:dyDescent="0.2">
      <c r="A116" s="11" t="s">
        <v>125</v>
      </c>
      <c r="B116" s="11" t="s">
        <v>458</v>
      </c>
      <c r="C116" s="11" t="s">
        <v>459</v>
      </c>
      <c r="D116" s="12" t="s">
        <v>460</v>
      </c>
      <c r="E116" s="13">
        <v>1318</v>
      </c>
      <c r="F116" s="13">
        <v>1979.34</v>
      </c>
      <c r="G116" s="13">
        <v>661.34</v>
      </c>
      <c r="H116" s="14">
        <v>50.18</v>
      </c>
      <c r="I116" s="13">
        <v>2395</v>
      </c>
      <c r="J116" s="13">
        <v>0</v>
      </c>
      <c r="K116" s="13">
        <f t="shared" si="4"/>
        <v>661.34</v>
      </c>
      <c r="L116" s="13">
        <f t="shared" si="5"/>
        <v>396.80400000000003</v>
      </c>
      <c r="M116" s="15">
        <f t="shared" si="6"/>
        <v>2.9929234584328785</v>
      </c>
      <c r="N116" s="10" t="str">
        <f t="shared" si="7"/>
        <v>SI</v>
      </c>
    </row>
    <row r="117" spans="1:14" ht="15.75" customHeight="1" x14ac:dyDescent="0.2">
      <c r="A117" s="5" t="s">
        <v>125</v>
      </c>
      <c r="B117" s="5" t="s">
        <v>461</v>
      </c>
      <c r="C117" s="5" t="s">
        <v>462</v>
      </c>
      <c r="D117" s="6" t="s">
        <v>463</v>
      </c>
      <c r="E117" s="7">
        <v>193</v>
      </c>
      <c r="F117" s="7">
        <v>289.26</v>
      </c>
      <c r="G117" s="7">
        <v>96.26</v>
      </c>
      <c r="H117" s="17">
        <v>49.87</v>
      </c>
      <c r="I117" s="7">
        <v>350</v>
      </c>
      <c r="J117" s="7">
        <v>50</v>
      </c>
      <c r="K117" s="7">
        <f t="shared" si="4"/>
        <v>46.260000000000005</v>
      </c>
      <c r="L117" s="7">
        <f t="shared" si="5"/>
        <v>27.756000000000004</v>
      </c>
      <c r="M117" s="9">
        <f t="shared" si="6"/>
        <v>6.2529182879377423</v>
      </c>
      <c r="N117" s="10" t="str">
        <f t="shared" si="7"/>
        <v>NO</v>
      </c>
    </row>
    <row r="118" spans="1:14" ht="15.75" customHeight="1" x14ac:dyDescent="0.2">
      <c r="A118" s="11" t="s">
        <v>125</v>
      </c>
      <c r="B118" s="11" t="s">
        <v>464</v>
      </c>
      <c r="C118" s="11" t="s">
        <v>465</v>
      </c>
      <c r="D118" s="12" t="s">
        <v>466</v>
      </c>
      <c r="E118" s="13">
        <v>174</v>
      </c>
      <c r="F118" s="13">
        <v>260.33</v>
      </c>
      <c r="G118" s="13">
        <v>86.33</v>
      </c>
      <c r="H118" s="16">
        <v>49.62</v>
      </c>
      <c r="I118" s="13">
        <v>315</v>
      </c>
      <c r="J118" s="13">
        <v>50</v>
      </c>
      <c r="K118" s="13">
        <f t="shared" si="4"/>
        <v>36.33</v>
      </c>
      <c r="L118" s="13">
        <f t="shared" si="5"/>
        <v>21.797999999999998</v>
      </c>
      <c r="M118" s="15">
        <f t="shared" si="6"/>
        <v>7.1657032755298653</v>
      </c>
      <c r="N118" s="10" t="str">
        <f t="shared" si="7"/>
        <v>NO</v>
      </c>
    </row>
    <row r="119" spans="1:14" ht="15.75" customHeight="1" x14ac:dyDescent="0.2">
      <c r="A119" s="5" t="s">
        <v>467</v>
      </c>
      <c r="B119" s="5" t="s">
        <v>468</v>
      </c>
      <c r="C119" s="5" t="s">
        <v>469</v>
      </c>
      <c r="D119" s="6" t="s">
        <v>470</v>
      </c>
      <c r="E119" s="7">
        <v>112.55</v>
      </c>
      <c r="F119" s="7">
        <v>230.73</v>
      </c>
      <c r="G119" s="7">
        <v>64.099999999999994</v>
      </c>
      <c r="H119" s="8">
        <v>56.95</v>
      </c>
      <c r="I119" s="7">
        <v>230.73</v>
      </c>
      <c r="J119" s="7">
        <v>0</v>
      </c>
      <c r="K119" s="7">
        <f t="shared" si="4"/>
        <v>64.099999999999994</v>
      </c>
      <c r="L119" s="7">
        <f t="shared" si="5"/>
        <v>38.459999999999994</v>
      </c>
      <c r="M119" s="9">
        <f t="shared" si="6"/>
        <v>3.5995319812792514</v>
      </c>
      <c r="N119" s="10" t="str">
        <f t="shared" si="7"/>
        <v>CUIDADO</v>
      </c>
    </row>
    <row r="120" spans="1:14" ht="15.75" customHeight="1" x14ac:dyDescent="0.2">
      <c r="A120" s="11" t="s">
        <v>467</v>
      </c>
      <c r="B120" s="11" t="s">
        <v>471</v>
      </c>
      <c r="C120" s="11" t="s">
        <v>472</v>
      </c>
      <c r="D120" s="12" t="s">
        <v>470</v>
      </c>
      <c r="E120" s="13">
        <v>117.05</v>
      </c>
      <c r="F120" s="13">
        <v>239.95</v>
      </c>
      <c r="G120" s="13">
        <v>66.66</v>
      </c>
      <c r="H120" s="14">
        <v>56.95</v>
      </c>
      <c r="I120" s="13">
        <v>239.95</v>
      </c>
      <c r="J120" s="13">
        <v>0</v>
      </c>
      <c r="K120" s="13">
        <f t="shared" si="4"/>
        <v>66.66</v>
      </c>
      <c r="L120" s="13">
        <f t="shared" si="5"/>
        <v>39.995999999999995</v>
      </c>
      <c r="M120" s="15">
        <f t="shared" si="6"/>
        <v>3.5996099609960996</v>
      </c>
      <c r="N120" s="10" t="str">
        <f t="shared" si="7"/>
        <v>CUIDADO</v>
      </c>
    </row>
    <row r="121" spans="1:14" ht="15.75" customHeight="1" x14ac:dyDescent="0.2">
      <c r="A121" s="5" t="s">
        <v>467</v>
      </c>
      <c r="B121" s="5" t="s">
        <v>473</v>
      </c>
      <c r="C121" s="5" t="s">
        <v>474</v>
      </c>
      <c r="D121" s="6" t="s">
        <v>470</v>
      </c>
      <c r="E121" s="7">
        <v>124.07</v>
      </c>
      <c r="F121" s="7">
        <v>254.34</v>
      </c>
      <c r="G121" s="7">
        <v>70.66</v>
      </c>
      <c r="H121" s="8">
        <v>56.95</v>
      </c>
      <c r="I121" s="7">
        <v>254.34</v>
      </c>
      <c r="J121" s="7">
        <v>0</v>
      </c>
      <c r="K121" s="7">
        <f t="shared" si="4"/>
        <v>70.66</v>
      </c>
      <c r="L121" s="7">
        <f t="shared" si="5"/>
        <v>42.395999999999994</v>
      </c>
      <c r="M121" s="9">
        <f t="shared" si="6"/>
        <v>3.5994905179733938</v>
      </c>
      <c r="N121" s="10" t="str">
        <f t="shared" si="7"/>
        <v>CUIDADO</v>
      </c>
    </row>
    <row r="122" spans="1:14" ht="15.75" customHeight="1" x14ac:dyDescent="0.2">
      <c r="A122" s="11" t="s">
        <v>467</v>
      </c>
      <c r="B122" s="11" t="s">
        <v>475</v>
      </c>
      <c r="C122" s="11" t="s">
        <v>476</v>
      </c>
      <c r="D122" s="12" t="s">
        <v>477</v>
      </c>
      <c r="E122" s="13">
        <v>107.1</v>
      </c>
      <c r="F122" s="13">
        <v>219.56</v>
      </c>
      <c r="G122" s="13">
        <v>60.99</v>
      </c>
      <c r="H122" s="14">
        <v>56.95</v>
      </c>
      <c r="I122" s="13">
        <v>219.56</v>
      </c>
      <c r="J122" s="13">
        <v>0</v>
      </c>
      <c r="K122" s="13">
        <f t="shared" si="4"/>
        <v>60.99</v>
      </c>
      <c r="L122" s="13">
        <f t="shared" si="5"/>
        <v>36.594000000000001</v>
      </c>
      <c r="M122" s="15">
        <f t="shared" si="6"/>
        <v>3.5999344154779469</v>
      </c>
      <c r="N122" s="10" t="str">
        <f t="shared" si="7"/>
        <v>CUIDADO</v>
      </c>
    </row>
    <row r="123" spans="1:14" ht="15.75" customHeight="1" x14ac:dyDescent="0.2">
      <c r="A123" s="5" t="s">
        <v>467</v>
      </c>
      <c r="B123" s="5" t="s">
        <v>475</v>
      </c>
      <c r="C123" s="5" t="s">
        <v>478</v>
      </c>
      <c r="D123" s="6" t="s">
        <v>477</v>
      </c>
      <c r="E123" s="7">
        <v>112.55</v>
      </c>
      <c r="F123" s="7">
        <v>230.73</v>
      </c>
      <c r="G123" s="7">
        <v>64.099999999999994</v>
      </c>
      <c r="H123" s="8">
        <v>56.95</v>
      </c>
      <c r="I123" s="7">
        <v>230.73</v>
      </c>
      <c r="J123" s="7">
        <v>0</v>
      </c>
      <c r="K123" s="7">
        <f t="shared" si="4"/>
        <v>64.099999999999994</v>
      </c>
      <c r="L123" s="7">
        <f t="shared" si="5"/>
        <v>38.459999999999994</v>
      </c>
      <c r="M123" s="9">
        <f t="shared" si="6"/>
        <v>3.5995319812792514</v>
      </c>
      <c r="N123" s="10" t="str">
        <f t="shared" si="7"/>
        <v>CUIDADO</v>
      </c>
    </row>
    <row r="124" spans="1:14" ht="15.75" customHeight="1" x14ac:dyDescent="0.2">
      <c r="A124" s="11" t="s">
        <v>467</v>
      </c>
      <c r="B124" s="11" t="s">
        <v>475</v>
      </c>
      <c r="C124" s="11" t="s">
        <v>479</v>
      </c>
      <c r="D124" s="12" t="s">
        <v>477</v>
      </c>
      <c r="E124" s="13">
        <v>93.89</v>
      </c>
      <c r="F124" s="13">
        <v>192.47</v>
      </c>
      <c r="G124" s="13">
        <v>53.47</v>
      </c>
      <c r="H124" s="14">
        <v>56.95</v>
      </c>
      <c r="I124" s="13">
        <v>192.47</v>
      </c>
      <c r="J124" s="13">
        <v>0</v>
      </c>
      <c r="K124" s="13">
        <f t="shared" si="4"/>
        <v>53.47</v>
      </c>
      <c r="L124" s="13">
        <f t="shared" si="5"/>
        <v>32.082000000000001</v>
      </c>
      <c r="M124" s="15">
        <f t="shared" si="6"/>
        <v>3.5995885543295305</v>
      </c>
      <c r="N124" s="10" t="str">
        <f t="shared" si="7"/>
        <v>CUIDADO</v>
      </c>
    </row>
    <row r="125" spans="1:14" ht="15.75" customHeight="1" x14ac:dyDescent="0.2">
      <c r="A125" s="5" t="s">
        <v>467</v>
      </c>
      <c r="B125" s="5" t="s">
        <v>475</v>
      </c>
      <c r="C125" s="5" t="s">
        <v>480</v>
      </c>
      <c r="D125" s="6" t="s">
        <v>477</v>
      </c>
      <c r="E125" s="7">
        <v>96.47</v>
      </c>
      <c r="F125" s="7">
        <v>197.76</v>
      </c>
      <c r="G125" s="7">
        <v>54.94</v>
      </c>
      <c r="H125" s="8">
        <v>56.95</v>
      </c>
      <c r="I125" s="7">
        <v>197.76</v>
      </c>
      <c r="J125" s="7">
        <v>0</v>
      </c>
      <c r="K125" s="7">
        <f t="shared" si="4"/>
        <v>54.94</v>
      </c>
      <c r="L125" s="7">
        <f t="shared" si="5"/>
        <v>32.963999999999999</v>
      </c>
      <c r="M125" s="9">
        <f t="shared" si="6"/>
        <v>3.5995631598107027</v>
      </c>
      <c r="N125" s="10" t="str">
        <f t="shared" si="7"/>
        <v>CUIDADO</v>
      </c>
    </row>
    <row r="126" spans="1:14" ht="15.75" customHeight="1" x14ac:dyDescent="0.2">
      <c r="A126" s="11" t="s">
        <v>467</v>
      </c>
      <c r="B126" s="11" t="s">
        <v>481</v>
      </c>
      <c r="C126" s="11" t="s">
        <v>482</v>
      </c>
      <c r="D126" s="12" t="s">
        <v>477</v>
      </c>
      <c r="E126" s="13">
        <v>106.97</v>
      </c>
      <c r="F126" s="13">
        <v>219.29</v>
      </c>
      <c r="G126" s="13">
        <v>60.92</v>
      </c>
      <c r="H126" s="14">
        <v>56.95</v>
      </c>
      <c r="I126" s="13">
        <v>219.29</v>
      </c>
      <c r="J126" s="13">
        <v>0</v>
      </c>
      <c r="K126" s="13">
        <f t="shared" si="4"/>
        <v>60.92</v>
      </c>
      <c r="L126" s="13">
        <f t="shared" si="5"/>
        <v>36.552</v>
      </c>
      <c r="M126" s="15">
        <f t="shared" si="6"/>
        <v>3.5996388706500326</v>
      </c>
      <c r="N126" s="10" t="str">
        <f t="shared" si="7"/>
        <v>CUIDADO</v>
      </c>
    </row>
    <row r="127" spans="1:14" ht="15.75" customHeight="1" x14ac:dyDescent="0.2">
      <c r="A127" s="5" t="s">
        <v>467</v>
      </c>
      <c r="B127" s="5" t="s">
        <v>481</v>
      </c>
      <c r="C127" s="5" t="s">
        <v>483</v>
      </c>
      <c r="D127" s="6" t="s">
        <v>477</v>
      </c>
      <c r="E127" s="7">
        <v>108.81</v>
      </c>
      <c r="F127" s="7">
        <v>223.06</v>
      </c>
      <c r="G127" s="7">
        <v>61.97</v>
      </c>
      <c r="H127" s="8">
        <v>56.95</v>
      </c>
      <c r="I127" s="7">
        <v>223.06</v>
      </c>
      <c r="J127" s="7">
        <v>0</v>
      </c>
      <c r="K127" s="7">
        <f t="shared" si="4"/>
        <v>61.97</v>
      </c>
      <c r="L127" s="7">
        <f t="shared" si="5"/>
        <v>37.181999999999995</v>
      </c>
      <c r="M127" s="9">
        <f t="shared" si="6"/>
        <v>3.5994836211069874</v>
      </c>
      <c r="N127" s="10" t="str">
        <f t="shared" si="7"/>
        <v>CUIDADO</v>
      </c>
    </row>
    <row r="128" spans="1:14" ht="15.75" customHeight="1" x14ac:dyDescent="0.2">
      <c r="A128" s="11" t="s">
        <v>467</v>
      </c>
      <c r="B128" s="11" t="s">
        <v>481</v>
      </c>
      <c r="C128" s="11" t="s">
        <v>484</v>
      </c>
      <c r="D128" s="12" t="s">
        <v>477</v>
      </c>
      <c r="E128" s="13">
        <v>93.34</v>
      </c>
      <c r="F128" s="13">
        <v>191.35</v>
      </c>
      <c r="G128" s="13">
        <v>53.16</v>
      </c>
      <c r="H128" s="14">
        <v>56.95</v>
      </c>
      <c r="I128" s="13">
        <v>191.35</v>
      </c>
      <c r="J128" s="13">
        <v>0</v>
      </c>
      <c r="K128" s="13">
        <f t="shared" si="4"/>
        <v>53.16</v>
      </c>
      <c r="L128" s="13">
        <f t="shared" si="5"/>
        <v>31.895999999999997</v>
      </c>
      <c r="M128" s="15">
        <f t="shared" si="6"/>
        <v>3.5995109104589917</v>
      </c>
      <c r="N128" s="10" t="str">
        <f t="shared" si="7"/>
        <v>CUIDADO</v>
      </c>
    </row>
    <row r="129" spans="1:14" ht="15.75" customHeight="1" x14ac:dyDescent="0.2">
      <c r="A129" s="5" t="s">
        <v>467</v>
      </c>
      <c r="B129" s="5" t="s">
        <v>481</v>
      </c>
      <c r="C129" s="5" t="s">
        <v>485</v>
      </c>
      <c r="D129" s="6" t="s">
        <v>477</v>
      </c>
      <c r="E129" s="7">
        <v>96.2</v>
      </c>
      <c r="F129" s="7">
        <v>197.21</v>
      </c>
      <c r="G129" s="7">
        <v>54.79</v>
      </c>
      <c r="H129" s="8">
        <v>56.95</v>
      </c>
      <c r="I129" s="7">
        <v>197.21</v>
      </c>
      <c r="J129" s="7">
        <v>0</v>
      </c>
      <c r="K129" s="7">
        <f t="shared" si="4"/>
        <v>54.79</v>
      </c>
      <c r="L129" s="7">
        <f t="shared" si="5"/>
        <v>32.873999999999995</v>
      </c>
      <c r="M129" s="9">
        <f t="shared" si="6"/>
        <v>3.5993794488045268</v>
      </c>
      <c r="N129" s="10" t="str">
        <f t="shared" si="7"/>
        <v>CUIDADO</v>
      </c>
    </row>
    <row r="130" spans="1:14" ht="15.75" customHeight="1" x14ac:dyDescent="0.2">
      <c r="A130" s="11" t="s">
        <v>467</v>
      </c>
      <c r="B130" s="11" t="s">
        <v>471</v>
      </c>
      <c r="C130" s="11" t="s">
        <v>472</v>
      </c>
      <c r="D130" s="12" t="s">
        <v>486</v>
      </c>
      <c r="E130" s="13">
        <v>82.85</v>
      </c>
      <c r="F130" s="13">
        <v>169.84</v>
      </c>
      <c r="G130" s="13">
        <v>47.18</v>
      </c>
      <c r="H130" s="14">
        <v>56.95</v>
      </c>
      <c r="I130" s="13">
        <v>169.84</v>
      </c>
      <c r="J130" s="13">
        <v>0</v>
      </c>
      <c r="K130" s="13">
        <f t="shared" si="4"/>
        <v>47.18</v>
      </c>
      <c r="L130" s="13">
        <f t="shared" si="5"/>
        <v>28.308</v>
      </c>
      <c r="M130" s="15">
        <f t="shared" si="6"/>
        <v>3.5998304366256888</v>
      </c>
      <c r="N130" s="10" t="str">
        <f t="shared" si="7"/>
        <v>CUIDADO</v>
      </c>
    </row>
    <row r="131" spans="1:14" ht="15.75" customHeight="1" x14ac:dyDescent="0.2">
      <c r="A131" s="5" t="s">
        <v>467</v>
      </c>
      <c r="B131" s="5" t="s">
        <v>487</v>
      </c>
      <c r="C131" s="5" t="s">
        <v>488</v>
      </c>
      <c r="D131" s="6" t="s">
        <v>486</v>
      </c>
      <c r="E131" s="7">
        <v>89.39</v>
      </c>
      <c r="F131" s="7">
        <v>183.25</v>
      </c>
      <c r="G131" s="7">
        <v>50.91</v>
      </c>
      <c r="H131" s="8">
        <v>56.95</v>
      </c>
      <c r="I131" s="7">
        <v>183.25</v>
      </c>
      <c r="J131" s="7">
        <v>0</v>
      </c>
      <c r="K131" s="7">
        <f t="shared" ref="K131:K194" si="8">G131-J131</f>
        <v>50.91</v>
      </c>
      <c r="L131" s="7">
        <f t="shared" ref="L131:L194" si="9">K131*$L$1</f>
        <v>30.545999999999996</v>
      </c>
      <c r="M131" s="9">
        <f t="shared" ref="M131:M194" si="10">F131/K131</f>
        <v>3.5994892948340209</v>
      </c>
      <c r="N131" s="10" t="str">
        <f t="shared" ref="N131:N194" si="11">IF(M131&lt;3.5,"SI",IF(M131&lt;4.5,IF(K131&gt;=100,"SI",IF(K131&gt;=40,"CUIDADO","NO")),IF(AND(M131&lt;5.5,F131&gt;=500,K131&gt;=80),"CUIDADO","NO")))</f>
        <v>CUIDADO</v>
      </c>
    </row>
    <row r="132" spans="1:14" ht="15.75" customHeight="1" x14ac:dyDescent="0.2">
      <c r="A132" s="11" t="s">
        <v>467</v>
      </c>
      <c r="B132" s="11" t="s">
        <v>489</v>
      </c>
      <c r="C132" s="11" t="s">
        <v>490</v>
      </c>
      <c r="D132" s="12" t="s">
        <v>486</v>
      </c>
      <c r="E132" s="13">
        <v>94.7</v>
      </c>
      <c r="F132" s="13">
        <v>194.14</v>
      </c>
      <c r="G132" s="13">
        <v>53.93</v>
      </c>
      <c r="H132" s="14">
        <v>56.95</v>
      </c>
      <c r="I132" s="13">
        <v>194.14</v>
      </c>
      <c r="J132" s="13">
        <v>0</v>
      </c>
      <c r="K132" s="13">
        <f t="shared" si="8"/>
        <v>53.93</v>
      </c>
      <c r="L132" s="13">
        <f t="shared" si="9"/>
        <v>32.357999999999997</v>
      </c>
      <c r="M132" s="15">
        <f t="shared" si="10"/>
        <v>3.5998516595586869</v>
      </c>
      <c r="N132" s="10" t="str">
        <f t="shared" si="11"/>
        <v>CUIDADO</v>
      </c>
    </row>
    <row r="133" spans="1:14" ht="15.75" customHeight="1" x14ac:dyDescent="0.2">
      <c r="A133" s="5" t="s">
        <v>467</v>
      </c>
      <c r="B133" s="5" t="s">
        <v>489</v>
      </c>
      <c r="C133" s="5" t="s">
        <v>491</v>
      </c>
      <c r="D133" s="6" t="s">
        <v>486</v>
      </c>
      <c r="E133" s="7">
        <v>98.52</v>
      </c>
      <c r="F133" s="7">
        <v>201.97</v>
      </c>
      <c r="G133" s="7">
        <v>56.11</v>
      </c>
      <c r="H133" s="8">
        <v>56.95</v>
      </c>
      <c r="I133" s="7">
        <v>201.97</v>
      </c>
      <c r="J133" s="7">
        <v>0</v>
      </c>
      <c r="K133" s="7">
        <f t="shared" si="8"/>
        <v>56.11</v>
      </c>
      <c r="L133" s="7">
        <f t="shared" si="9"/>
        <v>33.665999999999997</v>
      </c>
      <c r="M133" s="9">
        <f t="shared" si="10"/>
        <v>3.5995366244876137</v>
      </c>
      <c r="N133" s="10" t="str">
        <f t="shared" si="11"/>
        <v>CUIDADO</v>
      </c>
    </row>
    <row r="134" spans="1:14" ht="15.75" customHeight="1" x14ac:dyDescent="0.2">
      <c r="A134" s="11" t="s">
        <v>467</v>
      </c>
      <c r="B134" s="11" t="s">
        <v>492</v>
      </c>
      <c r="C134" s="11" t="s">
        <v>493</v>
      </c>
      <c r="D134" s="12" t="s">
        <v>486</v>
      </c>
      <c r="E134" s="13">
        <v>97.43</v>
      </c>
      <c r="F134" s="13">
        <v>199.73</v>
      </c>
      <c r="G134" s="13">
        <v>55.49</v>
      </c>
      <c r="H134" s="14">
        <v>56.95</v>
      </c>
      <c r="I134" s="13">
        <v>199.73</v>
      </c>
      <c r="J134" s="13">
        <v>0</v>
      </c>
      <c r="K134" s="13">
        <f t="shared" si="8"/>
        <v>55.49</v>
      </c>
      <c r="L134" s="13">
        <f t="shared" si="9"/>
        <v>33.293999999999997</v>
      </c>
      <c r="M134" s="15">
        <f t="shared" si="10"/>
        <v>3.5993872769868442</v>
      </c>
      <c r="N134" s="10" t="str">
        <f t="shared" si="11"/>
        <v>CUIDADO</v>
      </c>
    </row>
    <row r="135" spans="1:14" ht="15.75" customHeight="1" x14ac:dyDescent="0.2">
      <c r="A135" s="5" t="s">
        <v>467</v>
      </c>
      <c r="B135" s="5" t="s">
        <v>494</v>
      </c>
      <c r="C135" s="5" t="s">
        <v>495</v>
      </c>
      <c r="D135" s="6" t="s">
        <v>470</v>
      </c>
      <c r="E135" s="7">
        <v>215.24</v>
      </c>
      <c r="F135" s="7">
        <v>441.24</v>
      </c>
      <c r="G135" s="7">
        <v>122.58</v>
      </c>
      <c r="H135" s="8">
        <v>56.95</v>
      </c>
      <c r="I135" s="7">
        <v>441.24</v>
      </c>
      <c r="J135" s="7">
        <v>0</v>
      </c>
      <c r="K135" s="7">
        <f t="shared" si="8"/>
        <v>122.58</v>
      </c>
      <c r="L135" s="7">
        <f t="shared" si="9"/>
        <v>73.548000000000002</v>
      </c>
      <c r="M135" s="9">
        <f t="shared" si="10"/>
        <v>3.599608418991679</v>
      </c>
      <c r="N135" s="10" t="str">
        <f t="shared" si="11"/>
        <v>SI</v>
      </c>
    </row>
    <row r="136" spans="1:14" ht="15.75" customHeight="1" x14ac:dyDescent="0.2">
      <c r="A136" s="11" t="s">
        <v>467</v>
      </c>
      <c r="B136" s="11" t="s">
        <v>494</v>
      </c>
      <c r="C136" s="11" t="s">
        <v>496</v>
      </c>
      <c r="D136" s="12" t="s">
        <v>470</v>
      </c>
      <c r="E136" s="13">
        <v>225.25</v>
      </c>
      <c r="F136" s="13">
        <v>461.76</v>
      </c>
      <c r="G136" s="13">
        <v>128.28</v>
      </c>
      <c r="H136" s="14">
        <v>56.95</v>
      </c>
      <c r="I136" s="13">
        <v>461.76</v>
      </c>
      <c r="J136" s="13">
        <v>0</v>
      </c>
      <c r="K136" s="13">
        <f t="shared" si="8"/>
        <v>128.28</v>
      </c>
      <c r="L136" s="13">
        <f t="shared" si="9"/>
        <v>76.968000000000004</v>
      </c>
      <c r="M136" s="15">
        <f t="shared" si="10"/>
        <v>3.5996258185219832</v>
      </c>
      <c r="N136" s="10" t="str">
        <f t="shared" si="11"/>
        <v>SI</v>
      </c>
    </row>
    <row r="137" spans="1:14" ht="15.75" customHeight="1" x14ac:dyDescent="0.2">
      <c r="A137" s="5" t="s">
        <v>467</v>
      </c>
      <c r="B137" s="5" t="s">
        <v>497</v>
      </c>
      <c r="C137" s="5" t="s">
        <v>498</v>
      </c>
      <c r="D137" s="6" t="s">
        <v>499</v>
      </c>
      <c r="E137" s="7">
        <v>287.64</v>
      </c>
      <c r="F137" s="7">
        <v>589.66</v>
      </c>
      <c r="G137" s="7">
        <v>163.81</v>
      </c>
      <c r="H137" s="8">
        <v>56.95</v>
      </c>
      <c r="I137" s="7">
        <v>589.66</v>
      </c>
      <c r="J137" s="7">
        <v>0</v>
      </c>
      <c r="K137" s="7">
        <f t="shared" si="8"/>
        <v>163.81</v>
      </c>
      <c r="L137" s="7">
        <f t="shared" si="9"/>
        <v>98.286000000000001</v>
      </c>
      <c r="M137" s="9">
        <f t="shared" si="10"/>
        <v>3.599658140528661</v>
      </c>
      <c r="N137" s="10" t="str">
        <f t="shared" si="11"/>
        <v>SI</v>
      </c>
    </row>
    <row r="138" spans="1:14" ht="15.75" customHeight="1" x14ac:dyDescent="0.2">
      <c r="A138" s="11" t="s">
        <v>467</v>
      </c>
      <c r="B138" s="11" t="s">
        <v>497</v>
      </c>
      <c r="C138" s="11" t="s">
        <v>500</v>
      </c>
      <c r="D138" s="12" t="s">
        <v>501</v>
      </c>
      <c r="E138" s="13">
        <v>315.63</v>
      </c>
      <c r="F138" s="13">
        <v>647.04</v>
      </c>
      <c r="G138" s="13">
        <v>179.75</v>
      </c>
      <c r="H138" s="14">
        <v>56.95</v>
      </c>
      <c r="I138" s="13">
        <v>647.04</v>
      </c>
      <c r="J138" s="13">
        <v>0</v>
      </c>
      <c r="K138" s="13">
        <f t="shared" si="8"/>
        <v>179.75</v>
      </c>
      <c r="L138" s="13">
        <f t="shared" si="9"/>
        <v>107.85</v>
      </c>
      <c r="M138" s="15">
        <f t="shared" si="10"/>
        <v>3.599666203059805</v>
      </c>
      <c r="N138" s="10" t="str">
        <f t="shared" si="11"/>
        <v>SI</v>
      </c>
    </row>
    <row r="139" spans="1:14" ht="15.75" customHeight="1" x14ac:dyDescent="0.2">
      <c r="A139" s="5" t="s">
        <v>467</v>
      </c>
      <c r="B139" s="5" t="s">
        <v>502</v>
      </c>
      <c r="C139" s="5" t="s">
        <v>503</v>
      </c>
      <c r="D139" s="6" t="s">
        <v>504</v>
      </c>
      <c r="E139" s="7">
        <v>229.08</v>
      </c>
      <c r="F139" s="7">
        <v>469.61</v>
      </c>
      <c r="G139" s="7">
        <v>130.46</v>
      </c>
      <c r="H139" s="8">
        <v>56.95</v>
      </c>
      <c r="I139" s="7">
        <v>469.61</v>
      </c>
      <c r="J139" s="7">
        <v>0</v>
      </c>
      <c r="K139" s="7">
        <f t="shared" si="8"/>
        <v>130.46</v>
      </c>
      <c r="L139" s="7">
        <f t="shared" si="9"/>
        <v>78.275999999999996</v>
      </c>
      <c r="M139" s="9">
        <f t="shared" si="10"/>
        <v>3.5996474015023763</v>
      </c>
      <c r="N139" s="10" t="str">
        <f t="shared" si="11"/>
        <v>SI</v>
      </c>
    </row>
    <row r="140" spans="1:14" ht="15.75" customHeight="1" x14ac:dyDescent="0.2">
      <c r="A140" s="11" t="s">
        <v>467</v>
      </c>
      <c r="B140" s="11" t="s">
        <v>502</v>
      </c>
      <c r="C140" s="11" t="s">
        <v>505</v>
      </c>
      <c r="D140" s="12" t="s">
        <v>501</v>
      </c>
      <c r="E140" s="13">
        <v>252.74</v>
      </c>
      <c r="F140" s="13">
        <v>518.12</v>
      </c>
      <c r="G140" s="13">
        <v>143.93</v>
      </c>
      <c r="H140" s="14">
        <v>56.95</v>
      </c>
      <c r="I140" s="13">
        <v>518.12</v>
      </c>
      <c r="J140" s="13">
        <v>0</v>
      </c>
      <c r="K140" s="13">
        <f t="shared" si="8"/>
        <v>143.93</v>
      </c>
      <c r="L140" s="13">
        <f t="shared" si="9"/>
        <v>86.358000000000004</v>
      </c>
      <c r="M140" s="15">
        <f t="shared" si="10"/>
        <v>3.5998054609879802</v>
      </c>
      <c r="N140" s="10" t="str">
        <f t="shared" si="11"/>
        <v>SI</v>
      </c>
    </row>
    <row r="141" spans="1:14" ht="15.75" customHeight="1" x14ac:dyDescent="0.2">
      <c r="A141" s="5" t="s">
        <v>467</v>
      </c>
      <c r="B141" s="5" t="s">
        <v>506</v>
      </c>
      <c r="C141" s="5" t="s">
        <v>507</v>
      </c>
      <c r="D141" s="6" t="s">
        <v>504</v>
      </c>
      <c r="E141" s="7">
        <v>248.76</v>
      </c>
      <c r="F141" s="7">
        <v>509.96</v>
      </c>
      <c r="G141" s="7">
        <v>141.66999999999999</v>
      </c>
      <c r="H141" s="8">
        <v>56.95</v>
      </c>
      <c r="I141" s="7">
        <v>509.96</v>
      </c>
      <c r="J141" s="7">
        <v>0</v>
      </c>
      <c r="K141" s="7">
        <f t="shared" si="8"/>
        <v>141.66999999999999</v>
      </c>
      <c r="L141" s="7">
        <f t="shared" si="9"/>
        <v>85.001999999999995</v>
      </c>
      <c r="M141" s="9">
        <f t="shared" si="10"/>
        <v>3.5996329498129458</v>
      </c>
      <c r="N141" s="10" t="str">
        <f t="shared" si="11"/>
        <v>SI</v>
      </c>
    </row>
    <row r="142" spans="1:14" ht="15.75" customHeight="1" x14ac:dyDescent="0.2">
      <c r="A142" s="11" t="s">
        <v>467</v>
      </c>
      <c r="B142" s="11" t="s">
        <v>506</v>
      </c>
      <c r="C142" s="11" t="s">
        <v>508</v>
      </c>
      <c r="D142" s="12" t="s">
        <v>501</v>
      </c>
      <c r="E142" s="13">
        <v>266.56</v>
      </c>
      <c r="F142" s="13">
        <v>546.45000000000005</v>
      </c>
      <c r="G142" s="13">
        <v>151.81</v>
      </c>
      <c r="H142" s="14">
        <v>56.95</v>
      </c>
      <c r="I142" s="13">
        <v>546.45000000000005</v>
      </c>
      <c r="J142" s="13">
        <v>0</v>
      </c>
      <c r="K142" s="13">
        <f t="shared" si="8"/>
        <v>151.81</v>
      </c>
      <c r="L142" s="13">
        <f t="shared" si="9"/>
        <v>91.085999999999999</v>
      </c>
      <c r="M142" s="15">
        <f t="shared" si="10"/>
        <v>3.5995652460312235</v>
      </c>
      <c r="N142" s="10" t="str">
        <f t="shared" si="11"/>
        <v>SI</v>
      </c>
    </row>
    <row r="143" spans="1:14" ht="15.75" customHeight="1" x14ac:dyDescent="0.2">
      <c r="A143" s="5" t="s">
        <v>467</v>
      </c>
      <c r="B143" s="5" t="s">
        <v>509</v>
      </c>
      <c r="C143" s="5" t="s">
        <v>510</v>
      </c>
      <c r="D143" s="6" t="s">
        <v>511</v>
      </c>
      <c r="E143" s="7">
        <v>337.77</v>
      </c>
      <c r="F143" s="7">
        <v>692.43</v>
      </c>
      <c r="G143" s="7">
        <v>192.36</v>
      </c>
      <c r="H143" s="8">
        <v>56.95</v>
      </c>
      <c r="I143" s="7">
        <v>692.43</v>
      </c>
      <c r="J143" s="7">
        <v>0</v>
      </c>
      <c r="K143" s="7">
        <f t="shared" si="8"/>
        <v>192.36</v>
      </c>
      <c r="L143" s="7">
        <f t="shared" si="9"/>
        <v>115.416</v>
      </c>
      <c r="M143" s="9">
        <f t="shared" si="10"/>
        <v>3.5996568933250153</v>
      </c>
      <c r="N143" s="10" t="str">
        <f t="shared" si="11"/>
        <v>SI</v>
      </c>
    </row>
    <row r="144" spans="1:14" ht="15.75" customHeight="1" x14ac:dyDescent="0.2">
      <c r="A144" s="11" t="s">
        <v>467</v>
      </c>
      <c r="B144" s="11" t="s">
        <v>512</v>
      </c>
      <c r="C144" s="11" t="s">
        <v>513</v>
      </c>
      <c r="D144" s="12" t="s">
        <v>514</v>
      </c>
      <c r="E144" s="13">
        <v>173.92</v>
      </c>
      <c r="F144" s="13">
        <v>356.54</v>
      </c>
      <c r="G144" s="13">
        <v>99.05</v>
      </c>
      <c r="H144" s="14">
        <v>56.95</v>
      </c>
      <c r="I144" s="13">
        <v>356.54</v>
      </c>
      <c r="J144" s="13">
        <v>0</v>
      </c>
      <c r="K144" s="13">
        <f t="shared" si="8"/>
        <v>99.05</v>
      </c>
      <c r="L144" s="13">
        <f t="shared" si="9"/>
        <v>59.429999999999993</v>
      </c>
      <c r="M144" s="15">
        <f t="shared" si="10"/>
        <v>3.5995961635537612</v>
      </c>
      <c r="N144" s="10" t="str">
        <f t="shared" si="11"/>
        <v>CUIDADO</v>
      </c>
    </row>
    <row r="145" spans="1:14" ht="15.75" customHeight="1" x14ac:dyDescent="0.2">
      <c r="A145" s="5" t="s">
        <v>467</v>
      </c>
      <c r="B145" s="5" t="s">
        <v>515</v>
      </c>
      <c r="C145" s="5" t="s">
        <v>516</v>
      </c>
      <c r="D145" s="6" t="s">
        <v>517</v>
      </c>
      <c r="E145" s="7">
        <v>226.62</v>
      </c>
      <c r="F145" s="7">
        <v>464.57</v>
      </c>
      <c r="G145" s="7">
        <v>129.06</v>
      </c>
      <c r="H145" s="8">
        <v>56.95</v>
      </c>
      <c r="I145" s="7">
        <v>464.57</v>
      </c>
      <c r="J145" s="7">
        <v>0</v>
      </c>
      <c r="K145" s="7">
        <f t="shared" si="8"/>
        <v>129.06</v>
      </c>
      <c r="L145" s="7">
        <f t="shared" si="9"/>
        <v>77.435999999999993</v>
      </c>
      <c r="M145" s="9">
        <f t="shared" si="10"/>
        <v>3.5996435766310242</v>
      </c>
      <c r="N145" s="10" t="str">
        <f t="shared" si="11"/>
        <v>SI</v>
      </c>
    </row>
    <row r="146" spans="1:14" ht="15.75" customHeight="1" x14ac:dyDescent="0.2">
      <c r="A146" s="11" t="s">
        <v>467</v>
      </c>
      <c r="B146" s="11" t="s">
        <v>518</v>
      </c>
      <c r="C146" s="11" t="s">
        <v>519</v>
      </c>
      <c r="D146" s="12" t="s">
        <v>520</v>
      </c>
      <c r="E146" s="13">
        <v>140.88999999999999</v>
      </c>
      <c r="F146" s="13">
        <v>288.82</v>
      </c>
      <c r="G146" s="13">
        <v>80.239999999999995</v>
      </c>
      <c r="H146" s="14">
        <v>56.95</v>
      </c>
      <c r="I146" s="13">
        <v>288.82</v>
      </c>
      <c r="J146" s="13">
        <v>0</v>
      </c>
      <c r="K146" s="13">
        <f t="shared" si="8"/>
        <v>80.239999999999995</v>
      </c>
      <c r="L146" s="13">
        <f t="shared" si="9"/>
        <v>48.143999999999998</v>
      </c>
      <c r="M146" s="15">
        <f t="shared" si="10"/>
        <v>3.5994516450648057</v>
      </c>
      <c r="N146" s="10" t="str">
        <f t="shared" si="11"/>
        <v>CUIDADO</v>
      </c>
    </row>
    <row r="147" spans="1:14" ht="15.75" customHeight="1" x14ac:dyDescent="0.2">
      <c r="A147" s="5" t="s">
        <v>467</v>
      </c>
      <c r="B147" s="5" t="s">
        <v>521</v>
      </c>
      <c r="C147" s="5" t="s">
        <v>522</v>
      </c>
      <c r="D147" s="6" t="s">
        <v>523</v>
      </c>
      <c r="E147" s="7">
        <v>139.66999999999999</v>
      </c>
      <c r="F147" s="7">
        <v>286.32</v>
      </c>
      <c r="G147" s="7">
        <v>79.540000000000006</v>
      </c>
      <c r="H147" s="8">
        <v>56.95</v>
      </c>
      <c r="I147" s="7">
        <v>286.32</v>
      </c>
      <c r="J147" s="7">
        <v>0</v>
      </c>
      <c r="K147" s="7">
        <f t="shared" si="8"/>
        <v>79.540000000000006</v>
      </c>
      <c r="L147" s="7">
        <f t="shared" si="9"/>
        <v>47.724000000000004</v>
      </c>
      <c r="M147" s="9">
        <f t="shared" si="10"/>
        <v>3.5996982650238869</v>
      </c>
      <c r="N147" s="10" t="str">
        <f t="shared" si="11"/>
        <v>CUIDADO</v>
      </c>
    </row>
    <row r="148" spans="1:14" ht="15.75" customHeight="1" x14ac:dyDescent="0.2">
      <c r="A148" s="11" t="s">
        <v>467</v>
      </c>
      <c r="B148" s="11" t="s">
        <v>524</v>
      </c>
      <c r="C148" s="11" t="s">
        <v>525</v>
      </c>
      <c r="D148" s="12" t="s">
        <v>526</v>
      </c>
      <c r="E148" s="13">
        <v>114.6</v>
      </c>
      <c r="F148" s="13">
        <v>234.93</v>
      </c>
      <c r="G148" s="13">
        <v>65.260000000000005</v>
      </c>
      <c r="H148" s="14">
        <v>56.95</v>
      </c>
      <c r="I148" s="13">
        <v>234.93</v>
      </c>
      <c r="J148" s="13">
        <v>0</v>
      </c>
      <c r="K148" s="13">
        <f t="shared" si="8"/>
        <v>65.260000000000005</v>
      </c>
      <c r="L148" s="13">
        <f t="shared" si="9"/>
        <v>39.155999999999999</v>
      </c>
      <c r="M148" s="15">
        <f t="shared" si="10"/>
        <v>3.5999080600674223</v>
      </c>
      <c r="N148" s="10" t="str">
        <f t="shared" si="11"/>
        <v>CUIDADO</v>
      </c>
    </row>
    <row r="149" spans="1:14" ht="15.75" customHeight="1" x14ac:dyDescent="0.2">
      <c r="A149" s="5" t="s">
        <v>467</v>
      </c>
      <c r="B149" s="5" t="s">
        <v>527</v>
      </c>
      <c r="C149" s="5" t="s">
        <v>528</v>
      </c>
      <c r="D149" s="6" t="s">
        <v>529</v>
      </c>
      <c r="E149" s="7">
        <v>1073.6099999999999</v>
      </c>
      <c r="F149" s="7">
        <v>2200.9</v>
      </c>
      <c r="G149" s="7">
        <v>611.41999999999996</v>
      </c>
      <c r="H149" s="8">
        <v>56.95</v>
      </c>
      <c r="I149" s="7">
        <v>2200.9</v>
      </c>
      <c r="J149" s="7">
        <v>0</v>
      </c>
      <c r="K149" s="7">
        <f t="shared" si="8"/>
        <v>611.41999999999996</v>
      </c>
      <c r="L149" s="7">
        <f t="shared" si="9"/>
        <v>366.85199999999998</v>
      </c>
      <c r="M149" s="9">
        <f t="shared" si="10"/>
        <v>3.5996532661672833</v>
      </c>
      <c r="N149" s="10" t="str">
        <f t="shared" si="11"/>
        <v>SI</v>
      </c>
    </row>
    <row r="150" spans="1:14" ht="15.75" customHeight="1" x14ac:dyDescent="0.2">
      <c r="A150" s="11" t="s">
        <v>467</v>
      </c>
      <c r="B150" s="11" t="s">
        <v>530</v>
      </c>
      <c r="C150" s="11" t="s">
        <v>531</v>
      </c>
      <c r="D150" s="12" t="s">
        <v>532</v>
      </c>
      <c r="E150" s="13">
        <v>1510.81</v>
      </c>
      <c r="F150" s="13">
        <v>3097.16</v>
      </c>
      <c r="G150" s="13">
        <v>860.41</v>
      </c>
      <c r="H150" s="14">
        <v>56.95</v>
      </c>
      <c r="I150" s="13">
        <v>3097.16</v>
      </c>
      <c r="J150" s="13">
        <v>0</v>
      </c>
      <c r="K150" s="13">
        <f t="shared" si="8"/>
        <v>860.41</v>
      </c>
      <c r="L150" s="13">
        <f t="shared" si="9"/>
        <v>516.24599999999998</v>
      </c>
      <c r="M150" s="15">
        <f t="shared" si="10"/>
        <v>3.5996327332318314</v>
      </c>
      <c r="N150" s="10" t="str">
        <f t="shared" si="11"/>
        <v>SI</v>
      </c>
    </row>
    <row r="151" spans="1:14" ht="15.75" customHeight="1" x14ac:dyDescent="0.2">
      <c r="A151" s="5" t="s">
        <v>467</v>
      </c>
      <c r="B151" s="5" t="s">
        <v>533</v>
      </c>
      <c r="C151" s="5" t="s">
        <v>534</v>
      </c>
      <c r="D151" s="6" t="s">
        <v>535</v>
      </c>
      <c r="E151" s="7">
        <v>100.25</v>
      </c>
      <c r="F151" s="7">
        <v>205.51</v>
      </c>
      <c r="G151" s="7">
        <v>57.09</v>
      </c>
      <c r="H151" s="8">
        <v>56.95</v>
      </c>
      <c r="I151" s="7">
        <v>205.51</v>
      </c>
      <c r="J151" s="7">
        <v>0</v>
      </c>
      <c r="K151" s="7">
        <f t="shared" si="8"/>
        <v>57.09</v>
      </c>
      <c r="L151" s="7">
        <f t="shared" si="9"/>
        <v>34.253999999999998</v>
      </c>
      <c r="M151" s="9">
        <f t="shared" si="10"/>
        <v>3.5997547731651776</v>
      </c>
      <c r="N151" s="10" t="str">
        <f t="shared" si="11"/>
        <v>CUIDADO</v>
      </c>
    </row>
    <row r="152" spans="1:14" ht="15.75" customHeight="1" x14ac:dyDescent="0.2">
      <c r="A152" s="11" t="s">
        <v>467</v>
      </c>
      <c r="B152" s="11" t="s">
        <v>536</v>
      </c>
      <c r="C152" s="11" t="s">
        <v>537</v>
      </c>
      <c r="D152" s="12" t="s">
        <v>538</v>
      </c>
      <c r="E152" s="13">
        <v>97.71</v>
      </c>
      <c r="F152" s="13">
        <v>200.31</v>
      </c>
      <c r="G152" s="13">
        <v>55.64</v>
      </c>
      <c r="H152" s="14">
        <v>56.95</v>
      </c>
      <c r="I152" s="13">
        <v>200.31</v>
      </c>
      <c r="J152" s="13">
        <v>0</v>
      </c>
      <c r="K152" s="13">
        <f t="shared" si="8"/>
        <v>55.64</v>
      </c>
      <c r="L152" s="13">
        <f t="shared" si="9"/>
        <v>33.384</v>
      </c>
      <c r="M152" s="15">
        <f t="shared" si="10"/>
        <v>3.6001078360891445</v>
      </c>
      <c r="N152" s="10" t="str">
        <f t="shared" si="11"/>
        <v>CUIDADO</v>
      </c>
    </row>
    <row r="153" spans="1:14" ht="15.75" customHeight="1" x14ac:dyDescent="0.2">
      <c r="A153" s="5" t="s">
        <v>467</v>
      </c>
      <c r="B153" s="5" t="s">
        <v>539</v>
      </c>
      <c r="C153" s="5" t="s">
        <v>540</v>
      </c>
      <c r="D153" s="6" t="s">
        <v>538</v>
      </c>
      <c r="E153" s="7">
        <v>102.17</v>
      </c>
      <c r="F153" s="7">
        <v>209.45</v>
      </c>
      <c r="G153" s="7">
        <v>58.19</v>
      </c>
      <c r="H153" s="8">
        <v>56.95</v>
      </c>
      <c r="I153" s="7">
        <v>209.45</v>
      </c>
      <c r="J153" s="7">
        <v>0</v>
      </c>
      <c r="K153" s="7">
        <f t="shared" si="8"/>
        <v>58.19</v>
      </c>
      <c r="L153" s="7">
        <f t="shared" si="9"/>
        <v>34.913999999999994</v>
      </c>
      <c r="M153" s="9">
        <f t="shared" si="10"/>
        <v>3.5994157071661799</v>
      </c>
      <c r="N153" s="10" t="str">
        <f t="shared" si="11"/>
        <v>CUIDADO</v>
      </c>
    </row>
    <row r="154" spans="1:14" ht="15.75" customHeight="1" x14ac:dyDescent="0.2">
      <c r="A154" s="11" t="s">
        <v>467</v>
      </c>
      <c r="B154" s="11" t="s">
        <v>541</v>
      </c>
      <c r="C154" s="11" t="s">
        <v>542</v>
      </c>
      <c r="D154" s="12" t="s">
        <v>543</v>
      </c>
      <c r="E154" s="13">
        <v>41.58</v>
      </c>
      <c r="F154" s="13">
        <v>85.24</v>
      </c>
      <c r="G154" s="13">
        <v>23.68</v>
      </c>
      <c r="H154" s="14">
        <v>56.95</v>
      </c>
      <c r="I154" s="13">
        <v>85.24</v>
      </c>
      <c r="J154" s="13">
        <v>0</v>
      </c>
      <c r="K154" s="13">
        <f t="shared" si="8"/>
        <v>23.68</v>
      </c>
      <c r="L154" s="13">
        <f t="shared" si="9"/>
        <v>14.208</v>
      </c>
      <c r="M154" s="15">
        <f t="shared" si="10"/>
        <v>3.5996621621621618</v>
      </c>
      <c r="N154" s="10" t="str">
        <f t="shared" si="11"/>
        <v>NO</v>
      </c>
    </row>
    <row r="155" spans="1:14" ht="15.75" customHeight="1" x14ac:dyDescent="0.2">
      <c r="A155" s="5" t="s">
        <v>467</v>
      </c>
      <c r="B155" s="5" t="s">
        <v>541</v>
      </c>
      <c r="C155" s="5" t="s">
        <v>544</v>
      </c>
      <c r="D155" s="6" t="s">
        <v>543</v>
      </c>
      <c r="E155" s="7">
        <v>43.92</v>
      </c>
      <c r="F155" s="7">
        <v>90.04</v>
      </c>
      <c r="G155" s="7">
        <v>25.01</v>
      </c>
      <c r="H155" s="8">
        <v>56.95</v>
      </c>
      <c r="I155" s="7">
        <v>90.04</v>
      </c>
      <c r="J155" s="7">
        <v>0</v>
      </c>
      <c r="K155" s="7">
        <f t="shared" si="8"/>
        <v>25.01</v>
      </c>
      <c r="L155" s="7">
        <f t="shared" si="9"/>
        <v>15.006</v>
      </c>
      <c r="M155" s="9">
        <f t="shared" si="10"/>
        <v>3.6001599360255896</v>
      </c>
      <c r="N155" s="10" t="str">
        <f t="shared" si="11"/>
        <v>NO</v>
      </c>
    </row>
    <row r="156" spans="1:14" ht="15.75" customHeight="1" x14ac:dyDescent="0.2">
      <c r="A156" s="11" t="s">
        <v>467</v>
      </c>
      <c r="B156" s="11" t="s">
        <v>545</v>
      </c>
      <c r="C156" s="11" t="s">
        <v>546</v>
      </c>
      <c r="D156" s="12" t="s">
        <v>547</v>
      </c>
      <c r="E156" s="13">
        <v>54.81</v>
      </c>
      <c r="F156" s="13">
        <v>112.36</v>
      </c>
      <c r="G156" s="13">
        <v>31.21</v>
      </c>
      <c r="H156" s="14">
        <v>56.95</v>
      </c>
      <c r="I156" s="13">
        <v>112.36</v>
      </c>
      <c r="J156" s="13">
        <v>0</v>
      </c>
      <c r="K156" s="13">
        <f t="shared" si="8"/>
        <v>31.21</v>
      </c>
      <c r="L156" s="13">
        <f t="shared" si="9"/>
        <v>18.725999999999999</v>
      </c>
      <c r="M156" s="15">
        <f t="shared" si="10"/>
        <v>3.600128164049984</v>
      </c>
      <c r="N156" s="10" t="str">
        <f t="shared" si="11"/>
        <v>NO</v>
      </c>
    </row>
    <row r="157" spans="1:14" ht="15.75" customHeight="1" x14ac:dyDescent="0.2">
      <c r="A157" s="5" t="s">
        <v>467</v>
      </c>
      <c r="B157" s="5" t="s">
        <v>545</v>
      </c>
      <c r="C157" s="5" t="s">
        <v>548</v>
      </c>
      <c r="D157" s="6" t="s">
        <v>547</v>
      </c>
      <c r="E157" s="7">
        <v>55.63</v>
      </c>
      <c r="F157" s="7">
        <v>114.04</v>
      </c>
      <c r="G157" s="7">
        <v>31.68</v>
      </c>
      <c r="H157" s="8">
        <v>56.95</v>
      </c>
      <c r="I157" s="7">
        <v>114.04</v>
      </c>
      <c r="J157" s="7">
        <v>0</v>
      </c>
      <c r="K157" s="7">
        <f t="shared" si="8"/>
        <v>31.68</v>
      </c>
      <c r="L157" s="7">
        <f t="shared" si="9"/>
        <v>19.007999999999999</v>
      </c>
      <c r="M157" s="9">
        <f t="shared" si="10"/>
        <v>3.5997474747474749</v>
      </c>
      <c r="N157" s="10" t="str">
        <f t="shared" si="11"/>
        <v>NO</v>
      </c>
    </row>
    <row r="158" spans="1:14" ht="15.75" customHeight="1" x14ac:dyDescent="0.2">
      <c r="A158" s="11" t="s">
        <v>467</v>
      </c>
      <c r="B158" s="11" t="s">
        <v>549</v>
      </c>
      <c r="C158" s="11" t="s">
        <v>550</v>
      </c>
      <c r="D158" s="12" t="s">
        <v>551</v>
      </c>
      <c r="E158" s="13">
        <v>17.170000000000002</v>
      </c>
      <c r="F158" s="13">
        <v>35.200000000000003</v>
      </c>
      <c r="G158" s="13">
        <v>9.7799999999999994</v>
      </c>
      <c r="H158" s="14">
        <v>56.95</v>
      </c>
      <c r="I158" s="13">
        <v>35.200000000000003</v>
      </c>
      <c r="J158" s="13">
        <v>0</v>
      </c>
      <c r="K158" s="13">
        <f t="shared" si="8"/>
        <v>9.7799999999999994</v>
      </c>
      <c r="L158" s="13">
        <f t="shared" si="9"/>
        <v>5.8679999999999994</v>
      </c>
      <c r="M158" s="15">
        <f t="shared" si="10"/>
        <v>3.5991820040899802</v>
      </c>
      <c r="N158" s="10" t="str">
        <f t="shared" si="11"/>
        <v>NO</v>
      </c>
    </row>
    <row r="159" spans="1:14" ht="15.75" customHeight="1" x14ac:dyDescent="0.2">
      <c r="A159" s="5" t="s">
        <v>467</v>
      </c>
      <c r="B159" s="5" t="s">
        <v>549</v>
      </c>
      <c r="C159" s="5" t="s">
        <v>552</v>
      </c>
      <c r="D159" s="6" t="s">
        <v>551</v>
      </c>
      <c r="E159" s="7">
        <v>20.77</v>
      </c>
      <c r="F159" s="7">
        <v>42.58</v>
      </c>
      <c r="G159" s="7">
        <v>11.83</v>
      </c>
      <c r="H159" s="8">
        <v>56.95</v>
      </c>
      <c r="I159" s="7">
        <v>42.58</v>
      </c>
      <c r="J159" s="7">
        <v>0</v>
      </c>
      <c r="K159" s="7">
        <f t="shared" si="8"/>
        <v>11.83</v>
      </c>
      <c r="L159" s="7">
        <f t="shared" si="9"/>
        <v>7.0979999999999999</v>
      </c>
      <c r="M159" s="9">
        <f t="shared" si="10"/>
        <v>3.5993237531699069</v>
      </c>
      <c r="N159" s="10" t="str">
        <f t="shared" si="11"/>
        <v>NO</v>
      </c>
    </row>
    <row r="160" spans="1:14" ht="15.75" customHeight="1" x14ac:dyDescent="0.2">
      <c r="A160" s="11" t="s">
        <v>467</v>
      </c>
      <c r="B160" s="11" t="s">
        <v>553</v>
      </c>
      <c r="C160" s="11" t="s">
        <v>554</v>
      </c>
      <c r="D160" s="12" t="s">
        <v>555</v>
      </c>
      <c r="E160" s="13">
        <v>43.89</v>
      </c>
      <c r="F160" s="13">
        <v>89.97</v>
      </c>
      <c r="G160" s="13">
        <v>25</v>
      </c>
      <c r="H160" s="14">
        <v>56.95</v>
      </c>
      <c r="I160" s="13">
        <v>89.97</v>
      </c>
      <c r="J160" s="13">
        <v>0</v>
      </c>
      <c r="K160" s="13">
        <f t="shared" si="8"/>
        <v>25</v>
      </c>
      <c r="L160" s="13">
        <f t="shared" si="9"/>
        <v>15</v>
      </c>
      <c r="M160" s="15">
        <f t="shared" si="10"/>
        <v>3.5987999999999998</v>
      </c>
      <c r="N160" s="10" t="str">
        <f t="shared" si="11"/>
        <v>NO</v>
      </c>
    </row>
    <row r="161" spans="1:14" ht="15.75" customHeight="1" x14ac:dyDescent="0.2">
      <c r="A161" s="5" t="s">
        <v>467</v>
      </c>
      <c r="B161" s="5" t="s">
        <v>553</v>
      </c>
      <c r="C161" s="5" t="s">
        <v>556</v>
      </c>
      <c r="D161" s="6" t="s">
        <v>557</v>
      </c>
      <c r="E161" s="7">
        <v>52.19</v>
      </c>
      <c r="F161" s="7">
        <v>106.99</v>
      </c>
      <c r="G161" s="7">
        <v>29.72</v>
      </c>
      <c r="H161" s="8">
        <v>56.95</v>
      </c>
      <c r="I161" s="7">
        <v>106.99</v>
      </c>
      <c r="J161" s="7">
        <v>0</v>
      </c>
      <c r="K161" s="7">
        <f t="shared" si="8"/>
        <v>29.72</v>
      </c>
      <c r="L161" s="7">
        <f t="shared" si="9"/>
        <v>17.831999999999997</v>
      </c>
      <c r="M161" s="9">
        <f t="shared" si="10"/>
        <v>3.5999327052489907</v>
      </c>
      <c r="N161" s="10" t="str">
        <f t="shared" si="11"/>
        <v>NO</v>
      </c>
    </row>
    <row r="162" spans="1:14" ht="15.75" customHeight="1" x14ac:dyDescent="0.2">
      <c r="A162" s="11" t="s">
        <v>467</v>
      </c>
      <c r="B162" s="11" t="s">
        <v>558</v>
      </c>
      <c r="C162" s="11" t="s">
        <v>559</v>
      </c>
      <c r="D162" s="12" t="s">
        <v>560</v>
      </c>
      <c r="E162" s="13">
        <v>48.33</v>
      </c>
      <c r="F162" s="13">
        <v>99.08</v>
      </c>
      <c r="G162" s="13">
        <v>27.52</v>
      </c>
      <c r="H162" s="14">
        <v>56.95</v>
      </c>
      <c r="I162" s="13">
        <v>99.08</v>
      </c>
      <c r="J162" s="13">
        <v>0</v>
      </c>
      <c r="K162" s="13">
        <f t="shared" si="8"/>
        <v>27.52</v>
      </c>
      <c r="L162" s="13">
        <f t="shared" si="9"/>
        <v>16.512</v>
      </c>
      <c r="M162" s="15">
        <f t="shared" si="10"/>
        <v>3.6002906976744184</v>
      </c>
      <c r="N162" s="10" t="str">
        <f t="shared" si="11"/>
        <v>NO</v>
      </c>
    </row>
    <row r="163" spans="1:14" ht="15.75" customHeight="1" x14ac:dyDescent="0.2">
      <c r="A163" s="5" t="s">
        <v>467</v>
      </c>
      <c r="B163" s="5" t="s">
        <v>558</v>
      </c>
      <c r="C163" s="5" t="s">
        <v>561</v>
      </c>
      <c r="D163" s="6" t="s">
        <v>562</v>
      </c>
      <c r="E163" s="7">
        <v>49.44</v>
      </c>
      <c r="F163" s="7">
        <v>101.35</v>
      </c>
      <c r="G163" s="7">
        <v>28.16</v>
      </c>
      <c r="H163" s="8">
        <v>56.95</v>
      </c>
      <c r="I163" s="7">
        <v>101.35</v>
      </c>
      <c r="J163" s="7">
        <v>0</v>
      </c>
      <c r="K163" s="7">
        <f t="shared" si="8"/>
        <v>28.16</v>
      </c>
      <c r="L163" s="7">
        <f t="shared" si="9"/>
        <v>16.896000000000001</v>
      </c>
      <c r="M163" s="9">
        <f t="shared" si="10"/>
        <v>3.5990767045454541</v>
      </c>
      <c r="N163" s="10" t="str">
        <f t="shared" si="11"/>
        <v>NO</v>
      </c>
    </row>
    <row r="164" spans="1:14" ht="15.75" customHeight="1" x14ac:dyDescent="0.2">
      <c r="A164" s="11" t="s">
        <v>467</v>
      </c>
      <c r="B164" s="11" t="s">
        <v>558</v>
      </c>
      <c r="C164" s="11" t="s">
        <v>563</v>
      </c>
      <c r="D164" s="12" t="s">
        <v>562</v>
      </c>
      <c r="E164" s="13">
        <v>71.33</v>
      </c>
      <c r="F164" s="13">
        <v>146.22999999999999</v>
      </c>
      <c r="G164" s="13">
        <v>40.619999999999997</v>
      </c>
      <c r="H164" s="14">
        <v>56.95</v>
      </c>
      <c r="I164" s="13">
        <v>146.22999999999999</v>
      </c>
      <c r="J164" s="13">
        <v>0</v>
      </c>
      <c r="K164" s="13">
        <f t="shared" si="8"/>
        <v>40.619999999999997</v>
      </c>
      <c r="L164" s="13">
        <f t="shared" si="9"/>
        <v>24.371999999999996</v>
      </c>
      <c r="M164" s="15">
        <f t="shared" si="10"/>
        <v>3.5999507631708516</v>
      </c>
      <c r="N164" s="10" t="str">
        <f t="shared" si="11"/>
        <v>CUIDADO</v>
      </c>
    </row>
    <row r="165" spans="1:14" ht="15.75" customHeight="1" x14ac:dyDescent="0.2">
      <c r="A165" s="5" t="s">
        <v>467</v>
      </c>
      <c r="B165" s="5" t="s">
        <v>564</v>
      </c>
      <c r="C165" s="5" t="s">
        <v>565</v>
      </c>
      <c r="D165" s="6" t="s">
        <v>566</v>
      </c>
      <c r="E165" s="7">
        <v>40.56</v>
      </c>
      <c r="F165" s="7">
        <v>83.15</v>
      </c>
      <c r="G165" s="7">
        <v>23.1</v>
      </c>
      <c r="H165" s="8">
        <v>56.95</v>
      </c>
      <c r="I165" s="7">
        <v>83.15</v>
      </c>
      <c r="J165" s="7">
        <v>0</v>
      </c>
      <c r="K165" s="7">
        <f t="shared" si="8"/>
        <v>23.1</v>
      </c>
      <c r="L165" s="7">
        <f t="shared" si="9"/>
        <v>13.860000000000001</v>
      </c>
      <c r="M165" s="9">
        <f t="shared" si="10"/>
        <v>3.5995670995670994</v>
      </c>
      <c r="N165" s="10" t="str">
        <f t="shared" si="11"/>
        <v>NO</v>
      </c>
    </row>
    <row r="166" spans="1:14" ht="15.75" customHeight="1" x14ac:dyDescent="0.2">
      <c r="A166" s="11" t="s">
        <v>467</v>
      </c>
      <c r="B166" s="11" t="s">
        <v>567</v>
      </c>
      <c r="C166" s="11" t="s">
        <v>568</v>
      </c>
      <c r="D166" s="12" t="s">
        <v>569</v>
      </c>
      <c r="E166" s="13">
        <v>43.83</v>
      </c>
      <c r="F166" s="13">
        <v>89.85</v>
      </c>
      <c r="G166" s="13">
        <v>24.96</v>
      </c>
      <c r="H166" s="14">
        <v>56.95</v>
      </c>
      <c r="I166" s="13">
        <v>89.85</v>
      </c>
      <c r="J166" s="13">
        <v>0</v>
      </c>
      <c r="K166" s="13">
        <f t="shared" si="8"/>
        <v>24.96</v>
      </c>
      <c r="L166" s="13">
        <f t="shared" si="9"/>
        <v>14.975999999999999</v>
      </c>
      <c r="M166" s="15">
        <f t="shared" si="10"/>
        <v>3.599759615384615</v>
      </c>
      <c r="N166" s="10" t="str">
        <f t="shared" si="11"/>
        <v>NO</v>
      </c>
    </row>
    <row r="167" spans="1:14" ht="15.75" customHeight="1" x14ac:dyDescent="0.2">
      <c r="A167" s="5" t="s">
        <v>467</v>
      </c>
      <c r="B167" s="5" t="s">
        <v>570</v>
      </c>
      <c r="C167" s="5" t="s">
        <v>571</v>
      </c>
      <c r="D167" s="6" t="s">
        <v>562</v>
      </c>
      <c r="E167" s="7">
        <v>55.51</v>
      </c>
      <c r="F167" s="7">
        <v>113.8</v>
      </c>
      <c r="G167" s="7">
        <v>31.61</v>
      </c>
      <c r="H167" s="8">
        <v>56.95</v>
      </c>
      <c r="I167" s="7">
        <v>113.8</v>
      </c>
      <c r="J167" s="7">
        <v>0</v>
      </c>
      <c r="K167" s="7">
        <f t="shared" si="8"/>
        <v>31.61</v>
      </c>
      <c r="L167" s="7">
        <f t="shared" si="9"/>
        <v>18.965999999999998</v>
      </c>
      <c r="M167" s="9">
        <f t="shared" si="10"/>
        <v>3.6001265422334705</v>
      </c>
      <c r="N167" s="10" t="str">
        <f t="shared" si="11"/>
        <v>NO</v>
      </c>
    </row>
    <row r="168" spans="1:14" ht="15.75" customHeight="1" x14ac:dyDescent="0.2">
      <c r="A168" s="11" t="s">
        <v>467</v>
      </c>
      <c r="B168" s="11" t="s">
        <v>572</v>
      </c>
      <c r="C168" s="11" t="s">
        <v>573</v>
      </c>
      <c r="D168" s="12" t="s">
        <v>574</v>
      </c>
      <c r="E168" s="13">
        <v>60.67</v>
      </c>
      <c r="F168" s="13">
        <v>124.37</v>
      </c>
      <c r="G168" s="13">
        <v>34.549999999999997</v>
      </c>
      <c r="H168" s="14">
        <v>56.95</v>
      </c>
      <c r="I168" s="13">
        <v>124.37</v>
      </c>
      <c r="J168" s="13">
        <v>0</v>
      </c>
      <c r="K168" s="13">
        <f t="shared" si="8"/>
        <v>34.549999999999997</v>
      </c>
      <c r="L168" s="13">
        <f t="shared" si="9"/>
        <v>20.729999999999997</v>
      </c>
      <c r="M168" s="15">
        <f t="shared" si="10"/>
        <v>3.5997105643994214</v>
      </c>
      <c r="N168" s="10" t="str">
        <f t="shared" si="11"/>
        <v>NO</v>
      </c>
    </row>
    <row r="169" spans="1:14" ht="15.75" customHeight="1" x14ac:dyDescent="0.2">
      <c r="A169" s="5" t="s">
        <v>467</v>
      </c>
      <c r="B169" s="5" t="s">
        <v>570</v>
      </c>
      <c r="C169" s="5" t="s">
        <v>571</v>
      </c>
      <c r="D169" s="6" t="s">
        <v>562</v>
      </c>
      <c r="E169" s="7">
        <v>122.56</v>
      </c>
      <c r="F169" s="7">
        <v>251.25</v>
      </c>
      <c r="G169" s="7">
        <v>69.8</v>
      </c>
      <c r="H169" s="8">
        <v>56.95</v>
      </c>
      <c r="I169" s="7">
        <v>251.25</v>
      </c>
      <c r="J169" s="7">
        <v>0</v>
      </c>
      <c r="K169" s="7">
        <f t="shared" si="8"/>
        <v>69.8</v>
      </c>
      <c r="L169" s="7">
        <f t="shared" si="9"/>
        <v>41.879999999999995</v>
      </c>
      <c r="M169" s="9">
        <f t="shared" si="10"/>
        <v>3.5995702005730661</v>
      </c>
      <c r="N169" s="10" t="str">
        <f t="shared" si="11"/>
        <v>CUIDADO</v>
      </c>
    </row>
    <row r="170" spans="1:14" ht="15.75" customHeight="1" x14ac:dyDescent="0.2">
      <c r="A170" s="11" t="s">
        <v>467</v>
      </c>
      <c r="B170" s="11" t="s">
        <v>575</v>
      </c>
      <c r="C170" s="11" t="s">
        <v>576</v>
      </c>
      <c r="D170" s="12" t="s">
        <v>577</v>
      </c>
      <c r="E170" s="13">
        <v>96.11</v>
      </c>
      <c r="F170" s="13">
        <v>197.03</v>
      </c>
      <c r="G170" s="13">
        <v>54.73</v>
      </c>
      <c r="H170" s="14">
        <v>56.95</v>
      </c>
      <c r="I170" s="13">
        <v>197.03</v>
      </c>
      <c r="J170" s="13">
        <v>0</v>
      </c>
      <c r="K170" s="13">
        <f t="shared" si="8"/>
        <v>54.73</v>
      </c>
      <c r="L170" s="13">
        <f t="shared" si="9"/>
        <v>32.837999999999994</v>
      </c>
      <c r="M170" s="15">
        <f t="shared" si="10"/>
        <v>3.6000365430294172</v>
      </c>
      <c r="N170" s="10" t="str">
        <f t="shared" si="11"/>
        <v>CUIDADO</v>
      </c>
    </row>
    <row r="171" spans="1:14" ht="15.75" customHeight="1" x14ac:dyDescent="0.2">
      <c r="A171" s="5" t="s">
        <v>467</v>
      </c>
      <c r="B171" s="5" t="s">
        <v>578</v>
      </c>
      <c r="C171" s="5" t="s">
        <v>579</v>
      </c>
      <c r="D171" s="6" t="s">
        <v>580</v>
      </c>
      <c r="E171" s="7">
        <v>67.33</v>
      </c>
      <c r="F171" s="7">
        <v>138.03</v>
      </c>
      <c r="G171" s="7">
        <v>38.340000000000003</v>
      </c>
      <c r="H171" s="8">
        <v>56.95</v>
      </c>
      <c r="I171" s="7">
        <v>138.03</v>
      </c>
      <c r="J171" s="7">
        <v>0</v>
      </c>
      <c r="K171" s="7">
        <f t="shared" si="8"/>
        <v>38.340000000000003</v>
      </c>
      <c r="L171" s="7">
        <f t="shared" si="9"/>
        <v>23.004000000000001</v>
      </c>
      <c r="M171" s="9">
        <f t="shared" si="10"/>
        <v>3.6001564945226914</v>
      </c>
      <c r="N171" s="10" t="str">
        <f t="shared" si="11"/>
        <v>NO</v>
      </c>
    </row>
    <row r="172" spans="1:14" ht="15.75" customHeight="1" x14ac:dyDescent="0.2">
      <c r="A172" s="11" t="s">
        <v>467</v>
      </c>
      <c r="B172" s="11" t="s">
        <v>581</v>
      </c>
      <c r="C172" s="11" t="s">
        <v>582</v>
      </c>
      <c r="D172" s="12" t="s">
        <v>583</v>
      </c>
      <c r="E172" s="13">
        <v>14.17</v>
      </c>
      <c r="F172" s="13">
        <v>29.05</v>
      </c>
      <c r="G172" s="13">
        <v>8.07</v>
      </c>
      <c r="H172" s="14">
        <v>56.95</v>
      </c>
      <c r="I172" s="13">
        <v>29.05</v>
      </c>
      <c r="J172" s="13">
        <v>0</v>
      </c>
      <c r="K172" s="13">
        <f t="shared" si="8"/>
        <v>8.07</v>
      </c>
      <c r="L172" s="13">
        <f t="shared" si="9"/>
        <v>4.8419999999999996</v>
      </c>
      <c r="M172" s="15">
        <f t="shared" si="10"/>
        <v>3.5997521685254026</v>
      </c>
      <c r="N172" s="10" t="str">
        <f t="shared" si="11"/>
        <v>NO</v>
      </c>
    </row>
    <row r="173" spans="1:14" ht="15.75" customHeight="1" x14ac:dyDescent="0.2">
      <c r="A173" s="5" t="s">
        <v>467</v>
      </c>
      <c r="B173" s="5" t="s">
        <v>584</v>
      </c>
      <c r="C173" s="5" t="s">
        <v>585</v>
      </c>
      <c r="D173" s="6" t="s">
        <v>583</v>
      </c>
      <c r="E173" s="7">
        <v>14.95</v>
      </c>
      <c r="F173" s="7">
        <v>30.65</v>
      </c>
      <c r="G173" s="7">
        <v>8.51</v>
      </c>
      <c r="H173" s="8">
        <v>56.95</v>
      </c>
      <c r="I173" s="7">
        <v>30.65</v>
      </c>
      <c r="J173" s="7">
        <v>0</v>
      </c>
      <c r="K173" s="7">
        <f t="shared" si="8"/>
        <v>8.51</v>
      </c>
      <c r="L173" s="7">
        <f t="shared" si="9"/>
        <v>5.1059999999999999</v>
      </c>
      <c r="M173" s="9">
        <f t="shared" si="10"/>
        <v>3.6016451233842539</v>
      </c>
      <c r="N173" s="10" t="str">
        <f t="shared" si="11"/>
        <v>NO</v>
      </c>
    </row>
    <row r="174" spans="1:14" ht="15.75" customHeight="1" x14ac:dyDescent="0.2">
      <c r="A174" s="11" t="s">
        <v>467</v>
      </c>
      <c r="B174" s="11" t="s">
        <v>586</v>
      </c>
      <c r="C174" s="11" t="s">
        <v>587</v>
      </c>
      <c r="D174" s="12" t="s">
        <v>588</v>
      </c>
      <c r="E174" s="13">
        <v>17.13</v>
      </c>
      <c r="F174" s="13">
        <v>35.119999999999997</v>
      </c>
      <c r="G174" s="13">
        <v>9.75</v>
      </c>
      <c r="H174" s="14">
        <v>56.95</v>
      </c>
      <c r="I174" s="13">
        <v>35.119999999999997</v>
      </c>
      <c r="J174" s="13">
        <v>0</v>
      </c>
      <c r="K174" s="13">
        <f t="shared" si="8"/>
        <v>9.75</v>
      </c>
      <c r="L174" s="13">
        <f t="shared" si="9"/>
        <v>5.85</v>
      </c>
      <c r="M174" s="15">
        <f t="shared" si="10"/>
        <v>3.6020512820512818</v>
      </c>
      <c r="N174" s="10" t="str">
        <f t="shared" si="11"/>
        <v>NO</v>
      </c>
    </row>
    <row r="175" spans="1:14" ht="15.75" customHeight="1" x14ac:dyDescent="0.2">
      <c r="A175" s="5" t="s">
        <v>467</v>
      </c>
      <c r="B175" s="5" t="s">
        <v>589</v>
      </c>
      <c r="C175" s="5" t="s">
        <v>590</v>
      </c>
      <c r="D175" s="6" t="s">
        <v>588</v>
      </c>
      <c r="E175" s="7">
        <v>17.63</v>
      </c>
      <c r="F175" s="7">
        <v>36.14</v>
      </c>
      <c r="G175" s="7">
        <v>10.039999999999999</v>
      </c>
      <c r="H175" s="8">
        <v>56.95</v>
      </c>
      <c r="I175" s="7">
        <v>36.14</v>
      </c>
      <c r="J175" s="7">
        <v>0</v>
      </c>
      <c r="K175" s="7">
        <f t="shared" si="8"/>
        <v>10.039999999999999</v>
      </c>
      <c r="L175" s="7">
        <f t="shared" si="9"/>
        <v>6.0239999999999991</v>
      </c>
      <c r="M175" s="9">
        <f t="shared" si="10"/>
        <v>3.5996015936254984</v>
      </c>
      <c r="N175" s="10" t="str">
        <f t="shared" si="11"/>
        <v>NO</v>
      </c>
    </row>
    <row r="176" spans="1:14" ht="15.75" customHeight="1" x14ac:dyDescent="0.2">
      <c r="A176" s="11" t="s">
        <v>467</v>
      </c>
      <c r="B176" s="11" t="s">
        <v>591</v>
      </c>
      <c r="C176" s="11" t="s">
        <v>592</v>
      </c>
      <c r="D176" s="12" t="s">
        <v>588</v>
      </c>
      <c r="E176" s="13">
        <v>18.440000000000001</v>
      </c>
      <c r="F176" s="13">
        <v>37.799999999999997</v>
      </c>
      <c r="G176" s="13">
        <v>10.5</v>
      </c>
      <c r="H176" s="14">
        <v>56.95</v>
      </c>
      <c r="I176" s="13">
        <v>37.799999999999997</v>
      </c>
      <c r="J176" s="13">
        <v>0</v>
      </c>
      <c r="K176" s="13">
        <f t="shared" si="8"/>
        <v>10.5</v>
      </c>
      <c r="L176" s="13">
        <f t="shared" si="9"/>
        <v>6.3</v>
      </c>
      <c r="M176" s="15">
        <f t="shared" si="10"/>
        <v>3.5999999999999996</v>
      </c>
      <c r="N176" s="10" t="str">
        <f t="shared" si="11"/>
        <v>NO</v>
      </c>
    </row>
    <row r="177" spans="1:14" ht="15.75" customHeight="1" x14ac:dyDescent="0.2">
      <c r="A177" s="5" t="s">
        <v>467</v>
      </c>
      <c r="B177" s="5" t="s">
        <v>593</v>
      </c>
      <c r="C177" s="5" t="s">
        <v>594</v>
      </c>
      <c r="D177" s="6" t="s">
        <v>588</v>
      </c>
      <c r="E177" s="7">
        <v>19.36</v>
      </c>
      <c r="F177" s="7">
        <v>39.69</v>
      </c>
      <c r="G177" s="7">
        <v>11.03</v>
      </c>
      <c r="H177" s="8">
        <v>56.95</v>
      </c>
      <c r="I177" s="7">
        <v>39.69</v>
      </c>
      <c r="J177" s="7">
        <v>0</v>
      </c>
      <c r="K177" s="7">
        <f t="shared" si="8"/>
        <v>11.03</v>
      </c>
      <c r="L177" s="7">
        <f t="shared" si="9"/>
        <v>6.6179999999999994</v>
      </c>
      <c r="M177" s="9">
        <f t="shared" si="10"/>
        <v>3.5983680870353583</v>
      </c>
      <c r="N177" s="10" t="str">
        <f t="shared" si="11"/>
        <v>NO</v>
      </c>
    </row>
    <row r="178" spans="1:14" ht="15.75" customHeight="1" x14ac:dyDescent="0.2">
      <c r="A178" s="11" t="s">
        <v>467</v>
      </c>
      <c r="B178" s="11" t="s">
        <v>595</v>
      </c>
      <c r="C178" s="11" t="s">
        <v>596</v>
      </c>
      <c r="D178" s="12" t="s">
        <v>597</v>
      </c>
      <c r="E178" s="13">
        <v>84.68</v>
      </c>
      <c r="F178" s="13">
        <v>173.59</v>
      </c>
      <c r="G178" s="13">
        <v>48.23</v>
      </c>
      <c r="H178" s="14">
        <v>56.95</v>
      </c>
      <c r="I178" s="13">
        <v>173.59</v>
      </c>
      <c r="J178" s="13">
        <v>0</v>
      </c>
      <c r="K178" s="13">
        <f t="shared" si="8"/>
        <v>48.23</v>
      </c>
      <c r="L178" s="13">
        <f t="shared" si="9"/>
        <v>28.937999999999995</v>
      </c>
      <c r="M178" s="15">
        <f t="shared" si="10"/>
        <v>3.5992121086460713</v>
      </c>
      <c r="N178" s="10" t="str">
        <f t="shared" si="11"/>
        <v>CUIDADO</v>
      </c>
    </row>
    <row r="179" spans="1:14" ht="15.75" customHeight="1" x14ac:dyDescent="0.2">
      <c r="A179" s="5" t="s">
        <v>467</v>
      </c>
      <c r="B179" s="5" t="s">
        <v>598</v>
      </c>
      <c r="C179" s="5" t="s">
        <v>599</v>
      </c>
      <c r="D179" s="6" t="s">
        <v>600</v>
      </c>
      <c r="E179" s="7">
        <v>69.97</v>
      </c>
      <c r="F179" s="7">
        <v>143.44</v>
      </c>
      <c r="G179" s="7">
        <v>39.85</v>
      </c>
      <c r="H179" s="8">
        <v>56.95</v>
      </c>
      <c r="I179" s="7">
        <v>143.44</v>
      </c>
      <c r="J179" s="7">
        <v>0</v>
      </c>
      <c r="K179" s="7">
        <f t="shared" si="8"/>
        <v>39.85</v>
      </c>
      <c r="L179" s="7">
        <f t="shared" si="9"/>
        <v>23.91</v>
      </c>
      <c r="M179" s="9">
        <f t="shared" si="10"/>
        <v>3.5994981179422836</v>
      </c>
      <c r="N179" s="10" t="str">
        <f t="shared" si="11"/>
        <v>NO</v>
      </c>
    </row>
    <row r="180" spans="1:14" ht="15.75" customHeight="1" x14ac:dyDescent="0.2">
      <c r="A180" s="11" t="s">
        <v>467</v>
      </c>
      <c r="B180" s="11" t="s">
        <v>601</v>
      </c>
      <c r="C180" s="11" t="s">
        <v>602</v>
      </c>
      <c r="D180" s="12" t="s">
        <v>600</v>
      </c>
      <c r="E180" s="13">
        <v>73.58</v>
      </c>
      <c r="F180" s="13">
        <v>150.84</v>
      </c>
      <c r="G180" s="13">
        <v>41.9</v>
      </c>
      <c r="H180" s="14">
        <v>56.95</v>
      </c>
      <c r="I180" s="13">
        <v>150.84</v>
      </c>
      <c r="J180" s="13">
        <v>0</v>
      </c>
      <c r="K180" s="13">
        <f t="shared" si="8"/>
        <v>41.9</v>
      </c>
      <c r="L180" s="13">
        <f t="shared" si="9"/>
        <v>25.139999999999997</v>
      </c>
      <c r="M180" s="15">
        <f t="shared" si="10"/>
        <v>3.6</v>
      </c>
      <c r="N180" s="10" t="str">
        <f t="shared" si="11"/>
        <v>CUIDADO</v>
      </c>
    </row>
    <row r="181" spans="1:14" ht="15.75" customHeight="1" x14ac:dyDescent="0.2">
      <c r="A181" s="5" t="s">
        <v>467</v>
      </c>
      <c r="B181" s="5" t="s">
        <v>603</v>
      </c>
      <c r="C181" s="5" t="s">
        <v>604</v>
      </c>
      <c r="D181" s="6" t="s">
        <v>605</v>
      </c>
      <c r="E181" s="7">
        <v>89.71</v>
      </c>
      <c r="F181" s="7">
        <v>183.91</v>
      </c>
      <c r="G181" s="7">
        <v>51.09</v>
      </c>
      <c r="H181" s="8">
        <v>56.95</v>
      </c>
      <c r="I181" s="7">
        <v>183.91</v>
      </c>
      <c r="J181" s="7">
        <v>0</v>
      </c>
      <c r="K181" s="7">
        <f t="shared" si="8"/>
        <v>51.09</v>
      </c>
      <c r="L181" s="7">
        <f t="shared" si="9"/>
        <v>30.654</v>
      </c>
      <c r="M181" s="9">
        <f t="shared" si="10"/>
        <v>3.5997259737717751</v>
      </c>
      <c r="N181" s="10" t="str">
        <f t="shared" si="11"/>
        <v>CUIDADO</v>
      </c>
    </row>
    <row r="182" spans="1:14" ht="15.75" customHeight="1" x14ac:dyDescent="0.2">
      <c r="A182" s="11" t="s">
        <v>467</v>
      </c>
      <c r="B182" s="11" t="s">
        <v>603</v>
      </c>
      <c r="C182" s="11" t="s">
        <v>606</v>
      </c>
      <c r="D182" s="12" t="s">
        <v>605</v>
      </c>
      <c r="E182" s="13">
        <v>94.05</v>
      </c>
      <c r="F182" s="13">
        <v>192.8</v>
      </c>
      <c r="G182" s="13">
        <v>53.56</v>
      </c>
      <c r="H182" s="14">
        <v>56.95</v>
      </c>
      <c r="I182" s="13">
        <v>192.8</v>
      </c>
      <c r="J182" s="13">
        <v>0</v>
      </c>
      <c r="K182" s="13">
        <f t="shared" si="8"/>
        <v>53.56</v>
      </c>
      <c r="L182" s="13">
        <f t="shared" si="9"/>
        <v>32.136000000000003</v>
      </c>
      <c r="M182" s="15">
        <f t="shared" si="10"/>
        <v>3.5997012696041821</v>
      </c>
      <c r="N182" s="10" t="str">
        <f t="shared" si="11"/>
        <v>CUIDADO</v>
      </c>
    </row>
    <row r="183" spans="1:14" ht="15.75" customHeight="1" x14ac:dyDescent="0.2">
      <c r="A183" s="5" t="s">
        <v>467</v>
      </c>
      <c r="B183" s="5" t="s">
        <v>603</v>
      </c>
      <c r="C183" s="5" t="s">
        <v>607</v>
      </c>
      <c r="D183" s="6" t="s">
        <v>605</v>
      </c>
      <c r="E183" s="7">
        <v>84.79</v>
      </c>
      <c r="F183" s="7">
        <v>173.82</v>
      </c>
      <c r="G183" s="7">
        <v>48.29</v>
      </c>
      <c r="H183" s="8">
        <v>56.95</v>
      </c>
      <c r="I183" s="7">
        <v>173.82</v>
      </c>
      <c r="J183" s="7">
        <v>0</v>
      </c>
      <c r="K183" s="7">
        <f t="shared" si="8"/>
        <v>48.29</v>
      </c>
      <c r="L183" s="7">
        <f t="shared" si="9"/>
        <v>28.973999999999997</v>
      </c>
      <c r="M183" s="9">
        <f t="shared" si="10"/>
        <v>3.5995030026920687</v>
      </c>
      <c r="N183" s="10" t="str">
        <f t="shared" si="11"/>
        <v>CUIDADO</v>
      </c>
    </row>
    <row r="184" spans="1:14" ht="15.75" customHeight="1" x14ac:dyDescent="0.2">
      <c r="A184" s="11" t="s">
        <v>467</v>
      </c>
      <c r="B184" s="11" t="s">
        <v>608</v>
      </c>
      <c r="C184" s="11" t="s">
        <v>609</v>
      </c>
      <c r="D184" s="12" t="s">
        <v>610</v>
      </c>
      <c r="E184" s="13">
        <v>97.55</v>
      </c>
      <c r="F184" s="13">
        <v>199.98</v>
      </c>
      <c r="G184" s="13">
        <v>55.55</v>
      </c>
      <c r="H184" s="14">
        <v>56.95</v>
      </c>
      <c r="I184" s="13">
        <v>199.98</v>
      </c>
      <c r="J184" s="13">
        <v>0</v>
      </c>
      <c r="K184" s="13">
        <f t="shared" si="8"/>
        <v>55.55</v>
      </c>
      <c r="L184" s="13">
        <f t="shared" si="9"/>
        <v>33.33</v>
      </c>
      <c r="M184" s="15">
        <f t="shared" si="10"/>
        <v>3.6</v>
      </c>
      <c r="N184" s="10" t="str">
        <f t="shared" si="11"/>
        <v>CUIDADO</v>
      </c>
    </row>
    <row r="185" spans="1:14" ht="15.75" customHeight="1" x14ac:dyDescent="0.2">
      <c r="A185" s="5" t="s">
        <v>467</v>
      </c>
      <c r="B185" s="5" t="s">
        <v>611</v>
      </c>
      <c r="C185" s="5" t="s">
        <v>612</v>
      </c>
      <c r="D185" s="6" t="s">
        <v>613</v>
      </c>
      <c r="E185" s="7">
        <v>101.49</v>
      </c>
      <c r="F185" s="7">
        <v>208.05</v>
      </c>
      <c r="G185" s="7">
        <v>57.8</v>
      </c>
      <c r="H185" s="8">
        <v>56.95</v>
      </c>
      <c r="I185" s="7">
        <v>208.05</v>
      </c>
      <c r="J185" s="7">
        <v>0</v>
      </c>
      <c r="K185" s="7">
        <f t="shared" si="8"/>
        <v>57.8</v>
      </c>
      <c r="L185" s="7">
        <f t="shared" si="9"/>
        <v>34.68</v>
      </c>
      <c r="M185" s="9">
        <f t="shared" si="10"/>
        <v>3.5994809688581317</v>
      </c>
      <c r="N185" s="10" t="str">
        <f t="shared" si="11"/>
        <v>CUIDADO</v>
      </c>
    </row>
    <row r="186" spans="1:14" ht="15.75" customHeight="1" x14ac:dyDescent="0.2">
      <c r="A186" s="11" t="s">
        <v>467</v>
      </c>
      <c r="B186" s="11" t="s">
        <v>614</v>
      </c>
      <c r="C186" s="11" t="s">
        <v>615</v>
      </c>
      <c r="D186" s="12" t="s">
        <v>616</v>
      </c>
      <c r="E186" s="13">
        <v>118.78</v>
      </c>
      <c r="F186" s="13">
        <v>243.5</v>
      </c>
      <c r="G186" s="13">
        <v>67.650000000000006</v>
      </c>
      <c r="H186" s="14">
        <v>56.95</v>
      </c>
      <c r="I186" s="13">
        <v>243.5</v>
      </c>
      <c r="J186" s="13">
        <v>0</v>
      </c>
      <c r="K186" s="13">
        <f t="shared" si="8"/>
        <v>67.650000000000006</v>
      </c>
      <c r="L186" s="13">
        <f t="shared" si="9"/>
        <v>40.590000000000003</v>
      </c>
      <c r="M186" s="15">
        <f t="shared" si="10"/>
        <v>3.5994087213599406</v>
      </c>
      <c r="N186" s="10" t="str">
        <f t="shared" si="11"/>
        <v>CUIDADO</v>
      </c>
    </row>
    <row r="187" spans="1:14" ht="15.75" customHeight="1" x14ac:dyDescent="0.2">
      <c r="A187" s="5" t="s">
        <v>467</v>
      </c>
      <c r="B187" s="5" t="s">
        <v>617</v>
      </c>
      <c r="C187" s="5" t="s">
        <v>618</v>
      </c>
      <c r="D187" s="6" t="s">
        <v>619</v>
      </c>
      <c r="E187" s="7">
        <v>118.31</v>
      </c>
      <c r="F187" s="7">
        <v>242.54</v>
      </c>
      <c r="G187" s="7">
        <v>67.38</v>
      </c>
      <c r="H187" s="8">
        <v>56.95</v>
      </c>
      <c r="I187" s="7">
        <v>242.54</v>
      </c>
      <c r="J187" s="7">
        <v>0</v>
      </c>
      <c r="K187" s="7">
        <f t="shared" si="8"/>
        <v>67.38</v>
      </c>
      <c r="L187" s="7">
        <f t="shared" si="9"/>
        <v>40.427999999999997</v>
      </c>
      <c r="M187" s="9">
        <f t="shared" si="10"/>
        <v>3.5995844464232709</v>
      </c>
      <c r="N187" s="10" t="str">
        <f t="shared" si="11"/>
        <v>CUIDADO</v>
      </c>
    </row>
    <row r="188" spans="1:14" ht="15.75" customHeight="1" x14ac:dyDescent="0.2">
      <c r="A188" s="11" t="s">
        <v>467</v>
      </c>
      <c r="B188" s="11" t="s">
        <v>620</v>
      </c>
      <c r="C188" s="11" t="s">
        <v>621</v>
      </c>
      <c r="D188" s="12" t="s">
        <v>622</v>
      </c>
      <c r="E188" s="13">
        <v>131.01</v>
      </c>
      <c r="F188" s="13">
        <v>268.57</v>
      </c>
      <c r="G188" s="13">
        <v>74.61</v>
      </c>
      <c r="H188" s="14">
        <v>56.95</v>
      </c>
      <c r="I188" s="13">
        <v>268.57</v>
      </c>
      <c r="J188" s="13">
        <v>0</v>
      </c>
      <c r="K188" s="13">
        <f t="shared" si="8"/>
        <v>74.61</v>
      </c>
      <c r="L188" s="13">
        <f t="shared" si="9"/>
        <v>44.765999999999998</v>
      </c>
      <c r="M188" s="15">
        <f t="shared" si="10"/>
        <v>3.5996515212438012</v>
      </c>
      <c r="N188" s="10" t="str">
        <f t="shared" si="11"/>
        <v>CUIDADO</v>
      </c>
    </row>
    <row r="189" spans="1:14" ht="15.75" customHeight="1" x14ac:dyDescent="0.2">
      <c r="A189" s="5" t="s">
        <v>467</v>
      </c>
      <c r="B189" s="5" t="s">
        <v>623</v>
      </c>
      <c r="C189" s="5" t="s">
        <v>624</v>
      </c>
      <c r="D189" s="6" t="s">
        <v>625</v>
      </c>
      <c r="E189" s="7">
        <v>169.64</v>
      </c>
      <c r="F189" s="7">
        <v>347.76</v>
      </c>
      <c r="G189" s="7">
        <v>96.61</v>
      </c>
      <c r="H189" s="8">
        <v>56.95</v>
      </c>
      <c r="I189" s="7">
        <v>347.76</v>
      </c>
      <c r="J189" s="7">
        <v>0</v>
      </c>
      <c r="K189" s="7">
        <f t="shared" si="8"/>
        <v>96.61</v>
      </c>
      <c r="L189" s="7">
        <f t="shared" si="9"/>
        <v>57.965999999999994</v>
      </c>
      <c r="M189" s="9">
        <f t="shared" si="10"/>
        <v>3.5996273677673116</v>
      </c>
      <c r="N189" s="10" t="str">
        <f t="shared" si="11"/>
        <v>CUIDADO</v>
      </c>
    </row>
    <row r="190" spans="1:14" ht="15.75" customHeight="1" x14ac:dyDescent="0.2">
      <c r="A190" s="11" t="s">
        <v>467</v>
      </c>
      <c r="B190" s="11" t="s">
        <v>626</v>
      </c>
      <c r="C190" s="11" t="s">
        <v>627</v>
      </c>
      <c r="D190" s="12" t="s">
        <v>628</v>
      </c>
      <c r="E190" s="13">
        <v>257.19</v>
      </c>
      <c r="F190" s="13">
        <v>527.24</v>
      </c>
      <c r="G190" s="13">
        <v>146.47</v>
      </c>
      <c r="H190" s="14">
        <v>56.95</v>
      </c>
      <c r="I190" s="13">
        <v>527.24</v>
      </c>
      <c r="J190" s="13">
        <v>0</v>
      </c>
      <c r="K190" s="13">
        <f t="shared" si="8"/>
        <v>146.47</v>
      </c>
      <c r="L190" s="13">
        <f t="shared" si="9"/>
        <v>87.881999999999991</v>
      </c>
      <c r="M190" s="15">
        <f t="shared" si="10"/>
        <v>3.5996449784938895</v>
      </c>
      <c r="N190" s="10" t="str">
        <f t="shared" si="11"/>
        <v>SI</v>
      </c>
    </row>
    <row r="191" spans="1:14" ht="15.75" customHeight="1" x14ac:dyDescent="0.2">
      <c r="A191" s="5" t="s">
        <v>467</v>
      </c>
      <c r="B191" s="5" t="s">
        <v>626</v>
      </c>
      <c r="C191" s="5" t="s">
        <v>629</v>
      </c>
      <c r="D191" s="6" t="s">
        <v>628</v>
      </c>
      <c r="E191" s="7">
        <v>290.22000000000003</v>
      </c>
      <c r="F191" s="7">
        <v>594.95000000000005</v>
      </c>
      <c r="G191" s="7">
        <v>165.28</v>
      </c>
      <c r="H191" s="8">
        <v>56.95</v>
      </c>
      <c r="I191" s="7">
        <v>594.95000000000005</v>
      </c>
      <c r="J191" s="7">
        <v>0</v>
      </c>
      <c r="K191" s="7">
        <f t="shared" si="8"/>
        <v>165.28</v>
      </c>
      <c r="L191" s="7">
        <f t="shared" si="9"/>
        <v>99.167999999999992</v>
      </c>
      <c r="M191" s="9">
        <f t="shared" si="10"/>
        <v>3.5996490803484997</v>
      </c>
      <c r="N191" s="10" t="str">
        <f t="shared" si="11"/>
        <v>SI</v>
      </c>
    </row>
    <row r="192" spans="1:14" ht="15.75" customHeight="1" x14ac:dyDescent="0.2">
      <c r="A192" s="11" t="s">
        <v>467</v>
      </c>
      <c r="B192" s="11" t="s">
        <v>626</v>
      </c>
      <c r="C192" s="11" t="s">
        <v>630</v>
      </c>
      <c r="D192" s="12" t="s">
        <v>631</v>
      </c>
      <c r="E192" s="13">
        <v>342.68</v>
      </c>
      <c r="F192" s="13">
        <v>702.49</v>
      </c>
      <c r="G192" s="13">
        <v>195.16</v>
      </c>
      <c r="H192" s="14">
        <v>56.95</v>
      </c>
      <c r="I192" s="13">
        <v>702.49</v>
      </c>
      <c r="J192" s="13">
        <v>0</v>
      </c>
      <c r="K192" s="13">
        <f t="shared" si="8"/>
        <v>195.16</v>
      </c>
      <c r="L192" s="13">
        <f t="shared" si="9"/>
        <v>117.09599999999999</v>
      </c>
      <c r="M192" s="15">
        <f t="shared" si="10"/>
        <v>3.5995593359294937</v>
      </c>
      <c r="N192" s="10" t="str">
        <f t="shared" si="11"/>
        <v>SI</v>
      </c>
    </row>
    <row r="193" spans="1:14" ht="15.75" customHeight="1" x14ac:dyDescent="0.2">
      <c r="A193" s="5" t="s">
        <v>467</v>
      </c>
      <c r="B193" s="5" t="s">
        <v>626</v>
      </c>
      <c r="C193" s="5" t="s">
        <v>632</v>
      </c>
      <c r="D193" s="6" t="s">
        <v>631</v>
      </c>
      <c r="E193" s="7">
        <v>396.09</v>
      </c>
      <c r="F193" s="7">
        <v>811.98</v>
      </c>
      <c r="G193" s="7">
        <v>225.57</v>
      </c>
      <c r="H193" s="8">
        <v>56.95</v>
      </c>
      <c r="I193" s="7">
        <v>811.98</v>
      </c>
      <c r="J193" s="7">
        <v>0</v>
      </c>
      <c r="K193" s="7">
        <f t="shared" si="8"/>
        <v>225.57</v>
      </c>
      <c r="L193" s="7">
        <f t="shared" si="9"/>
        <v>135.34199999999998</v>
      </c>
      <c r="M193" s="9">
        <f t="shared" si="10"/>
        <v>3.5996808086181673</v>
      </c>
      <c r="N193" s="10" t="str">
        <f t="shared" si="11"/>
        <v>SI</v>
      </c>
    </row>
    <row r="194" spans="1:14" ht="15.75" customHeight="1" x14ac:dyDescent="0.2">
      <c r="A194" s="11" t="s">
        <v>467</v>
      </c>
      <c r="B194" s="11" t="s">
        <v>626</v>
      </c>
      <c r="C194" s="11" t="s">
        <v>633</v>
      </c>
      <c r="D194" s="12" t="s">
        <v>634</v>
      </c>
      <c r="E194" s="13">
        <v>412.95</v>
      </c>
      <c r="F194" s="13">
        <v>846.55</v>
      </c>
      <c r="G194" s="13">
        <v>235.17</v>
      </c>
      <c r="H194" s="14">
        <v>56.95</v>
      </c>
      <c r="I194" s="13">
        <v>846.55</v>
      </c>
      <c r="J194" s="13">
        <v>0</v>
      </c>
      <c r="K194" s="13">
        <f t="shared" si="8"/>
        <v>235.17</v>
      </c>
      <c r="L194" s="13">
        <f t="shared" si="9"/>
        <v>141.10199999999998</v>
      </c>
      <c r="M194" s="15">
        <f t="shared" si="10"/>
        <v>3.599736360930391</v>
      </c>
      <c r="N194" s="10" t="str">
        <f t="shared" si="11"/>
        <v>SI</v>
      </c>
    </row>
    <row r="195" spans="1:14" ht="15.75" customHeight="1" x14ac:dyDescent="0.2">
      <c r="A195" s="5" t="s">
        <v>467</v>
      </c>
      <c r="B195" s="5" t="s">
        <v>626</v>
      </c>
      <c r="C195" s="5" t="s">
        <v>635</v>
      </c>
      <c r="D195" s="6" t="s">
        <v>634</v>
      </c>
      <c r="E195" s="7">
        <v>479.59</v>
      </c>
      <c r="F195" s="7">
        <v>983.16</v>
      </c>
      <c r="G195" s="7">
        <v>273.13</v>
      </c>
      <c r="H195" s="8">
        <v>56.95</v>
      </c>
      <c r="I195" s="7">
        <v>983.16</v>
      </c>
      <c r="J195" s="7">
        <v>0</v>
      </c>
      <c r="K195" s="7">
        <f t="shared" ref="K195:K258" si="12">G195-J195</f>
        <v>273.13</v>
      </c>
      <c r="L195" s="7">
        <f t="shared" ref="L195:L258" si="13">K195*$L$1</f>
        <v>163.87799999999999</v>
      </c>
      <c r="M195" s="9">
        <f t="shared" ref="M195:M258" si="14">F195/K195</f>
        <v>3.5996045838977775</v>
      </c>
      <c r="N195" s="10" t="str">
        <f t="shared" ref="N195:N258" si="15">IF(M195&lt;3.5,"SI",IF(M195&lt;4.5,IF(K195&gt;=100,"SI",IF(K195&gt;=40,"CUIDADO","NO")),IF(AND(M195&lt;5.5,F195&gt;=500,K195&gt;=80),"CUIDADO","NO")))</f>
        <v>SI</v>
      </c>
    </row>
    <row r="196" spans="1:14" ht="15.75" customHeight="1" x14ac:dyDescent="0.2">
      <c r="A196" s="11" t="s">
        <v>467</v>
      </c>
      <c r="B196" s="11" t="s">
        <v>626</v>
      </c>
      <c r="C196" s="11" t="s">
        <v>636</v>
      </c>
      <c r="D196" s="12" t="s">
        <v>637</v>
      </c>
      <c r="E196" s="13">
        <v>506.65</v>
      </c>
      <c r="F196" s="13">
        <v>1038.6300000000001</v>
      </c>
      <c r="G196" s="13">
        <v>288.54000000000002</v>
      </c>
      <c r="H196" s="14">
        <v>56.95</v>
      </c>
      <c r="I196" s="13">
        <v>1038.6300000000001</v>
      </c>
      <c r="J196" s="13">
        <v>0</v>
      </c>
      <c r="K196" s="13">
        <f t="shared" si="12"/>
        <v>288.54000000000002</v>
      </c>
      <c r="L196" s="13">
        <f t="shared" si="13"/>
        <v>173.124</v>
      </c>
      <c r="M196" s="15">
        <f t="shared" si="14"/>
        <v>3.5996049074651695</v>
      </c>
      <c r="N196" s="10" t="str">
        <f t="shared" si="15"/>
        <v>SI</v>
      </c>
    </row>
    <row r="197" spans="1:14" ht="15.75" customHeight="1" x14ac:dyDescent="0.2">
      <c r="A197" s="5" t="s">
        <v>467</v>
      </c>
      <c r="B197" s="5" t="s">
        <v>626</v>
      </c>
      <c r="C197" s="5" t="s">
        <v>638</v>
      </c>
      <c r="D197" s="6" t="s">
        <v>637</v>
      </c>
      <c r="E197" s="7">
        <v>603.5</v>
      </c>
      <c r="F197" s="7">
        <v>1237.18</v>
      </c>
      <c r="G197" s="7">
        <v>343.69</v>
      </c>
      <c r="H197" s="8">
        <v>56.95</v>
      </c>
      <c r="I197" s="7">
        <v>1237.18</v>
      </c>
      <c r="J197" s="7">
        <v>0</v>
      </c>
      <c r="K197" s="7">
        <f t="shared" si="12"/>
        <v>343.69</v>
      </c>
      <c r="L197" s="7">
        <f t="shared" si="13"/>
        <v>206.214</v>
      </c>
      <c r="M197" s="9">
        <f t="shared" si="14"/>
        <v>3.5996974017283017</v>
      </c>
      <c r="N197" s="10" t="str">
        <f t="shared" si="15"/>
        <v>SI</v>
      </c>
    </row>
    <row r="198" spans="1:14" ht="15.75" customHeight="1" x14ac:dyDescent="0.2">
      <c r="A198" s="11" t="s">
        <v>467</v>
      </c>
      <c r="B198" s="11" t="s">
        <v>639</v>
      </c>
      <c r="C198" s="11" t="s">
        <v>640</v>
      </c>
      <c r="D198" s="12" t="s">
        <v>641</v>
      </c>
      <c r="E198" s="13">
        <v>689</v>
      </c>
      <c r="F198" s="13">
        <v>1412.45</v>
      </c>
      <c r="G198" s="13">
        <v>392.39</v>
      </c>
      <c r="H198" s="14">
        <v>56.95</v>
      </c>
      <c r="I198" s="13">
        <v>1412.45</v>
      </c>
      <c r="J198" s="13">
        <v>0</v>
      </c>
      <c r="K198" s="13">
        <f t="shared" si="12"/>
        <v>392.39</v>
      </c>
      <c r="L198" s="13">
        <f t="shared" si="13"/>
        <v>235.43399999999997</v>
      </c>
      <c r="M198" s="15">
        <f t="shared" si="14"/>
        <v>3.5996075333214406</v>
      </c>
      <c r="N198" s="10" t="str">
        <f t="shared" si="15"/>
        <v>SI</v>
      </c>
    </row>
    <row r="199" spans="1:14" ht="15.75" customHeight="1" x14ac:dyDescent="0.2">
      <c r="A199" s="5" t="s">
        <v>467</v>
      </c>
      <c r="B199" s="5" t="s">
        <v>642</v>
      </c>
      <c r="C199" s="5" t="s">
        <v>643</v>
      </c>
      <c r="D199" s="6" t="s">
        <v>641</v>
      </c>
      <c r="E199" s="7">
        <v>694.04</v>
      </c>
      <c r="F199" s="7">
        <v>1422.78</v>
      </c>
      <c r="G199" s="7">
        <v>395.26</v>
      </c>
      <c r="H199" s="8">
        <v>56.95</v>
      </c>
      <c r="I199" s="7">
        <v>1422.78</v>
      </c>
      <c r="J199" s="7">
        <v>0</v>
      </c>
      <c r="K199" s="7">
        <f t="shared" si="12"/>
        <v>395.26</v>
      </c>
      <c r="L199" s="7">
        <f t="shared" si="13"/>
        <v>237.15599999999998</v>
      </c>
      <c r="M199" s="9">
        <f t="shared" si="14"/>
        <v>3.5996053230784799</v>
      </c>
      <c r="N199" s="10" t="str">
        <f t="shared" si="15"/>
        <v>SI</v>
      </c>
    </row>
    <row r="200" spans="1:14" ht="15.75" customHeight="1" x14ac:dyDescent="0.2">
      <c r="A200" s="11" t="s">
        <v>467</v>
      </c>
      <c r="B200" s="11" t="s">
        <v>644</v>
      </c>
      <c r="C200" s="11" t="s">
        <v>645</v>
      </c>
      <c r="D200" s="12" t="s">
        <v>646</v>
      </c>
      <c r="E200" s="13">
        <v>789.72</v>
      </c>
      <c r="F200" s="13">
        <v>1618.93</v>
      </c>
      <c r="G200" s="13">
        <v>449.74</v>
      </c>
      <c r="H200" s="14">
        <v>56.95</v>
      </c>
      <c r="I200" s="13">
        <v>1618.93</v>
      </c>
      <c r="J200" s="13">
        <v>0</v>
      </c>
      <c r="K200" s="13">
        <f t="shared" si="12"/>
        <v>449.74</v>
      </c>
      <c r="L200" s="13">
        <f t="shared" si="13"/>
        <v>269.84399999999999</v>
      </c>
      <c r="M200" s="15">
        <f t="shared" si="14"/>
        <v>3.5997020500733758</v>
      </c>
      <c r="N200" s="10" t="str">
        <f t="shared" si="15"/>
        <v>SI</v>
      </c>
    </row>
    <row r="201" spans="1:14" ht="15.75" customHeight="1" x14ac:dyDescent="0.2">
      <c r="A201" s="5" t="s">
        <v>467</v>
      </c>
      <c r="B201" s="5" t="s">
        <v>647</v>
      </c>
      <c r="C201" s="5" t="s">
        <v>648</v>
      </c>
      <c r="D201" s="6" t="s">
        <v>649</v>
      </c>
      <c r="E201" s="7">
        <v>1035.01</v>
      </c>
      <c r="F201" s="7">
        <v>2121.77</v>
      </c>
      <c r="G201" s="7">
        <v>589.44000000000005</v>
      </c>
      <c r="H201" s="8">
        <v>56.95</v>
      </c>
      <c r="I201" s="7">
        <v>2121.77</v>
      </c>
      <c r="J201" s="7">
        <v>0</v>
      </c>
      <c r="K201" s="7">
        <f t="shared" si="12"/>
        <v>589.44000000000005</v>
      </c>
      <c r="L201" s="7">
        <f t="shared" si="13"/>
        <v>353.66400000000004</v>
      </c>
      <c r="M201" s="9">
        <f t="shared" si="14"/>
        <v>3.5996369435396303</v>
      </c>
      <c r="N201" s="10" t="str">
        <f t="shared" si="15"/>
        <v>SI</v>
      </c>
    </row>
    <row r="202" spans="1:14" ht="15.75" customHeight="1" x14ac:dyDescent="0.2">
      <c r="A202" s="11" t="s">
        <v>467</v>
      </c>
      <c r="B202" s="11" t="s">
        <v>650</v>
      </c>
      <c r="C202" s="11" t="s">
        <v>651</v>
      </c>
      <c r="D202" s="12" t="s">
        <v>652</v>
      </c>
      <c r="E202" s="13">
        <v>975.21</v>
      </c>
      <c r="F202" s="13">
        <v>1999.18</v>
      </c>
      <c r="G202" s="13">
        <v>555.38</v>
      </c>
      <c r="H202" s="14">
        <v>56.95</v>
      </c>
      <c r="I202" s="13">
        <v>1999.18</v>
      </c>
      <c r="J202" s="13">
        <v>0</v>
      </c>
      <c r="K202" s="13">
        <f t="shared" si="12"/>
        <v>555.38</v>
      </c>
      <c r="L202" s="13">
        <f t="shared" si="13"/>
        <v>333.22800000000001</v>
      </c>
      <c r="M202" s="15">
        <f t="shared" si="14"/>
        <v>3.5996614930317983</v>
      </c>
      <c r="N202" s="10" t="str">
        <f t="shared" si="15"/>
        <v>SI</v>
      </c>
    </row>
    <row r="203" spans="1:14" ht="15.75" customHeight="1" x14ac:dyDescent="0.2">
      <c r="A203" s="5" t="s">
        <v>467</v>
      </c>
      <c r="B203" s="5" t="s">
        <v>653</v>
      </c>
      <c r="C203" s="5" t="s">
        <v>654</v>
      </c>
      <c r="D203" s="6" t="s">
        <v>652</v>
      </c>
      <c r="E203" s="7">
        <v>987.56</v>
      </c>
      <c r="F203" s="7">
        <v>2024.5</v>
      </c>
      <c r="G203" s="7">
        <v>562.41999999999996</v>
      </c>
      <c r="H203" s="8">
        <v>56.95</v>
      </c>
      <c r="I203" s="7">
        <v>2024.5</v>
      </c>
      <c r="J203" s="7">
        <v>0</v>
      </c>
      <c r="K203" s="7">
        <f t="shared" si="12"/>
        <v>562.41999999999996</v>
      </c>
      <c r="L203" s="7">
        <f t="shared" si="13"/>
        <v>337.45199999999994</v>
      </c>
      <c r="M203" s="9">
        <f t="shared" si="14"/>
        <v>3.5996230575015118</v>
      </c>
      <c r="N203" s="10" t="str">
        <f t="shared" si="15"/>
        <v>SI</v>
      </c>
    </row>
    <row r="204" spans="1:14" ht="15.75" customHeight="1" x14ac:dyDescent="0.2">
      <c r="A204" s="11" t="s">
        <v>467</v>
      </c>
      <c r="B204" s="11" t="s">
        <v>655</v>
      </c>
      <c r="C204" s="11" t="s">
        <v>656</v>
      </c>
      <c r="D204" s="12" t="s">
        <v>657</v>
      </c>
      <c r="E204" s="13">
        <v>1250.19</v>
      </c>
      <c r="F204" s="13">
        <v>2562.89</v>
      </c>
      <c r="G204" s="13">
        <v>711.98</v>
      </c>
      <c r="H204" s="14">
        <v>56.95</v>
      </c>
      <c r="I204" s="13">
        <v>2562.89</v>
      </c>
      <c r="J204" s="13">
        <v>0</v>
      </c>
      <c r="K204" s="13">
        <f t="shared" si="12"/>
        <v>711.98</v>
      </c>
      <c r="L204" s="13">
        <f t="shared" si="13"/>
        <v>427.18799999999999</v>
      </c>
      <c r="M204" s="15">
        <f t="shared" si="14"/>
        <v>3.5996657209472174</v>
      </c>
      <c r="N204" s="10" t="str">
        <f t="shared" si="15"/>
        <v>SI</v>
      </c>
    </row>
    <row r="205" spans="1:14" ht="15.75" customHeight="1" x14ac:dyDescent="0.2">
      <c r="A205" s="5" t="s">
        <v>467</v>
      </c>
      <c r="B205" s="5" t="s">
        <v>658</v>
      </c>
      <c r="C205" s="5" t="s">
        <v>659</v>
      </c>
      <c r="D205" s="6" t="s">
        <v>657</v>
      </c>
      <c r="E205" s="7">
        <v>1423.37</v>
      </c>
      <c r="F205" s="7">
        <v>2917.91</v>
      </c>
      <c r="G205" s="7">
        <v>810.61</v>
      </c>
      <c r="H205" s="8">
        <v>56.95</v>
      </c>
      <c r="I205" s="7">
        <v>2917.91</v>
      </c>
      <c r="J205" s="7">
        <v>0</v>
      </c>
      <c r="K205" s="7">
        <f t="shared" si="12"/>
        <v>810.61</v>
      </c>
      <c r="L205" s="7">
        <f t="shared" si="13"/>
        <v>486.36599999999999</v>
      </c>
      <c r="M205" s="9">
        <f t="shared" si="14"/>
        <v>3.599647179284736</v>
      </c>
      <c r="N205" s="10" t="str">
        <f t="shared" si="15"/>
        <v>SI</v>
      </c>
    </row>
    <row r="206" spans="1:14" ht="15.75" customHeight="1" x14ac:dyDescent="0.2">
      <c r="A206" s="11" t="s">
        <v>467</v>
      </c>
      <c r="B206" s="11" t="s">
        <v>660</v>
      </c>
      <c r="C206" s="11" t="s">
        <v>661</v>
      </c>
      <c r="D206" s="12" t="s">
        <v>662</v>
      </c>
      <c r="E206" s="13">
        <v>273.99</v>
      </c>
      <c r="F206" s="13">
        <v>561.67999999999995</v>
      </c>
      <c r="G206" s="13">
        <v>156.04</v>
      </c>
      <c r="H206" s="14">
        <v>56.95</v>
      </c>
      <c r="I206" s="13">
        <v>561.67999999999995</v>
      </c>
      <c r="J206" s="13">
        <v>0</v>
      </c>
      <c r="K206" s="13">
        <f t="shared" si="12"/>
        <v>156.04</v>
      </c>
      <c r="L206" s="13">
        <f t="shared" si="13"/>
        <v>93.623999999999995</v>
      </c>
      <c r="M206" s="15">
        <f t="shared" si="14"/>
        <v>3.5995898487567288</v>
      </c>
      <c r="N206" s="10" t="str">
        <f t="shared" si="15"/>
        <v>SI</v>
      </c>
    </row>
    <row r="207" spans="1:14" ht="15.75" customHeight="1" x14ac:dyDescent="0.2">
      <c r="A207" s="5" t="s">
        <v>467</v>
      </c>
      <c r="B207" s="5" t="s">
        <v>663</v>
      </c>
      <c r="C207" s="5" t="s">
        <v>664</v>
      </c>
      <c r="D207" s="6" t="s">
        <v>662</v>
      </c>
      <c r="E207" s="7">
        <v>279.99</v>
      </c>
      <c r="F207" s="7">
        <v>573.98</v>
      </c>
      <c r="G207" s="7">
        <v>159.44999999999999</v>
      </c>
      <c r="H207" s="8">
        <v>56.95</v>
      </c>
      <c r="I207" s="7">
        <v>573.98</v>
      </c>
      <c r="J207" s="7">
        <v>0</v>
      </c>
      <c r="K207" s="7">
        <f t="shared" si="12"/>
        <v>159.44999999999999</v>
      </c>
      <c r="L207" s="7">
        <f t="shared" si="13"/>
        <v>95.669999999999987</v>
      </c>
      <c r="M207" s="9">
        <f t="shared" si="14"/>
        <v>3.5997491376607091</v>
      </c>
      <c r="N207" s="10" t="str">
        <f t="shared" si="15"/>
        <v>SI</v>
      </c>
    </row>
    <row r="208" spans="1:14" ht="15.75" customHeight="1" x14ac:dyDescent="0.2">
      <c r="A208" s="11" t="s">
        <v>467</v>
      </c>
      <c r="B208" s="11" t="s">
        <v>665</v>
      </c>
      <c r="C208" s="11" t="s">
        <v>666</v>
      </c>
      <c r="D208" s="12" t="s">
        <v>667</v>
      </c>
      <c r="E208" s="13">
        <v>187.58</v>
      </c>
      <c r="F208" s="13">
        <v>384.54</v>
      </c>
      <c r="G208" s="13">
        <v>106.83</v>
      </c>
      <c r="H208" s="14">
        <v>56.95</v>
      </c>
      <c r="I208" s="13">
        <v>384.54</v>
      </c>
      <c r="J208" s="13">
        <v>0</v>
      </c>
      <c r="K208" s="13">
        <f t="shared" si="12"/>
        <v>106.83</v>
      </c>
      <c r="L208" s="13">
        <f t="shared" si="13"/>
        <v>64.097999999999999</v>
      </c>
      <c r="M208" s="15">
        <f t="shared" si="14"/>
        <v>3.5995506880089865</v>
      </c>
      <c r="N208" s="10" t="str">
        <f t="shared" si="15"/>
        <v>SI</v>
      </c>
    </row>
    <row r="209" spans="1:14" ht="15.75" customHeight="1" x14ac:dyDescent="0.2">
      <c r="A209" s="5" t="s">
        <v>467</v>
      </c>
      <c r="B209" s="5" t="s">
        <v>668</v>
      </c>
      <c r="C209" s="5" t="s">
        <v>669</v>
      </c>
      <c r="D209" s="6" t="s">
        <v>667</v>
      </c>
      <c r="E209" s="7">
        <v>208.21</v>
      </c>
      <c r="F209" s="7">
        <v>426.83</v>
      </c>
      <c r="G209" s="7">
        <v>118.58</v>
      </c>
      <c r="H209" s="8">
        <v>56.95</v>
      </c>
      <c r="I209" s="7">
        <v>426.83</v>
      </c>
      <c r="J209" s="7">
        <v>0</v>
      </c>
      <c r="K209" s="7">
        <f t="shared" si="12"/>
        <v>118.58</v>
      </c>
      <c r="L209" s="7">
        <f t="shared" si="13"/>
        <v>71.147999999999996</v>
      </c>
      <c r="M209" s="9">
        <f t="shared" si="14"/>
        <v>3.5995108787316576</v>
      </c>
      <c r="N209" s="10" t="str">
        <f t="shared" si="15"/>
        <v>SI</v>
      </c>
    </row>
    <row r="210" spans="1:14" ht="15.75" customHeight="1" x14ac:dyDescent="0.2">
      <c r="A210" s="11" t="s">
        <v>467</v>
      </c>
      <c r="B210" s="11" t="s">
        <v>670</v>
      </c>
      <c r="C210" s="11" t="s">
        <v>671</v>
      </c>
      <c r="D210" s="12" t="s">
        <v>667</v>
      </c>
      <c r="E210" s="13">
        <v>207.97</v>
      </c>
      <c r="F210" s="13">
        <v>426.34</v>
      </c>
      <c r="G210" s="13">
        <v>118.44</v>
      </c>
      <c r="H210" s="14">
        <v>56.95</v>
      </c>
      <c r="I210" s="13">
        <v>426.34</v>
      </c>
      <c r="J210" s="13">
        <v>0</v>
      </c>
      <c r="K210" s="13">
        <f t="shared" si="12"/>
        <v>118.44</v>
      </c>
      <c r="L210" s="13">
        <f t="shared" si="13"/>
        <v>71.063999999999993</v>
      </c>
      <c r="M210" s="15">
        <f t="shared" si="14"/>
        <v>3.5996285038838227</v>
      </c>
      <c r="N210" s="10" t="str">
        <f t="shared" si="15"/>
        <v>SI</v>
      </c>
    </row>
    <row r="211" spans="1:14" ht="15.75" customHeight="1" x14ac:dyDescent="0.2">
      <c r="A211" s="5" t="s">
        <v>467</v>
      </c>
      <c r="B211" s="5" t="s">
        <v>672</v>
      </c>
      <c r="C211" s="5" t="s">
        <v>673</v>
      </c>
      <c r="D211" s="6" t="s">
        <v>667</v>
      </c>
      <c r="E211" s="7">
        <v>235.95</v>
      </c>
      <c r="F211" s="7">
        <v>483.7</v>
      </c>
      <c r="G211" s="7">
        <v>134.37</v>
      </c>
      <c r="H211" s="8">
        <v>56.95</v>
      </c>
      <c r="I211" s="7">
        <v>483.7</v>
      </c>
      <c r="J211" s="7">
        <v>0</v>
      </c>
      <c r="K211" s="7">
        <f t="shared" si="12"/>
        <v>134.37</v>
      </c>
      <c r="L211" s="7">
        <f t="shared" si="13"/>
        <v>80.622</v>
      </c>
      <c r="M211" s="9">
        <f t="shared" si="14"/>
        <v>3.5997618516037804</v>
      </c>
      <c r="N211" s="10" t="str">
        <f t="shared" si="15"/>
        <v>SI</v>
      </c>
    </row>
    <row r="212" spans="1:14" ht="15.75" customHeight="1" x14ac:dyDescent="0.2">
      <c r="A212" s="11" t="s">
        <v>467</v>
      </c>
      <c r="B212" s="11" t="s">
        <v>674</v>
      </c>
      <c r="C212" s="11" t="s">
        <v>675</v>
      </c>
      <c r="D212" s="12" t="s">
        <v>676</v>
      </c>
      <c r="E212" s="13">
        <v>209.41</v>
      </c>
      <c r="F212" s="13">
        <v>429.29</v>
      </c>
      <c r="G212" s="13">
        <v>119.26</v>
      </c>
      <c r="H212" s="14">
        <v>56.95</v>
      </c>
      <c r="I212" s="13">
        <v>429.29</v>
      </c>
      <c r="J212" s="13">
        <v>0</v>
      </c>
      <c r="K212" s="13">
        <f t="shared" si="12"/>
        <v>119.26</v>
      </c>
      <c r="L212" s="13">
        <f t="shared" si="13"/>
        <v>71.555999999999997</v>
      </c>
      <c r="M212" s="15">
        <f t="shared" si="14"/>
        <v>3.5996142881100117</v>
      </c>
      <c r="N212" s="10" t="str">
        <f t="shared" si="15"/>
        <v>SI</v>
      </c>
    </row>
    <row r="213" spans="1:14" ht="15.75" customHeight="1" x14ac:dyDescent="0.2">
      <c r="A213" s="5" t="s">
        <v>467</v>
      </c>
      <c r="B213" s="5" t="s">
        <v>674</v>
      </c>
      <c r="C213" s="5" t="s">
        <v>677</v>
      </c>
      <c r="D213" s="6" t="s">
        <v>676</v>
      </c>
      <c r="E213" s="7">
        <v>237.88</v>
      </c>
      <c r="F213" s="7">
        <v>487.65</v>
      </c>
      <c r="G213" s="7">
        <v>135.47</v>
      </c>
      <c r="H213" s="8">
        <v>56.95</v>
      </c>
      <c r="I213" s="7">
        <v>487.65</v>
      </c>
      <c r="J213" s="7">
        <v>0</v>
      </c>
      <c r="K213" s="7">
        <f t="shared" si="12"/>
        <v>135.47</v>
      </c>
      <c r="L213" s="7">
        <f t="shared" si="13"/>
        <v>81.281999999999996</v>
      </c>
      <c r="M213" s="9">
        <f t="shared" si="14"/>
        <v>3.5996899682586547</v>
      </c>
      <c r="N213" s="10" t="str">
        <f t="shared" si="15"/>
        <v>SI</v>
      </c>
    </row>
    <row r="214" spans="1:14" ht="15.75" customHeight="1" x14ac:dyDescent="0.2">
      <c r="A214" s="11" t="s">
        <v>467</v>
      </c>
      <c r="B214" s="11" t="s">
        <v>678</v>
      </c>
      <c r="C214" s="11" t="s">
        <v>679</v>
      </c>
      <c r="D214" s="12" t="s">
        <v>680</v>
      </c>
      <c r="E214" s="13">
        <v>203.29</v>
      </c>
      <c r="F214" s="13">
        <v>416.74</v>
      </c>
      <c r="G214" s="13">
        <v>115.77</v>
      </c>
      <c r="H214" s="14">
        <v>56.95</v>
      </c>
      <c r="I214" s="13">
        <v>416.74</v>
      </c>
      <c r="J214" s="13">
        <v>0</v>
      </c>
      <c r="K214" s="13">
        <f t="shared" si="12"/>
        <v>115.77</v>
      </c>
      <c r="L214" s="13">
        <f t="shared" si="13"/>
        <v>69.461999999999989</v>
      </c>
      <c r="M214" s="15">
        <f t="shared" si="14"/>
        <v>3.5997235898764792</v>
      </c>
      <c r="N214" s="10" t="str">
        <f t="shared" si="15"/>
        <v>SI</v>
      </c>
    </row>
    <row r="215" spans="1:14" ht="15.75" customHeight="1" x14ac:dyDescent="0.2">
      <c r="A215" s="5" t="s">
        <v>467</v>
      </c>
      <c r="B215" s="5" t="s">
        <v>678</v>
      </c>
      <c r="C215" s="5" t="s">
        <v>681</v>
      </c>
      <c r="D215" s="6" t="s">
        <v>680</v>
      </c>
      <c r="E215" s="7">
        <v>232.21</v>
      </c>
      <c r="F215" s="7">
        <v>476.03</v>
      </c>
      <c r="G215" s="7">
        <v>132.24</v>
      </c>
      <c r="H215" s="8">
        <v>56.95</v>
      </c>
      <c r="I215" s="7">
        <v>476.03</v>
      </c>
      <c r="J215" s="7">
        <v>0</v>
      </c>
      <c r="K215" s="7">
        <f t="shared" si="12"/>
        <v>132.24</v>
      </c>
      <c r="L215" s="7">
        <f t="shared" si="13"/>
        <v>79.344000000000008</v>
      </c>
      <c r="M215" s="9">
        <f t="shared" si="14"/>
        <v>3.5997428917120384</v>
      </c>
      <c r="N215" s="10" t="str">
        <f t="shared" si="15"/>
        <v>SI</v>
      </c>
    </row>
    <row r="216" spans="1:14" ht="15.75" customHeight="1" x14ac:dyDescent="0.2">
      <c r="A216" s="11" t="s">
        <v>467</v>
      </c>
      <c r="B216" s="11" t="s">
        <v>678</v>
      </c>
      <c r="C216" s="11" t="s">
        <v>682</v>
      </c>
      <c r="D216" s="12" t="s">
        <v>628</v>
      </c>
      <c r="E216" s="13">
        <v>218.28</v>
      </c>
      <c r="F216" s="13">
        <v>447.47</v>
      </c>
      <c r="G216" s="13">
        <v>124.31</v>
      </c>
      <c r="H216" s="14">
        <v>56.95</v>
      </c>
      <c r="I216" s="13">
        <v>447.47</v>
      </c>
      <c r="J216" s="13">
        <v>0</v>
      </c>
      <c r="K216" s="13">
        <f t="shared" si="12"/>
        <v>124.31</v>
      </c>
      <c r="L216" s="13">
        <f t="shared" si="13"/>
        <v>74.585999999999999</v>
      </c>
      <c r="M216" s="15">
        <f t="shared" si="14"/>
        <v>3.5996299573646531</v>
      </c>
      <c r="N216" s="10" t="str">
        <f t="shared" si="15"/>
        <v>SI</v>
      </c>
    </row>
    <row r="217" spans="1:14" ht="15.75" customHeight="1" x14ac:dyDescent="0.2">
      <c r="A217" s="5" t="s">
        <v>467</v>
      </c>
      <c r="B217" s="5" t="s">
        <v>678</v>
      </c>
      <c r="C217" s="5" t="s">
        <v>683</v>
      </c>
      <c r="D217" s="6" t="s">
        <v>628</v>
      </c>
      <c r="E217" s="7">
        <v>228.9</v>
      </c>
      <c r="F217" s="7">
        <v>469.25</v>
      </c>
      <c r="G217" s="7">
        <v>130.36000000000001</v>
      </c>
      <c r="H217" s="8">
        <v>56.95</v>
      </c>
      <c r="I217" s="7">
        <v>469.25</v>
      </c>
      <c r="J217" s="7">
        <v>0</v>
      </c>
      <c r="K217" s="7">
        <f t="shared" si="12"/>
        <v>130.36000000000001</v>
      </c>
      <c r="L217" s="7">
        <f t="shared" si="13"/>
        <v>78.216000000000008</v>
      </c>
      <c r="M217" s="9">
        <f t="shared" si="14"/>
        <v>3.5996471310217855</v>
      </c>
      <c r="N217" s="10" t="str">
        <f t="shared" si="15"/>
        <v>SI</v>
      </c>
    </row>
    <row r="218" spans="1:14" ht="15.75" customHeight="1" x14ac:dyDescent="0.2">
      <c r="A218" s="11" t="s">
        <v>467</v>
      </c>
      <c r="B218" s="11" t="s">
        <v>678</v>
      </c>
      <c r="C218" s="11" t="s">
        <v>684</v>
      </c>
      <c r="D218" s="12" t="s">
        <v>685</v>
      </c>
      <c r="E218" s="13">
        <v>285.52999999999997</v>
      </c>
      <c r="F218" s="13">
        <v>585.34</v>
      </c>
      <c r="G218" s="13">
        <v>162.61000000000001</v>
      </c>
      <c r="H218" s="14">
        <v>56.95</v>
      </c>
      <c r="I218" s="13">
        <v>585.34</v>
      </c>
      <c r="J218" s="13">
        <v>0</v>
      </c>
      <c r="K218" s="13">
        <f t="shared" si="12"/>
        <v>162.61000000000001</v>
      </c>
      <c r="L218" s="13">
        <f t="shared" si="13"/>
        <v>97.566000000000003</v>
      </c>
      <c r="M218" s="15">
        <f t="shared" si="14"/>
        <v>3.5996556177356864</v>
      </c>
      <c r="N218" s="10" t="str">
        <f t="shared" si="15"/>
        <v>SI</v>
      </c>
    </row>
    <row r="219" spans="1:14" ht="15.75" customHeight="1" x14ac:dyDescent="0.2">
      <c r="A219" s="5" t="s">
        <v>467</v>
      </c>
      <c r="B219" s="5" t="s">
        <v>678</v>
      </c>
      <c r="C219" s="5" t="s">
        <v>686</v>
      </c>
      <c r="D219" s="6" t="s">
        <v>685</v>
      </c>
      <c r="E219" s="7">
        <v>334.63</v>
      </c>
      <c r="F219" s="7">
        <v>685.99</v>
      </c>
      <c r="G219" s="7">
        <v>190.57</v>
      </c>
      <c r="H219" s="8">
        <v>56.95</v>
      </c>
      <c r="I219" s="7">
        <v>685.99</v>
      </c>
      <c r="J219" s="7">
        <v>0</v>
      </c>
      <c r="K219" s="7">
        <f t="shared" si="12"/>
        <v>190.57</v>
      </c>
      <c r="L219" s="7">
        <f t="shared" si="13"/>
        <v>114.342</v>
      </c>
      <c r="M219" s="9">
        <f t="shared" si="14"/>
        <v>3.5996746602298368</v>
      </c>
      <c r="N219" s="10" t="str">
        <f t="shared" si="15"/>
        <v>SI</v>
      </c>
    </row>
    <row r="220" spans="1:14" ht="15.75" customHeight="1" x14ac:dyDescent="0.2">
      <c r="A220" s="11" t="s">
        <v>467</v>
      </c>
      <c r="B220" s="11" t="s">
        <v>678</v>
      </c>
      <c r="C220" s="11" t="s">
        <v>687</v>
      </c>
      <c r="D220" s="12" t="s">
        <v>685</v>
      </c>
      <c r="E220" s="13">
        <v>325.10000000000002</v>
      </c>
      <c r="F220" s="13">
        <v>666.46</v>
      </c>
      <c r="G220" s="13">
        <v>185.14</v>
      </c>
      <c r="H220" s="14">
        <v>56.95</v>
      </c>
      <c r="I220" s="13">
        <v>666.46</v>
      </c>
      <c r="J220" s="13">
        <v>0</v>
      </c>
      <c r="K220" s="13">
        <f t="shared" si="12"/>
        <v>185.14</v>
      </c>
      <c r="L220" s="13">
        <f t="shared" si="13"/>
        <v>111.08399999999999</v>
      </c>
      <c r="M220" s="15">
        <f t="shared" si="14"/>
        <v>3.5997623420114513</v>
      </c>
      <c r="N220" s="10" t="str">
        <f t="shared" si="15"/>
        <v>SI</v>
      </c>
    </row>
    <row r="221" spans="1:14" ht="15.75" customHeight="1" x14ac:dyDescent="0.2">
      <c r="A221" s="5" t="s">
        <v>467</v>
      </c>
      <c r="B221" s="5" t="s">
        <v>678</v>
      </c>
      <c r="C221" s="5" t="s">
        <v>688</v>
      </c>
      <c r="D221" s="6" t="s">
        <v>685</v>
      </c>
      <c r="E221" s="7">
        <v>358.03</v>
      </c>
      <c r="F221" s="7">
        <v>733.96</v>
      </c>
      <c r="G221" s="7">
        <v>203.9</v>
      </c>
      <c r="H221" s="8">
        <v>56.95</v>
      </c>
      <c r="I221" s="7">
        <v>733.96</v>
      </c>
      <c r="J221" s="7">
        <v>0</v>
      </c>
      <c r="K221" s="7">
        <f t="shared" si="12"/>
        <v>203.9</v>
      </c>
      <c r="L221" s="7">
        <f t="shared" si="13"/>
        <v>122.34</v>
      </c>
      <c r="M221" s="9">
        <f t="shared" si="14"/>
        <v>3.5996076508092201</v>
      </c>
      <c r="N221" s="10" t="str">
        <f t="shared" si="15"/>
        <v>SI</v>
      </c>
    </row>
    <row r="222" spans="1:14" ht="15.75" customHeight="1" x14ac:dyDescent="0.2">
      <c r="A222" s="11" t="s">
        <v>467</v>
      </c>
      <c r="B222" s="11" t="s">
        <v>689</v>
      </c>
      <c r="C222" s="11" t="s">
        <v>690</v>
      </c>
      <c r="D222" s="12" t="s">
        <v>662</v>
      </c>
      <c r="E222" s="13">
        <v>245.33</v>
      </c>
      <c r="F222" s="13">
        <v>502.93</v>
      </c>
      <c r="G222" s="13">
        <v>139.71</v>
      </c>
      <c r="H222" s="14">
        <v>56.95</v>
      </c>
      <c r="I222" s="13">
        <v>502.93</v>
      </c>
      <c r="J222" s="13">
        <v>0</v>
      </c>
      <c r="K222" s="13">
        <f t="shared" si="12"/>
        <v>139.71</v>
      </c>
      <c r="L222" s="13">
        <f t="shared" si="13"/>
        <v>83.826000000000008</v>
      </c>
      <c r="M222" s="15">
        <f t="shared" si="14"/>
        <v>3.5998139002218879</v>
      </c>
      <c r="N222" s="10" t="str">
        <f t="shared" si="15"/>
        <v>SI</v>
      </c>
    </row>
    <row r="223" spans="1:14" ht="15.75" customHeight="1" x14ac:dyDescent="0.2">
      <c r="A223" s="5" t="s">
        <v>467</v>
      </c>
      <c r="B223" s="5" t="s">
        <v>689</v>
      </c>
      <c r="C223" s="5" t="s">
        <v>690</v>
      </c>
      <c r="D223" s="6" t="s">
        <v>662</v>
      </c>
      <c r="E223" s="7">
        <v>263.01</v>
      </c>
      <c r="F223" s="7">
        <v>539.16999999999996</v>
      </c>
      <c r="G223" s="7">
        <v>149.78</v>
      </c>
      <c r="H223" s="8">
        <v>56.95</v>
      </c>
      <c r="I223" s="7">
        <v>539.16999999999996</v>
      </c>
      <c r="J223" s="7">
        <v>0</v>
      </c>
      <c r="K223" s="7">
        <f t="shared" si="12"/>
        <v>149.78</v>
      </c>
      <c r="L223" s="7">
        <f t="shared" si="13"/>
        <v>89.867999999999995</v>
      </c>
      <c r="M223" s="9">
        <f t="shared" si="14"/>
        <v>3.5997462945653624</v>
      </c>
      <c r="N223" s="10" t="str">
        <f t="shared" si="15"/>
        <v>SI</v>
      </c>
    </row>
    <row r="224" spans="1:14" ht="15.75" customHeight="1" x14ac:dyDescent="0.2">
      <c r="A224" s="11" t="s">
        <v>467</v>
      </c>
      <c r="B224" s="11" t="s">
        <v>691</v>
      </c>
      <c r="C224" s="11" t="s">
        <v>692</v>
      </c>
      <c r="D224" s="12" t="s">
        <v>662</v>
      </c>
      <c r="E224" s="13">
        <v>283.88</v>
      </c>
      <c r="F224" s="13">
        <v>581.95000000000005</v>
      </c>
      <c r="G224" s="13">
        <v>161.66999999999999</v>
      </c>
      <c r="H224" s="14">
        <v>56.95</v>
      </c>
      <c r="I224" s="13">
        <v>581.95000000000005</v>
      </c>
      <c r="J224" s="13">
        <v>0</v>
      </c>
      <c r="K224" s="13">
        <f t="shared" si="12"/>
        <v>161.66999999999999</v>
      </c>
      <c r="L224" s="13">
        <f t="shared" si="13"/>
        <v>97.001999999999995</v>
      </c>
      <c r="M224" s="15">
        <f t="shared" si="14"/>
        <v>3.5996165027525211</v>
      </c>
      <c r="N224" s="10" t="str">
        <f t="shared" si="15"/>
        <v>SI</v>
      </c>
    </row>
    <row r="225" spans="1:14" ht="15.75" customHeight="1" x14ac:dyDescent="0.2">
      <c r="A225" s="5" t="s">
        <v>467</v>
      </c>
      <c r="B225" s="5" t="s">
        <v>693</v>
      </c>
      <c r="C225" s="5" t="s">
        <v>694</v>
      </c>
      <c r="D225" s="6" t="s">
        <v>662</v>
      </c>
      <c r="E225" s="7">
        <v>317.27999999999997</v>
      </c>
      <c r="F225" s="7">
        <v>650.41999999999996</v>
      </c>
      <c r="G225" s="7">
        <v>180.69</v>
      </c>
      <c r="H225" s="8">
        <v>56.95</v>
      </c>
      <c r="I225" s="7">
        <v>650.41999999999996</v>
      </c>
      <c r="J225" s="7">
        <v>0</v>
      </c>
      <c r="K225" s="7">
        <f t="shared" si="12"/>
        <v>180.69</v>
      </c>
      <c r="L225" s="7">
        <f t="shared" si="13"/>
        <v>108.414</v>
      </c>
      <c r="M225" s="9">
        <f t="shared" si="14"/>
        <v>3.5996458022026672</v>
      </c>
      <c r="N225" s="10" t="str">
        <f t="shared" si="15"/>
        <v>SI</v>
      </c>
    </row>
    <row r="226" spans="1:14" ht="15.75" customHeight="1" x14ac:dyDescent="0.2">
      <c r="A226" s="11" t="s">
        <v>467</v>
      </c>
      <c r="B226" s="11" t="s">
        <v>695</v>
      </c>
      <c r="C226" s="11" t="s">
        <v>696</v>
      </c>
      <c r="D226" s="12" t="s">
        <v>697</v>
      </c>
      <c r="E226" s="13">
        <v>178.35</v>
      </c>
      <c r="F226" s="13">
        <v>365.62</v>
      </c>
      <c r="G226" s="13">
        <v>101.57</v>
      </c>
      <c r="H226" s="14">
        <v>56.95</v>
      </c>
      <c r="I226" s="13">
        <v>365.62</v>
      </c>
      <c r="J226" s="13">
        <v>0</v>
      </c>
      <c r="K226" s="13">
        <f t="shared" si="12"/>
        <v>101.57</v>
      </c>
      <c r="L226" s="13">
        <f t="shared" si="13"/>
        <v>60.941999999999993</v>
      </c>
      <c r="M226" s="15">
        <f t="shared" si="14"/>
        <v>3.5996849463424243</v>
      </c>
      <c r="N226" s="10" t="str">
        <f t="shared" si="15"/>
        <v>SI</v>
      </c>
    </row>
    <row r="227" spans="1:14" ht="15.75" customHeight="1" x14ac:dyDescent="0.2">
      <c r="A227" s="5" t="s">
        <v>467</v>
      </c>
      <c r="B227" s="5" t="s">
        <v>698</v>
      </c>
      <c r="C227" s="5" t="s">
        <v>699</v>
      </c>
      <c r="D227" s="6" t="s">
        <v>697</v>
      </c>
      <c r="E227" s="7">
        <v>177.5</v>
      </c>
      <c r="F227" s="7">
        <v>363.88</v>
      </c>
      <c r="G227" s="7">
        <v>101.09</v>
      </c>
      <c r="H227" s="8">
        <v>56.95</v>
      </c>
      <c r="I227" s="7">
        <v>363.88</v>
      </c>
      <c r="J227" s="7">
        <v>0</v>
      </c>
      <c r="K227" s="7">
        <f t="shared" si="12"/>
        <v>101.09</v>
      </c>
      <c r="L227" s="7">
        <f t="shared" si="13"/>
        <v>60.653999999999996</v>
      </c>
      <c r="M227" s="9">
        <f t="shared" si="14"/>
        <v>3.5995647442872687</v>
      </c>
      <c r="N227" s="10" t="str">
        <f t="shared" si="15"/>
        <v>SI</v>
      </c>
    </row>
    <row r="228" spans="1:14" ht="15.75" customHeight="1" x14ac:dyDescent="0.2">
      <c r="A228" s="11" t="s">
        <v>467</v>
      </c>
      <c r="B228" s="11" t="s">
        <v>700</v>
      </c>
      <c r="C228" s="11" t="s">
        <v>701</v>
      </c>
      <c r="D228" s="12" t="s">
        <v>702</v>
      </c>
      <c r="E228" s="13">
        <v>186.98</v>
      </c>
      <c r="F228" s="13">
        <v>383.31</v>
      </c>
      <c r="G228" s="13">
        <v>106.48</v>
      </c>
      <c r="H228" s="14">
        <v>56.95</v>
      </c>
      <c r="I228" s="13">
        <v>383.31</v>
      </c>
      <c r="J228" s="13">
        <v>0</v>
      </c>
      <c r="K228" s="13">
        <f t="shared" si="12"/>
        <v>106.48</v>
      </c>
      <c r="L228" s="13">
        <f t="shared" si="13"/>
        <v>63.887999999999998</v>
      </c>
      <c r="M228" s="15">
        <f t="shared" si="14"/>
        <v>3.5998309541697968</v>
      </c>
      <c r="N228" s="10" t="str">
        <f t="shared" si="15"/>
        <v>SI</v>
      </c>
    </row>
    <row r="229" spans="1:14" ht="15.75" customHeight="1" x14ac:dyDescent="0.2">
      <c r="A229" s="5" t="s">
        <v>467</v>
      </c>
      <c r="B229" s="5" t="s">
        <v>703</v>
      </c>
      <c r="C229" s="5" t="s">
        <v>704</v>
      </c>
      <c r="D229" s="6" t="s">
        <v>702</v>
      </c>
      <c r="E229" s="7">
        <v>206.53</v>
      </c>
      <c r="F229" s="7">
        <v>423.39</v>
      </c>
      <c r="G229" s="7">
        <v>117.62</v>
      </c>
      <c r="H229" s="8">
        <v>56.95</v>
      </c>
      <c r="I229" s="7">
        <v>423.39</v>
      </c>
      <c r="J229" s="7">
        <v>0</v>
      </c>
      <c r="K229" s="7">
        <f t="shared" si="12"/>
        <v>117.62</v>
      </c>
      <c r="L229" s="7">
        <f t="shared" si="13"/>
        <v>70.572000000000003</v>
      </c>
      <c r="M229" s="9">
        <f t="shared" si="14"/>
        <v>3.59964291787111</v>
      </c>
      <c r="N229" s="10" t="str">
        <f t="shared" si="15"/>
        <v>SI</v>
      </c>
    </row>
    <row r="230" spans="1:14" ht="15.75" customHeight="1" x14ac:dyDescent="0.2">
      <c r="A230" s="11" t="s">
        <v>467</v>
      </c>
      <c r="B230" s="11" t="s">
        <v>705</v>
      </c>
      <c r="C230" s="11" t="s">
        <v>706</v>
      </c>
      <c r="D230" s="12" t="s">
        <v>697</v>
      </c>
      <c r="E230" s="13">
        <v>226.39</v>
      </c>
      <c r="F230" s="13">
        <v>464.1</v>
      </c>
      <c r="G230" s="13">
        <v>128.93</v>
      </c>
      <c r="H230" s="14">
        <v>56.95</v>
      </c>
      <c r="I230" s="13">
        <v>464.1</v>
      </c>
      <c r="J230" s="13">
        <v>0</v>
      </c>
      <c r="K230" s="13">
        <f t="shared" si="12"/>
        <v>128.93</v>
      </c>
      <c r="L230" s="13">
        <f t="shared" si="13"/>
        <v>77.358000000000004</v>
      </c>
      <c r="M230" s="15">
        <f t="shared" si="14"/>
        <v>3.5996277049561778</v>
      </c>
      <c r="N230" s="10" t="str">
        <f t="shared" si="15"/>
        <v>SI</v>
      </c>
    </row>
    <row r="231" spans="1:14" ht="15.75" customHeight="1" x14ac:dyDescent="0.2">
      <c r="A231" s="5" t="s">
        <v>467</v>
      </c>
      <c r="B231" s="5" t="s">
        <v>707</v>
      </c>
      <c r="C231" s="5" t="s">
        <v>708</v>
      </c>
      <c r="D231" s="6" t="s">
        <v>680</v>
      </c>
      <c r="E231" s="7">
        <v>258.36</v>
      </c>
      <c r="F231" s="7">
        <v>529.64</v>
      </c>
      <c r="G231" s="7">
        <v>147.13999999999999</v>
      </c>
      <c r="H231" s="8">
        <v>56.95</v>
      </c>
      <c r="I231" s="7">
        <v>529.64</v>
      </c>
      <c r="J231" s="7">
        <v>0</v>
      </c>
      <c r="K231" s="7">
        <f t="shared" si="12"/>
        <v>147.13999999999999</v>
      </c>
      <c r="L231" s="7">
        <f t="shared" si="13"/>
        <v>88.283999999999992</v>
      </c>
      <c r="M231" s="9">
        <f t="shared" si="14"/>
        <v>3.599565040097866</v>
      </c>
      <c r="N231" s="10" t="str">
        <f t="shared" si="15"/>
        <v>SI</v>
      </c>
    </row>
    <row r="232" spans="1:14" ht="15.75" customHeight="1" x14ac:dyDescent="0.2">
      <c r="A232" s="11" t="s">
        <v>467</v>
      </c>
      <c r="B232" s="11" t="s">
        <v>709</v>
      </c>
      <c r="C232" s="11" t="s">
        <v>710</v>
      </c>
      <c r="D232" s="12" t="s">
        <v>628</v>
      </c>
      <c r="E232" s="13">
        <v>226.79</v>
      </c>
      <c r="F232" s="13">
        <v>464.92</v>
      </c>
      <c r="G232" s="13">
        <v>129.16</v>
      </c>
      <c r="H232" s="14">
        <v>56.95</v>
      </c>
      <c r="I232" s="13">
        <v>464.92</v>
      </c>
      <c r="J232" s="13">
        <v>0</v>
      </c>
      <c r="K232" s="13">
        <f t="shared" si="12"/>
        <v>129.16</v>
      </c>
      <c r="L232" s="13">
        <f t="shared" si="13"/>
        <v>77.495999999999995</v>
      </c>
      <c r="M232" s="15">
        <f t="shared" si="14"/>
        <v>3.5995664292350575</v>
      </c>
      <c r="N232" s="10" t="str">
        <f t="shared" si="15"/>
        <v>SI</v>
      </c>
    </row>
    <row r="233" spans="1:14" ht="15.75" customHeight="1" x14ac:dyDescent="0.2">
      <c r="A233" s="5" t="s">
        <v>467</v>
      </c>
      <c r="B233" s="5" t="s">
        <v>711</v>
      </c>
      <c r="C233" s="5" t="s">
        <v>712</v>
      </c>
      <c r="D233" s="6" t="s">
        <v>628</v>
      </c>
      <c r="E233" s="7">
        <v>258.75</v>
      </c>
      <c r="F233" s="7">
        <v>530.44000000000005</v>
      </c>
      <c r="G233" s="7">
        <v>147.36000000000001</v>
      </c>
      <c r="H233" s="8">
        <v>56.95</v>
      </c>
      <c r="I233" s="7">
        <v>530.44000000000005</v>
      </c>
      <c r="J233" s="7">
        <v>0</v>
      </c>
      <c r="K233" s="7">
        <f t="shared" si="12"/>
        <v>147.36000000000001</v>
      </c>
      <c r="L233" s="7">
        <f t="shared" si="13"/>
        <v>88.416000000000011</v>
      </c>
      <c r="M233" s="9">
        <f t="shared" si="14"/>
        <v>3.5996199782844736</v>
      </c>
      <c r="N233" s="10" t="str">
        <f t="shared" si="15"/>
        <v>SI</v>
      </c>
    </row>
    <row r="234" spans="1:14" ht="15.75" customHeight="1" x14ac:dyDescent="0.2">
      <c r="A234" s="11" t="s">
        <v>467</v>
      </c>
      <c r="B234" s="11" t="s">
        <v>713</v>
      </c>
      <c r="C234" s="11" t="s">
        <v>714</v>
      </c>
      <c r="D234" s="12" t="s">
        <v>715</v>
      </c>
      <c r="E234" s="13">
        <v>205.19</v>
      </c>
      <c r="F234" s="13">
        <v>420.64</v>
      </c>
      <c r="G234" s="13">
        <v>116.86</v>
      </c>
      <c r="H234" s="14">
        <v>56.95</v>
      </c>
      <c r="I234" s="13">
        <v>420.64</v>
      </c>
      <c r="J234" s="13">
        <v>0</v>
      </c>
      <c r="K234" s="13">
        <f t="shared" si="12"/>
        <v>116.86</v>
      </c>
      <c r="L234" s="13">
        <f t="shared" si="13"/>
        <v>70.116</v>
      </c>
      <c r="M234" s="15">
        <f t="shared" si="14"/>
        <v>3.5995207941126135</v>
      </c>
      <c r="N234" s="10" t="str">
        <f t="shared" si="15"/>
        <v>SI</v>
      </c>
    </row>
    <row r="235" spans="1:14" ht="15.75" customHeight="1" x14ac:dyDescent="0.2">
      <c r="A235" s="5" t="s">
        <v>467</v>
      </c>
      <c r="B235" s="5" t="s">
        <v>716</v>
      </c>
      <c r="C235" s="5" t="s">
        <v>717</v>
      </c>
      <c r="D235" s="6" t="s">
        <v>715</v>
      </c>
      <c r="E235" s="7">
        <v>211.05</v>
      </c>
      <c r="F235" s="7">
        <v>432.65</v>
      </c>
      <c r="G235" s="7">
        <v>120.19</v>
      </c>
      <c r="H235" s="8">
        <v>56.95</v>
      </c>
      <c r="I235" s="7">
        <v>432.65</v>
      </c>
      <c r="J235" s="7">
        <v>0</v>
      </c>
      <c r="K235" s="7">
        <f t="shared" si="12"/>
        <v>120.19</v>
      </c>
      <c r="L235" s="7">
        <f t="shared" si="13"/>
        <v>72.11399999999999</v>
      </c>
      <c r="M235" s="9">
        <f t="shared" si="14"/>
        <v>3.5997171145685996</v>
      </c>
      <c r="N235" s="10" t="str">
        <f t="shared" si="15"/>
        <v>SI</v>
      </c>
    </row>
    <row r="236" spans="1:14" ht="15.75" customHeight="1" x14ac:dyDescent="0.2">
      <c r="A236" s="11" t="s">
        <v>467</v>
      </c>
      <c r="B236" s="11" t="s">
        <v>718</v>
      </c>
      <c r="C236" s="11" t="s">
        <v>719</v>
      </c>
      <c r="D236" s="12" t="s">
        <v>685</v>
      </c>
      <c r="E236" s="13">
        <v>361.89</v>
      </c>
      <c r="F236" s="13">
        <v>741.87</v>
      </c>
      <c r="G236" s="13">
        <v>206.1</v>
      </c>
      <c r="H236" s="14">
        <v>56.95</v>
      </c>
      <c r="I236" s="13">
        <v>741.87</v>
      </c>
      <c r="J236" s="13">
        <v>0</v>
      </c>
      <c r="K236" s="13">
        <f t="shared" si="12"/>
        <v>206.1</v>
      </c>
      <c r="L236" s="13">
        <f t="shared" si="13"/>
        <v>123.66</v>
      </c>
      <c r="M236" s="15">
        <f t="shared" si="14"/>
        <v>3.5995633187772929</v>
      </c>
      <c r="N236" s="10" t="str">
        <f t="shared" si="15"/>
        <v>SI</v>
      </c>
    </row>
    <row r="237" spans="1:14" ht="15.75" customHeight="1" x14ac:dyDescent="0.2">
      <c r="A237" s="5" t="s">
        <v>467</v>
      </c>
      <c r="B237" s="5" t="s">
        <v>720</v>
      </c>
      <c r="C237" s="5" t="s">
        <v>721</v>
      </c>
      <c r="D237" s="6" t="s">
        <v>722</v>
      </c>
      <c r="E237" s="7">
        <v>368.6</v>
      </c>
      <c r="F237" s="7">
        <v>755.63</v>
      </c>
      <c r="G237" s="7">
        <v>209.92</v>
      </c>
      <c r="H237" s="8">
        <v>56.95</v>
      </c>
      <c r="I237" s="7">
        <v>755.63</v>
      </c>
      <c r="J237" s="7">
        <v>0</v>
      </c>
      <c r="K237" s="7">
        <f t="shared" si="12"/>
        <v>209.92</v>
      </c>
      <c r="L237" s="7">
        <f t="shared" si="13"/>
        <v>125.95199999999998</v>
      </c>
      <c r="M237" s="9">
        <f t="shared" si="14"/>
        <v>3.599609375</v>
      </c>
      <c r="N237" s="10" t="str">
        <f t="shared" si="15"/>
        <v>SI</v>
      </c>
    </row>
    <row r="238" spans="1:14" ht="15.75" customHeight="1" x14ac:dyDescent="0.2">
      <c r="A238" s="11" t="s">
        <v>467</v>
      </c>
      <c r="B238" s="11" t="s">
        <v>723</v>
      </c>
      <c r="C238" s="11" t="s">
        <v>724</v>
      </c>
      <c r="D238" s="12" t="s">
        <v>722</v>
      </c>
      <c r="E238" s="13">
        <v>186.62</v>
      </c>
      <c r="F238" s="13">
        <v>382.57</v>
      </c>
      <c r="G238" s="13">
        <v>106.28</v>
      </c>
      <c r="H238" s="14">
        <v>56.95</v>
      </c>
      <c r="I238" s="13">
        <v>382.57</v>
      </c>
      <c r="J238" s="13">
        <v>0</v>
      </c>
      <c r="K238" s="13">
        <f t="shared" si="12"/>
        <v>106.28</v>
      </c>
      <c r="L238" s="13">
        <f t="shared" si="13"/>
        <v>63.768000000000001</v>
      </c>
      <c r="M238" s="15">
        <f t="shared" si="14"/>
        <v>3.5996424538953704</v>
      </c>
      <c r="N238" s="10" t="str">
        <f t="shared" si="15"/>
        <v>SI</v>
      </c>
    </row>
    <row r="239" spans="1:14" ht="15.75" customHeight="1" x14ac:dyDescent="0.2">
      <c r="A239" s="5" t="s">
        <v>467</v>
      </c>
      <c r="B239" s="5" t="s">
        <v>725</v>
      </c>
      <c r="C239" s="5" t="s">
        <v>726</v>
      </c>
      <c r="D239" s="6" t="s">
        <v>722</v>
      </c>
      <c r="E239" s="7">
        <v>270.76</v>
      </c>
      <c r="F239" s="7">
        <v>555.05999999999995</v>
      </c>
      <c r="G239" s="7">
        <v>154.19999999999999</v>
      </c>
      <c r="H239" s="8">
        <v>56.95</v>
      </c>
      <c r="I239" s="7">
        <v>555.05999999999995</v>
      </c>
      <c r="J239" s="7">
        <v>0</v>
      </c>
      <c r="K239" s="7">
        <f t="shared" si="12"/>
        <v>154.19999999999999</v>
      </c>
      <c r="L239" s="7">
        <f t="shared" si="13"/>
        <v>92.52</v>
      </c>
      <c r="M239" s="9">
        <f t="shared" si="14"/>
        <v>3.5996108949416343</v>
      </c>
      <c r="N239" s="10" t="str">
        <f t="shared" si="15"/>
        <v>SI</v>
      </c>
    </row>
    <row r="240" spans="1:14" ht="15.75" customHeight="1" x14ac:dyDescent="0.2">
      <c r="A240" s="11" t="s">
        <v>467</v>
      </c>
      <c r="B240" s="11" t="s">
        <v>727</v>
      </c>
      <c r="C240" s="11" t="s">
        <v>728</v>
      </c>
      <c r="D240" s="12" t="s">
        <v>729</v>
      </c>
      <c r="E240" s="13">
        <v>120.39</v>
      </c>
      <c r="F240" s="13">
        <v>246.8</v>
      </c>
      <c r="G240" s="13">
        <v>68.56</v>
      </c>
      <c r="H240" s="14">
        <v>56.95</v>
      </c>
      <c r="I240" s="13">
        <v>246.8</v>
      </c>
      <c r="J240" s="13">
        <v>0</v>
      </c>
      <c r="K240" s="13">
        <f t="shared" si="12"/>
        <v>68.56</v>
      </c>
      <c r="L240" s="13">
        <f t="shared" si="13"/>
        <v>41.136000000000003</v>
      </c>
      <c r="M240" s="15">
        <f t="shared" si="14"/>
        <v>3.5997666277712952</v>
      </c>
      <c r="N240" s="10" t="str">
        <f t="shared" si="15"/>
        <v>CUIDADO</v>
      </c>
    </row>
    <row r="241" spans="1:14" ht="15.75" customHeight="1" x14ac:dyDescent="0.2">
      <c r="A241" s="5" t="s">
        <v>467</v>
      </c>
      <c r="B241" s="5" t="s">
        <v>730</v>
      </c>
      <c r="C241" s="5" t="s">
        <v>731</v>
      </c>
      <c r="D241" s="6" t="s">
        <v>732</v>
      </c>
      <c r="E241" s="7">
        <v>279.44</v>
      </c>
      <c r="F241" s="7">
        <v>572.85</v>
      </c>
      <c r="G241" s="7">
        <v>159.13999999999999</v>
      </c>
      <c r="H241" s="8">
        <v>56.95</v>
      </c>
      <c r="I241" s="7">
        <v>572.85</v>
      </c>
      <c r="J241" s="7">
        <v>0</v>
      </c>
      <c r="K241" s="7">
        <f t="shared" si="12"/>
        <v>159.13999999999999</v>
      </c>
      <c r="L241" s="7">
        <f t="shared" si="13"/>
        <v>95.483999999999995</v>
      </c>
      <c r="M241" s="9">
        <f t="shared" si="14"/>
        <v>3.599660676134222</v>
      </c>
      <c r="N241" s="10" t="str">
        <f t="shared" si="15"/>
        <v>SI</v>
      </c>
    </row>
    <row r="242" spans="1:14" ht="15.75" customHeight="1" x14ac:dyDescent="0.2">
      <c r="A242" s="11" t="s">
        <v>467</v>
      </c>
      <c r="B242" s="11" t="s">
        <v>730</v>
      </c>
      <c r="C242" s="11" t="s">
        <v>733</v>
      </c>
      <c r="D242" s="12" t="s">
        <v>732</v>
      </c>
      <c r="E242" s="13">
        <v>356.97</v>
      </c>
      <c r="F242" s="13">
        <v>731.79</v>
      </c>
      <c r="G242" s="13">
        <v>203.29</v>
      </c>
      <c r="H242" s="14">
        <v>56.95</v>
      </c>
      <c r="I242" s="13">
        <v>731.79</v>
      </c>
      <c r="J242" s="13">
        <v>0</v>
      </c>
      <c r="K242" s="13">
        <f t="shared" si="12"/>
        <v>203.29</v>
      </c>
      <c r="L242" s="13">
        <f t="shared" si="13"/>
        <v>121.97399999999999</v>
      </c>
      <c r="M242" s="15">
        <f t="shared" si="14"/>
        <v>3.599734369619755</v>
      </c>
      <c r="N242" s="10" t="str">
        <f t="shared" si="15"/>
        <v>SI</v>
      </c>
    </row>
    <row r="243" spans="1:14" ht="15.75" customHeight="1" x14ac:dyDescent="0.2">
      <c r="A243" s="5" t="s">
        <v>467</v>
      </c>
      <c r="B243" s="5" t="s">
        <v>730</v>
      </c>
      <c r="C243" s="5" t="s">
        <v>734</v>
      </c>
      <c r="D243" s="6" t="s">
        <v>732</v>
      </c>
      <c r="E243" s="7">
        <v>534.41</v>
      </c>
      <c r="F243" s="7">
        <v>1095.54</v>
      </c>
      <c r="G243" s="7">
        <v>304.35000000000002</v>
      </c>
      <c r="H243" s="8">
        <v>56.95</v>
      </c>
      <c r="I243" s="7">
        <v>1095.54</v>
      </c>
      <c r="J243" s="7">
        <v>0</v>
      </c>
      <c r="K243" s="7">
        <f t="shared" si="12"/>
        <v>304.35000000000002</v>
      </c>
      <c r="L243" s="7">
        <f t="shared" si="13"/>
        <v>182.61</v>
      </c>
      <c r="M243" s="9">
        <f t="shared" si="14"/>
        <v>3.5996057171020204</v>
      </c>
      <c r="N243" s="10" t="str">
        <f t="shared" si="15"/>
        <v>SI</v>
      </c>
    </row>
    <row r="244" spans="1:14" ht="15.75" customHeight="1" x14ac:dyDescent="0.2">
      <c r="A244" s="11" t="s">
        <v>467</v>
      </c>
      <c r="B244" s="11" t="s">
        <v>735</v>
      </c>
      <c r="C244" s="11" t="s">
        <v>736</v>
      </c>
      <c r="D244" s="12" t="s">
        <v>597</v>
      </c>
      <c r="E244" s="13">
        <v>122.04</v>
      </c>
      <c r="F244" s="13">
        <v>250.18</v>
      </c>
      <c r="G244" s="13">
        <v>69.5</v>
      </c>
      <c r="H244" s="14">
        <v>56.95</v>
      </c>
      <c r="I244" s="13">
        <v>250.18</v>
      </c>
      <c r="J244" s="13">
        <v>0</v>
      </c>
      <c r="K244" s="13">
        <f t="shared" si="12"/>
        <v>69.5</v>
      </c>
      <c r="L244" s="13">
        <f t="shared" si="13"/>
        <v>41.699999999999996</v>
      </c>
      <c r="M244" s="15">
        <f t="shared" si="14"/>
        <v>3.5997122302158275</v>
      </c>
      <c r="N244" s="10" t="str">
        <f t="shared" si="15"/>
        <v>CUIDADO</v>
      </c>
    </row>
    <row r="245" spans="1:14" ht="15.75" customHeight="1" x14ac:dyDescent="0.2">
      <c r="A245" s="5" t="s">
        <v>467</v>
      </c>
      <c r="B245" s="5" t="s">
        <v>737</v>
      </c>
      <c r="C245" s="5" t="s">
        <v>738</v>
      </c>
      <c r="D245" s="6" t="s">
        <v>597</v>
      </c>
      <c r="E245" s="7">
        <v>130.35</v>
      </c>
      <c r="F245" s="7">
        <v>267.22000000000003</v>
      </c>
      <c r="G245" s="7">
        <v>74.23</v>
      </c>
      <c r="H245" s="8">
        <v>56.95</v>
      </c>
      <c r="I245" s="7">
        <v>267.22000000000003</v>
      </c>
      <c r="J245" s="7">
        <v>0</v>
      </c>
      <c r="K245" s="7">
        <f t="shared" si="12"/>
        <v>74.23</v>
      </c>
      <c r="L245" s="7">
        <f t="shared" si="13"/>
        <v>44.538000000000004</v>
      </c>
      <c r="M245" s="9">
        <f t="shared" si="14"/>
        <v>3.5998922268624547</v>
      </c>
      <c r="N245" s="10" t="str">
        <f t="shared" si="15"/>
        <v>CUIDADO</v>
      </c>
    </row>
    <row r="246" spans="1:14" ht="15.75" customHeight="1" x14ac:dyDescent="0.2">
      <c r="A246" s="11" t="s">
        <v>467</v>
      </c>
      <c r="B246" s="11" t="s">
        <v>739</v>
      </c>
      <c r="C246" s="11" t="s">
        <v>740</v>
      </c>
      <c r="D246" s="12" t="s">
        <v>597</v>
      </c>
      <c r="E246" s="13">
        <v>123.32</v>
      </c>
      <c r="F246" s="13">
        <v>252.81</v>
      </c>
      <c r="G246" s="13">
        <v>70.23</v>
      </c>
      <c r="H246" s="14">
        <v>56.95</v>
      </c>
      <c r="I246" s="13">
        <v>252.81</v>
      </c>
      <c r="J246" s="13">
        <v>0</v>
      </c>
      <c r="K246" s="13">
        <f t="shared" si="12"/>
        <v>70.23</v>
      </c>
      <c r="L246" s="13">
        <f t="shared" si="13"/>
        <v>42.137999999999998</v>
      </c>
      <c r="M246" s="15">
        <f t="shared" si="14"/>
        <v>3.5997436992738145</v>
      </c>
      <c r="N246" s="10" t="str">
        <f t="shared" si="15"/>
        <v>CUIDADO</v>
      </c>
    </row>
    <row r="247" spans="1:14" ht="15.75" customHeight="1" x14ac:dyDescent="0.2">
      <c r="A247" s="5" t="s">
        <v>467</v>
      </c>
      <c r="B247" s="5" t="s">
        <v>741</v>
      </c>
      <c r="C247" s="5" t="s">
        <v>742</v>
      </c>
      <c r="D247" s="6" t="s">
        <v>597</v>
      </c>
      <c r="E247" s="7">
        <v>136.79</v>
      </c>
      <c r="F247" s="7">
        <v>280.42</v>
      </c>
      <c r="G247" s="7">
        <v>77.900000000000006</v>
      </c>
      <c r="H247" s="8">
        <v>56.95</v>
      </c>
      <c r="I247" s="7">
        <v>280.42</v>
      </c>
      <c r="J247" s="7">
        <v>0</v>
      </c>
      <c r="K247" s="7">
        <f t="shared" si="12"/>
        <v>77.900000000000006</v>
      </c>
      <c r="L247" s="7">
        <f t="shared" si="13"/>
        <v>46.74</v>
      </c>
      <c r="M247" s="9">
        <f t="shared" si="14"/>
        <v>3.5997432605905004</v>
      </c>
      <c r="N247" s="10" t="str">
        <f t="shared" si="15"/>
        <v>CUIDADO</v>
      </c>
    </row>
    <row r="248" spans="1:14" ht="15.75" customHeight="1" x14ac:dyDescent="0.2">
      <c r="A248" s="11" t="s">
        <v>467</v>
      </c>
      <c r="B248" s="11" t="s">
        <v>743</v>
      </c>
      <c r="C248" s="11" t="s">
        <v>744</v>
      </c>
      <c r="D248" s="12" t="s">
        <v>745</v>
      </c>
      <c r="E248" s="13">
        <v>367.06</v>
      </c>
      <c r="F248" s="13">
        <v>752.47</v>
      </c>
      <c r="G248" s="13">
        <v>209.04</v>
      </c>
      <c r="H248" s="14">
        <v>56.95</v>
      </c>
      <c r="I248" s="13">
        <v>752.47</v>
      </c>
      <c r="J248" s="13">
        <v>0</v>
      </c>
      <c r="K248" s="13">
        <f t="shared" si="12"/>
        <v>209.04</v>
      </c>
      <c r="L248" s="13">
        <f t="shared" si="13"/>
        <v>125.42399999999999</v>
      </c>
      <c r="M248" s="15">
        <f t="shared" si="14"/>
        <v>3.5996460007654041</v>
      </c>
      <c r="N248" s="10" t="str">
        <f t="shared" si="15"/>
        <v>SI</v>
      </c>
    </row>
    <row r="249" spans="1:14" ht="15.75" customHeight="1" x14ac:dyDescent="0.2">
      <c r="A249" s="5" t="s">
        <v>467</v>
      </c>
      <c r="B249" s="5" t="s">
        <v>743</v>
      </c>
      <c r="C249" s="5" t="s">
        <v>746</v>
      </c>
      <c r="D249" s="6" t="s">
        <v>745</v>
      </c>
      <c r="E249" s="7">
        <v>611.77</v>
      </c>
      <c r="F249" s="7">
        <v>1254.1300000000001</v>
      </c>
      <c r="G249" s="7">
        <v>348.4</v>
      </c>
      <c r="H249" s="8">
        <v>56.95</v>
      </c>
      <c r="I249" s="7">
        <v>1254.1300000000001</v>
      </c>
      <c r="J249" s="7">
        <v>0</v>
      </c>
      <c r="K249" s="7">
        <f t="shared" si="12"/>
        <v>348.4</v>
      </c>
      <c r="L249" s="7">
        <f t="shared" si="13"/>
        <v>209.04</v>
      </c>
      <c r="M249" s="9">
        <f t="shared" si="14"/>
        <v>3.5996842709529284</v>
      </c>
      <c r="N249" s="10" t="str">
        <f t="shared" si="15"/>
        <v>SI</v>
      </c>
    </row>
    <row r="250" spans="1:14" ht="15.75" customHeight="1" x14ac:dyDescent="0.2">
      <c r="A250" s="11" t="s">
        <v>467</v>
      </c>
      <c r="B250" s="11" t="s">
        <v>743</v>
      </c>
      <c r="C250" s="11" t="s">
        <v>747</v>
      </c>
      <c r="D250" s="12" t="s">
        <v>745</v>
      </c>
      <c r="E250" s="13">
        <v>837.52</v>
      </c>
      <c r="F250" s="13">
        <v>1716.92</v>
      </c>
      <c r="G250" s="13">
        <v>476.97</v>
      </c>
      <c r="H250" s="14">
        <v>56.95</v>
      </c>
      <c r="I250" s="13">
        <v>1716.92</v>
      </c>
      <c r="J250" s="13">
        <v>0</v>
      </c>
      <c r="K250" s="13">
        <f t="shared" si="12"/>
        <v>476.97</v>
      </c>
      <c r="L250" s="13">
        <f t="shared" si="13"/>
        <v>286.18200000000002</v>
      </c>
      <c r="M250" s="15">
        <f t="shared" si="14"/>
        <v>3.5996393903180492</v>
      </c>
      <c r="N250" s="10" t="str">
        <f t="shared" si="15"/>
        <v>SI</v>
      </c>
    </row>
    <row r="251" spans="1:14" ht="15.75" customHeight="1" x14ac:dyDescent="0.2">
      <c r="A251" s="5" t="s">
        <v>467</v>
      </c>
      <c r="B251" s="5" t="s">
        <v>748</v>
      </c>
      <c r="C251" s="5" t="s">
        <v>749</v>
      </c>
      <c r="D251" s="6" t="s">
        <v>750</v>
      </c>
      <c r="E251" s="7">
        <v>194.7</v>
      </c>
      <c r="F251" s="7">
        <v>399.14</v>
      </c>
      <c r="G251" s="7">
        <v>110.88</v>
      </c>
      <c r="H251" s="8">
        <v>56.95</v>
      </c>
      <c r="I251" s="7">
        <v>399.14</v>
      </c>
      <c r="J251" s="7">
        <v>0</v>
      </c>
      <c r="K251" s="7">
        <f t="shared" si="12"/>
        <v>110.88</v>
      </c>
      <c r="L251" s="7">
        <f t="shared" si="13"/>
        <v>66.527999999999992</v>
      </c>
      <c r="M251" s="9">
        <f t="shared" si="14"/>
        <v>3.5997474747474749</v>
      </c>
      <c r="N251" s="10" t="str">
        <f t="shared" si="15"/>
        <v>SI</v>
      </c>
    </row>
    <row r="252" spans="1:14" ht="15.75" customHeight="1" x14ac:dyDescent="0.2">
      <c r="A252" s="11" t="s">
        <v>467</v>
      </c>
      <c r="B252" s="11" t="s">
        <v>748</v>
      </c>
      <c r="C252" s="11" t="s">
        <v>751</v>
      </c>
      <c r="D252" s="12" t="s">
        <v>750</v>
      </c>
      <c r="E252" s="13">
        <v>226.66</v>
      </c>
      <c r="F252" s="13">
        <v>464.65</v>
      </c>
      <c r="G252" s="13">
        <v>129.08000000000001</v>
      </c>
      <c r="H252" s="14">
        <v>56.95</v>
      </c>
      <c r="I252" s="13">
        <v>464.65</v>
      </c>
      <c r="J252" s="13">
        <v>0</v>
      </c>
      <c r="K252" s="13">
        <f t="shared" si="12"/>
        <v>129.08000000000001</v>
      </c>
      <c r="L252" s="13">
        <f t="shared" si="13"/>
        <v>77.448000000000008</v>
      </c>
      <c r="M252" s="15">
        <f t="shared" si="14"/>
        <v>3.5997056089246975</v>
      </c>
      <c r="N252" s="10" t="str">
        <f t="shared" si="15"/>
        <v>SI</v>
      </c>
    </row>
    <row r="253" spans="1:14" ht="15.75" customHeight="1" x14ac:dyDescent="0.2">
      <c r="A253" s="5" t="s">
        <v>467</v>
      </c>
      <c r="B253" s="5" t="s">
        <v>752</v>
      </c>
      <c r="C253" s="5" t="s">
        <v>753</v>
      </c>
      <c r="D253" s="6" t="s">
        <v>754</v>
      </c>
      <c r="E253" s="7">
        <v>221.96</v>
      </c>
      <c r="F253" s="7">
        <v>455.02</v>
      </c>
      <c r="G253" s="7">
        <v>126.41</v>
      </c>
      <c r="H253" s="8">
        <v>56.95</v>
      </c>
      <c r="I253" s="7">
        <v>455.02</v>
      </c>
      <c r="J253" s="7">
        <v>0</v>
      </c>
      <c r="K253" s="7">
        <f t="shared" si="12"/>
        <v>126.41</v>
      </c>
      <c r="L253" s="7">
        <f t="shared" si="13"/>
        <v>75.845999999999989</v>
      </c>
      <c r="M253" s="9">
        <f t="shared" si="14"/>
        <v>3.5995569970730164</v>
      </c>
      <c r="N253" s="10" t="str">
        <f t="shared" si="15"/>
        <v>SI</v>
      </c>
    </row>
    <row r="254" spans="1:14" ht="15.75" customHeight="1" x14ac:dyDescent="0.2">
      <c r="A254" s="11" t="s">
        <v>467</v>
      </c>
      <c r="B254" s="11" t="s">
        <v>755</v>
      </c>
      <c r="C254" s="11" t="s">
        <v>756</v>
      </c>
      <c r="D254" s="12" t="s">
        <v>757</v>
      </c>
      <c r="E254" s="13">
        <v>206.48</v>
      </c>
      <c r="F254" s="13">
        <v>423.28</v>
      </c>
      <c r="G254" s="13">
        <v>117.59</v>
      </c>
      <c r="H254" s="14">
        <v>56.95</v>
      </c>
      <c r="I254" s="13">
        <v>423.28</v>
      </c>
      <c r="J254" s="13">
        <v>0</v>
      </c>
      <c r="K254" s="13">
        <f t="shared" si="12"/>
        <v>117.59</v>
      </c>
      <c r="L254" s="13">
        <f t="shared" si="13"/>
        <v>70.554000000000002</v>
      </c>
      <c r="M254" s="15">
        <f t="shared" si="14"/>
        <v>3.5996258185219827</v>
      </c>
      <c r="N254" s="10" t="str">
        <f t="shared" si="15"/>
        <v>SI</v>
      </c>
    </row>
    <row r="255" spans="1:14" ht="15.75" customHeight="1" x14ac:dyDescent="0.2">
      <c r="A255" s="5" t="s">
        <v>467</v>
      </c>
      <c r="B255" s="5" t="s">
        <v>752</v>
      </c>
      <c r="C255" s="5" t="s">
        <v>753</v>
      </c>
      <c r="D255" s="6" t="s">
        <v>754</v>
      </c>
      <c r="E255" s="7">
        <v>213.86</v>
      </c>
      <c r="F255" s="7">
        <v>438.41</v>
      </c>
      <c r="G255" s="7">
        <v>121.79</v>
      </c>
      <c r="H255" s="8">
        <v>56.95</v>
      </c>
      <c r="I255" s="7">
        <v>438.41</v>
      </c>
      <c r="J255" s="7">
        <v>0</v>
      </c>
      <c r="K255" s="7">
        <f t="shared" si="12"/>
        <v>121.79</v>
      </c>
      <c r="L255" s="7">
        <f t="shared" si="13"/>
        <v>73.073999999999998</v>
      </c>
      <c r="M255" s="9">
        <f t="shared" si="14"/>
        <v>3.5997208309385007</v>
      </c>
      <c r="N255" s="10" t="str">
        <f t="shared" si="15"/>
        <v>SI</v>
      </c>
    </row>
    <row r="256" spans="1:14" ht="15.75" customHeight="1" x14ac:dyDescent="0.2">
      <c r="A256" s="11" t="s">
        <v>467</v>
      </c>
      <c r="B256" s="11" t="s">
        <v>755</v>
      </c>
      <c r="C256" s="11" t="s">
        <v>756</v>
      </c>
      <c r="D256" s="12" t="s">
        <v>757</v>
      </c>
      <c r="E256" s="13">
        <v>163.38</v>
      </c>
      <c r="F256" s="13">
        <v>334.93</v>
      </c>
      <c r="G256" s="13">
        <v>93.04</v>
      </c>
      <c r="H256" s="14">
        <v>56.95</v>
      </c>
      <c r="I256" s="13">
        <v>334.93</v>
      </c>
      <c r="J256" s="13">
        <v>0</v>
      </c>
      <c r="K256" s="13">
        <f t="shared" si="12"/>
        <v>93.04</v>
      </c>
      <c r="L256" s="13">
        <f t="shared" si="13"/>
        <v>55.824000000000005</v>
      </c>
      <c r="M256" s="15">
        <f t="shared" si="14"/>
        <v>3.5998495270851243</v>
      </c>
      <c r="N256" s="10" t="str">
        <f t="shared" si="15"/>
        <v>CUIDADO</v>
      </c>
    </row>
    <row r="257" spans="1:14" ht="15.75" customHeight="1" x14ac:dyDescent="0.2">
      <c r="A257" s="5" t="s">
        <v>467</v>
      </c>
      <c r="B257" s="5" t="s">
        <v>758</v>
      </c>
      <c r="C257" s="5" t="s">
        <v>759</v>
      </c>
      <c r="D257" s="6" t="s">
        <v>757</v>
      </c>
      <c r="E257" s="7">
        <v>204.95</v>
      </c>
      <c r="F257" s="7">
        <v>420.15</v>
      </c>
      <c r="G257" s="7">
        <v>116.72</v>
      </c>
      <c r="H257" s="8">
        <v>56.95</v>
      </c>
      <c r="I257" s="7">
        <v>420.15</v>
      </c>
      <c r="J257" s="7">
        <v>0</v>
      </c>
      <c r="K257" s="7">
        <f t="shared" si="12"/>
        <v>116.72</v>
      </c>
      <c r="L257" s="7">
        <f t="shared" si="13"/>
        <v>70.031999999999996</v>
      </c>
      <c r="M257" s="9">
        <f t="shared" si="14"/>
        <v>3.5996401644962299</v>
      </c>
      <c r="N257" s="10" t="str">
        <f t="shared" si="15"/>
        <v>SI</v>
      </c>
    </row>
    <row r="258" spans="1:14" ht="15.75" customHeight="1" x14ac:dyDescent="0.2">
      <c r="A258" s="11" t="s">
        <v>467</v>
      </c>
      <c r="B258" s="11" t="s">
        <v>760</v>
      </c>
      <c r="C258" s="11" t="s">
        <v>761</v>
      </c>
      <c r="D258" s="12" t="s">
        <v>754</v>
      </c>
      <c r="E258" s="13">
        <v>222.76</v>
      </c>
      <c r="F258" s="13">
        <v>456.66</v>
      </c>
      <c r="G258" s="13">
        <v>126.86</v>
      </c>
      <c r="H258" s="14">
        <v>56.95</v>
      </c>
      <c r="I258" s="13">
        <v>456.66</v>
      </c>
      <c r="J258" s="13">
        <v>0</v>
      </c>
      <c r="K258" s="13">
        <f t="shared" si="12"/>
        <v>126.86</v>
      </c>
      <c r="L258" s="13">
        <f t="shared" si="13"/>
        <v>76.116</v>
      </c>
      <c r="M258" s="15">
        <f t="shared" si="14"/>
        <v>3.5997162226075989</v>
      </c>
      <c r="N258" s="10" t="str">
        <f t="shared" si="15"/>
        <v>SI</v>
      </c>
    </row>
    <row r="259" spans="1:14" ht="15.75" customHeight="1" x14ac:dyDescent="0.2">
      <c r="A259" s="5" t="s">
        <v>467</v>
      </c>
      <c r="B259" s="5" t="s">
        <v>752</v>
      </c>
      <c r="C259" s="5" t="s">
        <v>753</v>
      </c>
      <c r="D259" s="6" t="s">
        <v>754</v>
      </c>
      <c r="E259" s="7">
        <v>228.96</v>
      </c>
      <c r="F259" s="7">
        <v>469.37</v>
      </c>
      <c r="G259" s="7">
        <v>130.38999999999999</v>
      </c>
      <c r="H259" s="8">
        <v>56.95</v>
      </c>
      <c r="I259" s="7">
        <v>469.37</v>
      </c>
      <c r="J259" s="7">
        <v>0</v>
      </c>
      <c r="K259" s="7">
        <f t="shared" ref="K259:K322" si="16">G259-J259</f>
        <v>130.38999999999999</v>
      </c>
      <c r="L259" s="7">
        <f t="shared" ref="L259:L322" si="17">K259*$L$1</f>
        <v>78.233999999999995</v>
      </c>
      <c r="M259" s="9">
        <f t="shared" ref="M259:M284" si="18">F259/K259</f>
        <v>3.5997392438070408</v>
      </c>
      <c r="N259" s="10" t="str">
        <f t="shared" ref="N259:N322" si="19">IF(M259&lt;3.5,"SI",IF(M259&lt;4.5,IF(K259&gt;=100,"SI",IF(K259&gt;=40,"CUIDADO","NO")),IF(AND(M259&lt;5.5,F259&gt;=500,K259&gt;=80),"CUIDADO","NO")))</f>
        <v>SI</v>
      </c>
    </row>
    <row r="260" spans="1:14" ht="15.75" customHeight="1" x14ac:dyDescent="0.2">
      <c r="A260" s="11" t="s">
        <v>467</v>
      </c>
      <c r="B260" s="11" t="s">
        <v>755</v>
      </c>
      <c r="C260" s="11" t="s">
        <v>756</v>
      </c>
      <c r="D260" s="12" t="s">
        <v>757</v>
      </c>
      <c r="E260" s="13">
        <v>217.14</v>
      </c>
      <c r="F260" s="13">
        <v>445.14</v>
      </c>
      <c r="G260" s="13">
        <v>123.66</v>
      </c>
      <c r="H260" s="14">
        <v>56.95</v>
      </c>
      <c r="I260" s="13">
        <v>445.14</v>
      </c>
      <c r="J260" s="13">
        <v>0</v>
      </c>
      <c r="K260" s="13">
        <f t="shared" si="16"/>
        <v>123.66</v>
      </c>
      <c r="L260" s="13">
        <f t="shared" si="17"/>
        <v>74.195999999999998</v>
      </c>
      <c r="M260" s="15">
        <f t="shared" si="18"/>
        <v>3.5997088791848615</v>
      </c>
      <c r="N260" s="10" t="str">
        <f t="shared" si="19"/>
        <v>SI</v>
      </c>
    </row>
    <row r="261" spans="1:14" ht="15.75" customHeight="1" x14ac:dyDescent="0.2">
      <c r="A261" s="5" t="s">
        <v>467</v>
      </c>
      <c r="B261" s="5" t="s">
        <v>762</v>
      </c>
      <c r="C261" s="5" t="s">
        <v>763</v>
      </c>
      <c r="D261" s="6" t="s">
        <v>764</v>
      </c>
      <c r="E261" s="7">
        <v>561.54</v>
      </c>
      <c r="F261" s="7">
        <v>1151.1600000000001</v>
      </c>
      <c r="G261" s="7">
        <v>319.8</v>
      </c>
      <c r="H261" s="8">
        <v>56.95</v>
      </c>
      <c r="I261" s="7">
        <v>1151.1600000000001</v>
      </c>
      <c r="J261" s="7">
        <v>0</v>
      </c>
      <c r="K261" s="7">
        <f t="shared" si="16"/>
        <v>319.8</v>
      </c>
      <c r="L261" s="7">
        <f t="shared" si="17"/>
        <v>191.88</v>
      </c>
      <c r="M261" s="9">
        <f t="shared" si="18"/>
        <v>3.5996247654784241</v>
      </c>
      <c r="N261" s="10" t="str">
        <f t="shared" si="19"/>
        <v>SI</v>
      </c>
    </row>
    <row r="262" spans="1:14" ht="15.75" customHeight="1" x14ac:dyDescent="0.2">
      <c r="A262" s="11" t="s">
        <v>467</v>
      </c>
      <c r="B262" s="11" t="s">
        <v>765</v>
      </c>
      <c r="C262" s="11" t="s">
        <v>766</v>
      </c>
      <c r="D262" s="12" t="s">
        <v>767</v>
      </c>
      <c r="E262" s="13">
        <v>561.54</v>
      </c>
      <c r="F262" s="13">
        <v>1151.1600000000001</v>
      </c>
      <c r="G262" s="13">
        <v>319.8</v>
      </c>
      <c r="H262" s="14">
        <v>56.95</v>
      </c>
      <c r="I262" s="13">
        <v>1151.1600000000001</v>
      </c>
      <c r="J262" s="13">
        <v>0</v>
      </c>
      <c r="K262" s="13">
        <f t="shared" si="16"/>
        <v>319.8</v>
      </c>
      <c r="L262" s="13">
        <f t="shared" si="17"/>
        <v>191.88</v>
      </c>
      <c r="M262" s="15">
        <f t="shared" si="18"/>
        <v>3.5996247654784241</v>
      </c>
      <c r="N262" s="10" t="str">
        <f t="shared" si="19"/>
        <v>SI</v>
      </c>
    </row>
    <row r="263" spans="1:14" ht="15.75" customHeight="1" x14ac:dyDescent="0.2">
      <c r="A263" s="5" t="s">
        <v>467</v>
      </c>
      <c r="B263" s="5" t="s">
        <v>768</v>
      </c>
      <c r="C263" s="5" t="s">
        <v>769</v>
      </c>
      <c r="D263" s="6" t="s">
        <v>767</v>
      </c>
      <c r="E263" s="7">
        <v>1019.5</v>
      </c>
      <c r="F263" s="7">
        <v>2089.98</v>
      </c>
      <c r="G263" s="7">
        <v>580.6</v>
      </c>
      <c r="H263" s="8">
        <v>56.95</v>
      </c>
      <c r="I263" s="7">
        <v>2089.98</v>
      </c>
      <c r="J263" s="7">
        <v>0</v>
      </c>
      <c r="K263" s="7">
        <f t="shared" si="16"/>
        <v>580.6</v>
      </c>
      <c r="L263" s="7">
        <f t="shared" si="17"/>
        <v>348.36</v>
      </c>
      <c r="M263" s="9">
        <f t="shared" si="18"/>
        <v>3.5996899758870131</v>
      </c>
      <c r="N263" s="10" t="str">
        <f t="shared" si="19"/>
        <v>SI</v>
      </c>
    </row>
    <row r="264" spans="1:14" ht="15.75" customHeight="1" x14ac:dyDescent="0.2">
      <c r="A264" s="11" t="s">
        <v>467</v>
      </c>
      <c r="B264" s="11" t="s">
        <v>770</v>
      </c>
      <c r="C264" s="11" t="s">
        <v>771</v>
      </c>
      <c r="D264" s="12" t="s">
        <v>772</v>
      </c>
      <c r="E264" s="13">
        <v>48.25</v>
      </c>
      <c r="F264" s="13">
        <v>98.91</v>
      </c>
      <c r="G264" s="13">
        <v>27.48</v>
      </c>
      <c r="H264" s="14">
        <v>56.95</v>
      </c>
      <c r="I264" s="13">
        <v>98.91</v>
      </c>
      <c r="J264" s="13">
        <v>0</v>
      </c>
      <c r="K264" s="13">
        <f t="shared" si="16"/>
        <v>27.48</v>
      </c>
      <c r="L264" s="13">
        <f t="shared" si="17"/>
        <v>16.488</v>
      </c>
      <c r="M264" s="15">
        <f t="shared" si="18"/>
        <v>3.5993449781659388</v>
      </c>
      <c r="N264" s="10" t="str">
        <f t="shared" si="19"/>
        <v>NO</v>
      </c>
    </row>
    <row r="265" spans="1:14" ht="15.75" customHeight="1" x14ac:dyDescent="0.2">
      <c r="A265" s="5" t="s">
        <v>467</v>
      </c>
      <c r="B265" s="5" t="s">
        <v>773</v>
      </c>
      <c r="C265" s="5" t="s">
        <v>774</v>
      </c>
      <c r="D265" s="6" t="s">
        <v>772</v>
      </c>
      <c r="E265" s="7">
        <v>82.22</v>
      </c>
      <c r="F265" s="7">
        <v>168.55</v>
      </c>
      <c r="G265" s="7">
        <v>46.82</v>
      </c>
      <c r="H265" s="8">
        <v>56.95</v>
      </c>
      <c r="I265" s="7">
        <v>168.55</v>
      </c>
      <c r="J265" s="7">
        <v>0</v>
      </c>
      <c r="K265" s="7">
        <f t="shared" si="16"/>
        <v>46.82</v>
      </c>
      <c r="L265" s="7">
        <f t="shared" si="17"/>
        <v>28.091999999999999</v>
      </c>
      <c r="M265" s="9">
        <f t="shared" si="18"/>
        <v>3.5999572832123028</v>
      </c>
      <c r="N265" s="10" t="str">
        <f t="shared" si="19"/>
        <v>CUIDADO</v>
      </c>
    </row>
    <row r="266" spans="1:14" ht="15.75" customHeight="1" x14ac:dyDescent="0.2">
      <c r="A266" s="11" t="s">
        <v>467</v>
      </c>
      <c r="B266" s="11" t="s">
        <v>775</v>
      </c>
      <c r="C266" s="11" t="s">
        <v>776</v>
      </c>
      <c r="D266" s="12" t="s">
        <v>777</v>
      </c>
      <c r="E266" s="13">
        <v>70.569999999999993</v>
      </c>
      <c r="F266" s="13">
        <v>144.66999999999999</v>
      </c>
      <c r="G266" s="13">
        <v>40.19</v>
      </c>
      <c r="H266" s="14">
        <v>56.95</v>
      </c>
      <c r="I266" s="13">
        <v>144.66999999999999</v>
      </c>
      <c r="J266" s="13">
        <v>0</v>
      </c>
      <c r="K266" s="13">
        <f t="shared" si="16"/>
        <v>40.19</v>
      </c>
      <c r="L266" s="13">
        <f t="shared" si="17"/>
        <v>24.113999999999997</v>
      </c>
      <c r="M266" s="15">
        <f t="shared" si="18"/>
        <v>3.5996516546404576</v>
      </c>
      <c r="N266" s="10" t="str">
        <f t="shared" si="19"/>
        <v>CUIDADO</v>
      </c>
    </row>
    <row r="267" spans="1:14" ht="15.75" customHeight="1" x14ac:dyDescent="0.2">
      <c r="A267" s="5" t="s">
        <v>467</v>
      </c>
      <c r="B267" s="5" t="s">
        <v>775</v>
      </c>
      <c r="C267" s="5" t="s">
        <v>778</v>
      </c>
      <c r="D267" s="6" t="s">
        <v>779</v>
      </c>
      <c r="E267" s="7">
        <v>62.07</v>
      </c>
      <c r="F267" s="7">
        <v>127.24</v>
      </c>
      <c r="G267" s="7">
        <v>35.35</v>
      </c>
      <c r="H267" s="8">
        <v>56.95</v>
      </c>
      <c r="I267" s="7">
        <v>127.24</v>
      </c>
      <c r="J267" s="7">
        <v>0</v>
      </c>
      <c r="K267" s="7">
        <f t="shared" si="16"/>
        <v>35.35</v>
      </c>
      <c r="L267" s="7">
        <f t="shared" si="17"/>
        <v>21.21</v>
      </c>
      <c r="M267" s="9">
        <f t="shared" si="18"/>
        <v>3.599434229137199</v>
      </c>
      <c r="N267" s="10" t="str">
        <f t="shared" si="19"/>
        <v>NO</v>
      </c>
    </row>
    <row r="268" spans="1:14" ht="15.75" customHeight="1" x14ac:dyDescent="0.2">
      <c r="A268" s="11" t="s">
        <v>467</v>
      </c>
      <c r="B268" s="11" t="s">
        <v>775</v>
      </c>
      <c r="C268" s="11" t="s">
        <v>780</v>
      </c>
      <c r="D268" s="12" t="s">
        <v>779</v>
      </c>
      <c r="E268" s="13">
        <v>102.54</v>
      </c>
      <c r="F268" s="13">
        <v>210.21</v>
      </c>
      <c r="G268" s="13">
        <v>58.4</v>
      </c>
      <c r="H268" s="14">
        <v>56.95</v>
      </c>
      <c r="I268" s="13">
        <v>210.21</v>
      </c>
      <c r="J268" s="13">
        <v>0</v>
      </c>
      <c r="K268" s="13">
        <f t="shared" si="16"/>
        <v>58.4</v>
      </c>
      <c r="L268" s="13">
        <f t="shared" si="17"/>
        <v>35.04</v>
      </c>
      <c r="M268" s="15">
        <f t="shared" si="18"/>
        <v>3.599486301369863</v>
      </c>
      <c r="N268" s="10" t="str">
        <f t="shared" si="19"/>
        <v>CUIDADO</v>
      </c>
    </row>
    <row r="269" spans="1:14" ht="15.75" customHeight="1" x14ac:dyDescent="0.2">
      <c r="A269" s="5" t="s">
        <v>467</v>
      </c>
      <c r="B269" s="5" t="s">
        <v>781</v>
      </c>
      <c r="C269" s="5" t="s">
        <v>782</v>
      </c>
      <c r="D269" s="6" t="s">
        <v>783</v>
      </c>
      <c r="E269" s="7">
        <v>34.61</v>
      </c>
      <c r="F269" s="7">
        <v>70.95</v>
      </c>
      <c r="G269" s="7">
        <v>19.71</v>
      </c>
      <c r="H269" s="8">
        <v>56.95</v>
      </c>
      <c r="I269" s="7">
        <v>70.95</v>
      </c>
      <c r="J269" s="7">
        <v>0</v>
      </c>
      <c r="K269" s="7">
        <f t="shared" si="16"/>
        <v>19.71</v>
      </c>
      <c r="L269" s="7">
        <f t="shared" si="17"/>
        <v>11.826000000000001</v>
      </c>
      <c r="M269" s="9">
        <f t="shared" si="18"/>
        <v>3.5996955859969559</v>
      </c>
      <c r="N269" s="10" t="str">
        <f t="shared" si="19"/>
        <v>NO</v>
      </c>
    </row>
    <row r="270" spans="1:14" ht="15.75" customHeight="1" x14ac:dyDescent="0.2">
      <c r="A270" s="11" t="s">
        <v>467</v>
      </c>
      <c r="B270" s="11" t="s">
        <v>784</v>
      </c>
      <c r="C270" s="11" t="s">
        <v>785</v>
      </c>
      <c r="D270" s="12" t="s">
        <v>786</v>
      </c>
      <c r="E270" s="13">
        <v>88.17</v>
      </c>
      <c r="F270" s="13">
        <v>180.75</v>
      </c>
      <c r="G270" s="13">
        <v>50.21</v>
      </c>
      <c r="H270" s="14">
        <v>56.95</v>
      </c>
      <c r="I270" s="13">
        <v>180.75</v>
      </c>
      <c r="J270" s="13">
        <v>0</v>
      </c>
      <c r="K270" s="13">
        <f t="shared" si="16"/>
        <v>50.21</v>
      </c>
      <c r="L270" s="13">
        <f t="shared" si="17"/>
        <v>30.125999999999998</v>
      </c>
      <c r="M270" s="15">
        <f t="shared" si="18"/>
        <v>3.5998805018920534</v>
      </c>
      <c r="N270" s="10" t="str">
        <f t="shared" si="19"/>
        <v>CUIDADO</v>
      </c>
    </row>
    <row r="271" spans="1:14" ht="15.75" customHeight="1" x14ac:dyDescent="0.2">
      <c r="A271" s="5" t="s">
        <v>467</v>
      </c>
      <c r="B271" s="5" t="s">
        <v>787</v>
      </c>
      <c r="C271" s="5" t="s">
        <v>788</v>
      </c>
      <c r="D271" s="6" t="s">
        <v>786</v>
      </c>
      <c r="E271" s="7">
        <v>68.16</v>
      </c>
      <c r="F271" s="7">
        <v>139.72999999999999</v>
      </c>
      <c r="G271" s="7">
        <v>38.82</v>
      </c>
      <c r="H271" s="8">
        <v>56.95</v>
      </c>
      <c r="I271" s="7">
        <v>139.72999999999999</v>
      </c>
      <c r="J271" s="7">
        <v>0</v>
      </c>
      <c r="K271" s="7">
        <f t="shared" si="16"/>
        <v>38.82</v>
      </c>
      <c r="L271" s="7">
        <f t="shared" si="17"/>
        <v>23.291999999999998</v>
      </c>
      <c r="M271" s="9">
        <f t="shared" si="18"/>
        <v>3.5994332818134978</v>
      </c>
      <c r="N271" s="10" t="str">
        <f t="shared" si="19"/>
        <v>NO</v>
      </c>
    </row>
    <row r="272" spans="1:14" ht="15.75" customHeight="1" x14ac:dyDescent="0.2">
      <c r="A272" s="11" t="s">
        <v>467</v>
      </c>
      <c r="B272" s="11" t="s">
        <v>789</v>
      </c>
      <c r="C272" s="11" t="s">
        <v>790</v>
      </c>
      <c r="D272" s="12" t="s">
        <v>791</v>
      </c>
      <c r="E272" s="13">
        <v>54.88</v>
      </c>
      <c r="F272" s="13">
        <v>112.5</v>
      </c>
      <c r="G272" s="13">
        <v>31.26</v>
      </c>
      <c r="H272" s="14">
        <v>56.95</v>
      </c>
      <c r="I272" s="13">
        <v>112.5</v>
      </c>
      <c r="J272" s="13">
        <v>0</v>
      </c>
      <c r="K272" s="13">
        <f t="shared" si="16"/>
        <v>31.26</v>
      </c>
      <c r="L272" s="13">
        <f t="shared" si="17"/>
        <v>18.756</v>
      </c>
      <c r="M272" s="15">
        <f t="shared" si="18"/>
        <v>3.5988483685220727</v>
      </c>
      <c r="N272" s="10" t="str">
        <f t="shared" si="19"/>
        <v>NO</v>
      </c>
    </row>
    <row r="273" spans="1:14" ht="15.75" customHeight="1" x14ac:dyDescent="0.2">
      <c r="A273" s="5" t="s">
        <v>467</v>
      </c>
      <c r="B273" s="5" t="s">
        <v>792</v>
      </c>
      <c r="C273" s="5" t="s">
        <v>793</v>
      </c>
      <c r="D273" s="6" t="s">
        <v>791</v>
      </c>
      <c r="E273" s="7">
        <v>27.52</v>
      </c>
      <c r="F273" s="7">
        <v>56.42</v>
      </c>
      <c r="G273" s="7">
        <v>15.67</v>
      </c>
      <c r="H273" s="8">
        <v>56.95</v>
      </c>
      <c r="I273" s="7">
        <v>56.42</v>
      </c>
      <c r="J273" s="7">
        <v>0</v>
      </c>
      <c r="K273" s="7">
        <f t="shared" si="16"/>
        <v>15.67</v>
      </c>
      <c r="L273" s="7">
        <f t="shared" si="17"/>
        <v>9.4019999999999992</v>
      </c>
      <c r="M273" s="9">
        <f t="shared" si="18"/>
        <v>3.6005105296745374</v>
      </c>
      <c r="N273" s="10" t="str">
        <f t="shared" si="19"/>
        <v>NO</v>
      </c>
    </row>
    <row r="274" spans="1:14" ht="15.75" customHeight="1" x14ac:dyDescent="0.2">
      <c r="A274" s="11" t="s">
        <v>467</v>
      </c>
      <c r="B274" s="11" t="s">
        <v>794</v>
      </c>
      <c r="C274" s="11" t="s">
        <v>795</v>
      </c>
      <c r="D274" s="12" t="s">
        <v>796</v>
      </c>
      <c r="E274" s="13">
        <v>137.94</v>
      </c>
      <c r="F274" s="13">
        <v>282.77999999999997</v>
      </c>
      <c r="G274" s="13">
        <v>78.56</v>
      </c>
      <c r="H274" s="14">
        <v>56.95</v>
      </c>
      <c r="I274" s="13">
        <v>282.77999999999997</v>
      </c>
      <c r="J274" s="13">
        <v>0</v>
      </c>
      <c r="K274" s="13">
        <f t="shared" si="16"/>
        <v>78.56</v>
      </c>
      <c r="L274" s="13">
        <f t="shared" si="17"/>
        <v>47.136000000000003</v>
      </c>
      <c r="M274" s="15">
        <f t="shared" si="18"/>
        <v>3.5995417515274943</v>
      </c>
      <c r="N274" s="10" t="str">
        <f t="shared" si="19"/>
        <v>CUIDADO</v>
      </c>
    </row>
    <row r="275" spans="1:14" ht="15.75" customHeight="1" x14ac:dyDescent="0.2">
      <c r="A275" s="5" t="s">
        <v>467</v>
      </c>
      <c r="B275" s="5" t="s">
        <v>794</v>
      </c>
      <c r="C275" s="5" t="s">
        <v>797</v>
      </c>
      <c r="D275" s="6" t="s">
        <v>796</v>
      </c>
      <c r="E275" s="7">
        <v>176.97</v>
      </c>
      <c r="F275" s="7">
        <v>362.79</v>
      </c>
      <c r="G275" s="7">
        <v>100.78</v>
      </c>
      <c r="H275" s="8">
        <v>56.95</v>
      </c>
      <c r="I275" s="7">
        <v>362.79</v>
      </c>
      <c r="J275" s="7">
        <v>0</v>
      </c>
      <c r="K275" s="7">
        <f t="shared" si="16"/>
        <v>100.78</v>
      </c>
      <c r="L275" s="7">
        <f t="shared" si="17"/>
        <v>60.467999999999996</v>
      </c>
      <c r="M275" s="9">
        <f t="shared" si="18"/>
        <v>3.5998213931335585</v>
      </c>
      <c r="N275" s="10" t="str">
        <f t="shared" si="19"/>
        <v>SI</v>
      </c>
    </row>
    <row r="276" spans="1:14" ht="15.75" customHeight="1" x14ac:dyDescent="0.2">
      <c r="A276" s="11" t="s">
        <v>467</v>
      </c>
      <c r="B276" s="11" t="s">
        <v>794</v>
      </c>
      <c r="C276" s="11" t="s">
        <v>798</v>
      </c>
      <c r="D276" s="12" t="s">
        <v>796</v>
      </c>
      <c r="E276" s="13">
        <v>42.82</v>
      </c>
      <c r="F276" s="13">
        <v>87.78</v>
      </c>
      <c r="G276" s="13">
        <v>24.39</v>
      </c>
      <c r="H276" s="14">
        <v>56.95</v>
      </c>
      <c r="I276" s="13">
        <v>87.78</v>
      </c>
      <c r="J276" s="13">
        <v>0</v>
      </c>
      <c r="K276" s="13">
        <f t="shared" si="16"/>
        <v>24.39</v>
      </c>
      <c r="L276" s="13">
        <f t="shared" si="17"/>
        <v>14.634</v>
      </c>
      <c r="M276" s="15">
        <f t="shared" si="18"/>
        <v>3.5990159901599017</v>
      </c>
      <c r="N276" s="10" t="str">
        <f t="shared" si="19"/>
        <v>NO</v>
      </c>
    </row>
    <row r="277" spans="1:14" ht="15.75" customHeight="1" x14ac:dyDescent="0.2">
      <c r="A277" s="5" t="s">
        <v>467</v>
      </c>
      <c r="B277" s="5" t="s">
        <v>799</v>
      </c>
      <c r="C277" s="5" t="s">
        <v>800</v>
      </c>
      <c r="D277" s="6" t="s">
        <v>801</v>
      </c>
      <c r="E277" s="7">
        <v>19.68</v>
      </c>
      <c r="F277" s="7">
        <v>40.340000000000003</v>
      </c>
      <c r="G277" s="7">
        <v>11.21</v>
      </c>
      <c r="H277" s="8">
        <v>56.95</v>
      </c>
      <c r="I277" s="7">
        <v>40.340000000000003</v>
      </c>
      <c r="J277" s="7">
        <v>0</v>
      </c>
      <c r="K277" s="7">
        <f t="shared" si="16"/>
        <v>11.21</v>
      </c>
      <c r="L277" s="7">
        <f t="shared" si="17"/>
        <v>6.726</v>
      </c>
      <c r="M277" s="9">
        <f t="shared" si="18"/>
        <v>3.5985727029438004</v>
      </c>
      <c r="N277" s="10" t="str">
        <f t="shared" si="19"/>
        <v>NO</v>
      </c>
    </row>
    <row r="278" spans="1:14" ht="15.75" customHeight="1" x14ac:dyDescent="0.2">
      <c r="A278" s="11" t="s">
        <v>467</v>
      </c>
      <c r="B278" s="11" t="s">
        <v>802</v>
      </c>
      <c r="C278" s="11" t="s">
        <v>803</v>
      </c>
      <c r="D278" s="12" t="s">
        <v>796</v>
      </c>
      <c r="E278" s="13">
        <v>69.709999999999994</v>
      </c>
      <c r="F278" s="13">
        <v>142.91</v>
      </c>
      <c r="G278" s="13">
        <v>39.700000000000003</v>
      </c>
      <c r="H278" s="14">
        <v>56.95</v>
      </c>
      <c r="I278" s="13">
        <v>142.91</v>
      </c>
      <c r="J278" s="13">
        <v>0</v>
      </c>
      <c r="K278" s="13">
        <f t="shared" si="16"/>
        <v>39.700000000000003</v>
      </c>
      <c r="L278" s="13">
        <f t="shared" si="17"/>
        <v>23.82</v>
      </c>
      <c r="M278" s="15">
        <f t="shared" si="18"/>
        <v>3.5997481108312339</v>
      </c>
      <c r="N278" s="10" t="str">
        <f t="shared" si="19"/>
        <v>NO</v>
      </c>
    </row>
    <row r="279" spans="1:14" ht="15.75" customHeight="1" x14ac:dyDescent="0.2">
      <c r="A279" s="5" t="s">
        <v>467</v>
      </c>
      <c r="B279" s="5" t="s">
        <v>802</v>
      </c>
      <c r="C279" s="5" t="s">
        <v>804</v>
      </c>
      <c r="D279" s="6" t="s">
        <v>796</v>
      </c>
      <c r="E279" s="7">
        <v>99.95</v>
      </c>
      <c r="F279" s="7">
        <v>204.9</v>
      </c>
      <c r="G279" s="7">
        <v>56.92</v>
      </c>
      <c r="H279" s="8">
        <v>56.95</v>
      </c>
      <c r="I279" s="7">
        <v>204.9</v>
      </c>
      <c r="J279" s="7">
        <v>0</v>
      </c>
      <c r="K279" s="7">
        <f t="shared" si="16"/>
        <v>56.92</v>
      </c>
      <c r="L279" s="7">
        <f t="shared" si="17"/>
        <v>34.152000000000001</v>
      </c>
      <c r="M279" s="9">
        <f t="shared" si="18"/>
        <v>3.5997891777933941</v>
      </c>
      <c r="N279" s="10" t="str">
        <f t="shared" si="19"/>
        <v>CUIDADO</v>
      </c>
    </row>
    <row r="280" spans="1:14" ht="15.75" customHeight="1" x14ac:dyDescent="0.2">
      <c r="A280" s="11" t="s">
        <v>467</v>
      </c>
      <c r="B280" s="11" t="s">
        <v>802</v>
      </c>
      <c r="C280" s="11" t="s">
        <v>805</v>
      </c>
      <c r="D280" s="12" t="s">
        <v>796</v>
      </c>
      <c r="E280" s="13">
        <v>122.35</v>
      </c>
      <c r="F280" s="13">
        <v>250.82</v>
      </c>
      <c r="G280" s="13">
        <v>69.680000000000007</v>
      </c>
      <c r="H280" s="14">
        <v>56.95</v>
      </c>
      <c r="I280" s="13">
        <v>250.82</v>
      </c>
      <c r="J280" s="13">
        <v>0</v>
      </c>
      <c r="K280" s="13">
        <f t="shared" si="16"/>
        <v>69.680000000000007</v>
      </c>
      <c r="L280" s="13">
        <f t="shared" si="17"/>
        <v>41.808</v>
      </c>
      <c r="M280" s="15">
        <f t="shared" si="18"/>
        <v>3.5995981630309983</v>
      </c>
      <c r="N280" s="10" t="str">
        <f t="shared" si="19"/>
        <v>CUIDADO</v>
      </c>
    </row>
    <row r="281" spans="1:14" ht="15.75" customHeight="1" x14ac:dyDescent="0.2">
      <c r="A281" s="5" t="s">
        <v>467</v>
      </c>
      <c r="B281" s="5" t="s">
        <v>806</v>
      </c>
      <c r="C281" s="5" t="s">
        <v>807</v>
      </c>
      <c r="D281" s="6" t="s">
        <v>796</v>
      </c>
      <c r="E281" s="7">
        <v>45.21</v>
      </c>
      <c r="F281" s="7">
        <v>92.68</v>
      </c>
      <c r="G281" s="7">
        <v>25.75</v>
      </c>
      <c r="H281" s="8">
        <v>56.95</v>
      </c>
      <c r="I281" s="7">
        <v>92.68</v>
      </c>
      <c r="J281" s="7">
        <v>0</v>
      </c>
      <c r="K281" s="7">
        <f t="shared" si="16"/>
        <v>25.75</v>
      </c>
      <c r="L281" s="7">
        <f t="shared" si="17"/>
        <v>15.45</v>
      </c>
      <c r="M281" s="9">
        <f t="shared" si="18"/>
        <v>3.5992233009708738</v>
      </c>
      <c r="N281" s="10" t="str">
        <f t="shared" si="19"/>
        <v>NO</v>
      </c>
    </row>
    <row r="282" spans="1:14" ht="15.75" customHeight="1" x14ac:dyDescent="0.2">
      <c r="A282" s="11" t="s">
        <v>467</v>
      </c>
      <c r="B282" s="11" t="s">
        <v>808</v>
      </c>
      <c r="C282" s="11" t="s">
        <v>809</v>
      </c>
      <c r="D282" s="12" t="s">
        <v>810</v>
      </c>
      <c r="E282" s="13">
        <v>28.69</v>
      </c>
      <c r="F282" s="13">
        <v>58.81</v>
      </c>
      <c r="G282" s="13">
        <v>16.34</v>
      </c>
      <c r="H282" s="14">
        <v>56.95</v>
      </c>
      <c r="I282" s="13">
        <v>58.81</v>
      </c>
      <c r="J282" s="13">
        <v>0</v>
      </c>
      <c r="K282" s="13">
        <f t="shared" si="16"/>
        <v>16.34</v>
      </c>
      <c r="L282" s="13">
        <f t="shared" si="17"/>
        <v>9.8040000000000003</v>
      </c>
      <c r="M282" s="15">
        <f t="shared" si="18"/>
        <v>3.5991432068543454</v>
      </c>
      <c r="N282" s="10" t="str">
        <f t="shared" si="19"/>
        <v>NO</v>
      </c>
    </row>
    <row r="283" spans="1:14" ht="15.75" customHeight="1" x14ac:dyDescent="0.2">
      <c r="A283" s="5" t="s">
        <v>467</v>
      </c>
      <c r="B283" s="5" t="s">
        <v>811</v>
      </c>
      <c r="C283" s="5" t="s">
        <v>812</v>
      </c>
      <c r="D283" s="6" t="s">
        <v>813</v>
      </c>
      <c r="E283" s="7">
        <v>12.41</v>
      </c>
      <c r="F283" s="7">
        <v>25.44</v>
      </c>
      <c r="G283" s="7">
        <v>7.07</v>
      </c>
      <c r="H283" s="8">
        <v>56.95</v>
      </c>
      <c r="I283" s="7">
        <v>25.44</v>
      </c>
      <c r="J283" s="7">
        <v>0</v>
      </c>
      <c r="K283" s="7">
        <f t="shared" si="16"/>
        <v>7.07</v>
      </c>
      <c r="L283" s="7">
        <f t="shared" si="17"/>
        <v>4.242</v>
      </c>
      <c r="M283" s="9">
        <f t="shared" si="18"/>
        <v>3.5983026874115982</v>
      </c>
      <c r="N283" s="10" t="str">
        <f t="shared" si="19"/>
        <v>NO</v>
      </c>
    </row>
    <row r="284" spans="1:14" ht="15.75" customHeight="1" x14ac:dyDescent="0.2">
      <c r="D284" s="18" t="s">
        <v>814</v>
      </c>
      <c r="E284" s="19">
        <f>SUM(E3:E283)</f>
        <v>122108.07000000008</v>
      </c>
      <c r="F284" s="19">
        <f>SUM(F3:F283)</f>
        <v>204685.84000000005</v>
      </c>
      <c r="G284" s="19">
        <f>SUM(G3:G283)</f>
        <v>63903.990000000085</v>
      </c>
      <c r="H284" s="20">
        <f>AVERAGE(H3:H283)</f>
        <v>54.111992882562589</v>
      </c>
      <c r="K284" s="19">
        <f t="shared" si="16"/>
        <v>63903.990000000085</v>
      </c>
      <c r="L284" s="19">
        <f t="shared" si="17"/>
        <v>38342.394000000051</v>
      </c>
      <c r="M284" s="21">
        <f t="shared" si="18"/>
        <v>3.2030212823956656</v>
      </c>
      <c r="N284" s="10" t="str">
        <f>IF(M284&lt;3.2,"SI","NO")</f>
        <v>NO</v>
      </c>
    </row>
    <row r="285" spans="1:14" ht="15.75" customHeight="1" x14ac:dyDescent="0.2"/>
    <row r="286" spans="1:14" ht="15.75" customHeight="1" x14ac:dyDescent="0.2"/>
    <row r="287" spans="1:14" ht="15.75" customHeight="1" x14ac:dyDescent="0.2"/>
    <row r="288" spans="1:14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2" customWidth="1"/>
    <col min="2" max="2" width="45" customWidth="1"/>
    <col min="3" max="3" width="42" customWidth="1"/>
    <col min="4" max="4" width="52" customWidth="1"/>
    <col min="5" max="5" width="18" customWidth="1"/>
    <col min="6" max="6" width="20" customWidth="1"/>
    <col min="7" max="7" width="14" customWidth="1"/>
    <col min="8" max="8" width="12" customWidth="1"/>
    <col min="9" max="9" width="18" customWidth="1"/>
    <col min="10" max="10" width="14" customWidth="1"/>
    <col min="11" max="26" width="8.6640625" customWidth="1"/>
  </cols>
  <sheetData>
    <row r="1" spans="1:10" ht="31.5" customHeight="1" x14ac:dyDescent="0.2">
      <c r="A1" s="22" t="s">
        <v>111</v>
      </c>
      <c r="B1" s="22" t="s">
        <v>112</v>
      </c>
      <c r="C1" s="22" t="s">
        <v>113</v>
      </c>
      <c r="D1" s="22" t="s">
        <v>114</v>
      </c>
      <c r="E1" s="22" t="s">
        <v>115</v>
      </c>
      <c r="F1" s="22" t="s">
        <v>116</v>
      </c>
      <c r="G1" s="22" t="s">
        <v>117</v>
      </c>
      <c r="H1" s="22" t="s">
        <v>118</v>
      </c>
      <c r="I1" s="22" t="s">
        <v>119</v>
      </c>
      <c r="J1" s="22" t="s">
        <v>120</v>
      </c>
    </row>
    <row r="2" spans="1:10" ht="15.75" customHeight="1" x14ac:dyDescent="0.2">
      <c r="A2" s="23" t="s">
        <v>125</v>
      </c>
      <c r="B2" s="23" t="s">
        <v>126</v>
      </c>
      <c r="C2" s="23" t="s">
        <v>127</v>
      </c>
      <c r="D2" s="24" t="s">
        <v>128</v>
      </c>
      <c r="E2" s="25">
        <v>539</v>
      </c>
      <c r="F2" s="25">
        <v>809.92</v>
      </c>
      <c r="G2" s="25">
        <v>270.92</v>
      </c>
      <c r="H2" s="26">
        <v>50.26</v>
      </c>
      <c r="I2" s="25">
        <v>980</v>
      </c>
      <c r="J2" s="25">
        <v>0</v>
      </c>
    </row>
    <row r="3" spans="1:10" ht="15.75" customHeight="1" x14ac:dyDescent="0.2">
      <c r="A3" s="27" t="s">
        <v>125</v>
      </c>
      <c r="B3" s="27" t="s">
        <v>129</v>
      </c>
      <c r="C3" s="27" t="s">
        <v>130</v>
      </c>
      <c r="D3" s="28" t="s">
        <v>131</v>
      </c>
      <c r="E3" s="29">
        <v>809</v>
      </c>
      <c r="F3" s="29">
        <v>1214.8800000000001</v>
      </c>
      <c r="G3" s="29">
        <v>405.88</v>
      </c>
      <c r="H3" s="30">
        <v>50.17</v>
      </c>
      <c r="I3" s="29">
        <v>1470</v>
      </c>
      <c r="J3" s="29">
        <v>0</v>
      </c>
    </row>
    <row r="4" spans="1:10" ht="15.75" customHeight="1" x14ac:dyDescent="0.2">
      <c r="A4" s="23" t="s">
        <v>125</v>
      </c>
      <c r="B4" s="23" t="s">
        <v>132</v>
      </c>
      <c r="C4" s="23" t="s">
        <v>133</v>
      </c>
      <c r="D4" s="24" t="s">
        <v>134</v>
      </c>
      <c r="E4" s="25">
        <v>1067</v>
      </c>
      <c r="F4" s="25">
        <v>1603.31</v>
      </c>
      <c r="G4" s="25">
        <v>536.30999999999995</v>
      </c>
      <c r="H4" s="26">
        <v>50.26</v>
      </c>
      <c r="I4" s="25">
        <v>1940</v>
      </c>
      <c r="J4" s="25">
        <v>0</v>
      </c>
    </row>
    <row r="5" spans="1:10" ht="15.75" customHeight="1" x14ac:dyDescent="0.2">
      <c r="A5" s="27" t="s">
        <v>125</v>
      </c>
      <c r="B5" s="27" t="s">
        <v>135</v>
      </c>
      <c r="C5" s="27" t="s">
        <v>136</v>
      </c>
      <c r="D5" s="28" t="s">
        <v>137</v>
      </c>
      <c r="E5" s="29">
        <v>240</v>
      </c>
      <c r="F5" s="29">
        <v>359.5</v>
      </c>
      <c r="G5" s="29">
        <v>119.5</v>
      </c>
      <c r="H5" s="31">
        <v>49.79</v>
      </c>
      <c r="I5" s="29">
        <v>435</v>
      </c>
      <c r="J5" s="29">
        <v>500</v>
      </c>
    </row>
    <row r="6" spans="1:10" ht="15.75" customHeight="1" x14ac:dyDescent="0.2">
      <c r="A6" s="23" t="s">
        <v>125</v>
      </c>
      <c r="B6" s="23" t="s">
        <v>135</v>
      </c>
      <c r="C6" s="23" t="s">
        <v>136</v>
      </c>
      <c r="D6" s="24" t="s">
        <v>138</v>
      </c>
      <c r="E6" s="25">
        <v>2126</v>
      </c>
      <c r="F6" s="25">
        <v>3194.21</v>
      </c>
      <c r="G6" s="25">
        <v>1068.21</v>
      </c>
      <c r="H6" s="26">
        <v>50.25</v>
      </c>
      <c r="I6" s="25">
        <v>3865</v>
      </c>
      <c r="J6" s="25">
        <v>0</v>
      </c>
    </row>
    <row r="7" spans="1:10" ht="15.75" customHeight="1" x14ac:dyDescent="0.2">
      <c r="A7" s="27" t="s">
        <v>125</v>
      </c>
      <c r="B7" s="27" t="s">
        <v>139</v>
      </c>
      <c r="C7" s="27" t="s">
        <v>140</v>
      </c>
      <c r="D7" s="28" t="s">
        <v>141</v>
      </c>
      <c r="E7" s="29">
        <v>2385</v>
      </c>
      <c r="F7" s="29">
        <v>3582.64</v>
      </c>
      <c r="G7" s="29">
        <v>1197.6400000000001</v>
      </c>
      <c r="H7" s="30">
        <v>50.22</v>
      </c>
      <c r="I7" s="29">
        <v>4335</v>
      </c>
      <c r="J7" s="29">
        <v>0</v>
      </c>
    </row>
    <row r="8" spans="1:10" ht="15.75" customHeight="1" x14ac:dyDescent="0.2">
      <c r="A8" s="23" t="s">
        <v>125</v>
      </c>
      <c r="B8" s="23" t="s">
        <v>142</v>
      </c>
      <c r="C8" s="23" t="s">
        <v>143</v>
      </c>
      <c r="D8" s="24" t="s">
        <v>144</v>
      </c>
      <c r="E8" s="25">
        <v>361</v>
      </c>
      <c r="F8" s="25">
        <v>541.32000000000005</v>
      </c>
      <c r="G8" s="25">
        <v>180.32</v>
      </c>
      <c r="H8" s="32">
        <v>49.95</v>
      </c>
      <c r="I8" s="25">
        <v>655</v>
      </c>
      <c r="J8" s="25">
        <v>500</v>
      </c>
    </row>
    <row r="9" spans="1:10" ht="15.75" customHeight="1" x14ac:dyDescent="0.2">
      <c r="A9" s="27" t="s">
        <v>125</v>
      </c>
      <c r="B9" s="27" t="s">
        <v>145</v>
      </c>
      <c r="C9" s="27" t="s">
        <v>146</v>
      </c>
      <c r="D9" s="28" t="s">
        <v>147</v>
      </c>
      <c r="E9" s="29">
        <v>531</v>
      </c>
      <c r="F9" s="29">
        <v>797.52</v>
      </c>
      <c r="G9" s="29">
        <v>266.52</v>
      </c>
      <c r="H9" s="30">
        <v>50.19</v>
      </c>
      <c r="I9" s="29">
        <v>965</v>
      </c>
      <c r="J9" s="29">
        <v>0</v>
      </c>
    </row>
    <row r="10" spans="1:10" ht="15.75" customHeight="1" x14ac:dyDescent="0.2">
      <c r="A10" s="23" t="s">
        <v>125</v>
      </c>
      <c r="B10" s="23" t="s">
        <v>148</v>
      </c>
      <c r="C10" s="23" t="s">
        <v>149</v>
      </c>
      <c r="D10" s="24" t="s">
        <v>150</v>
      </c>
      <c r="E10" s="25">
        <v>674</v>
      </c>
      <c r="F10" s="25">
        <v>1012.4</v>
      </c>
      <c r="G10" s="25">
        <v>338.4</v>
      </c>
      <c r="H10" s="26">
        <v>50.21</v>
      </c>
      <c r="I10" s="25">
        <v>1225</v>
      </c>
      <c r="J10" s="25">
        <v>0</v>
      </c>
    </row>
    <row r="11" spans="1:10" ht="15.75" customHeight="1" x14ac:dyDescent="0.2">
      <c r="A11" s="27" t="s">
        <v>125</v>
      </c>
      <c r="B11" s="27" t="s">
        <v>151</v>
      </c>
      <c r="C11" s="27" t="s">
        <v>152</v>
      </c>
      <c r="D11" s="28" t="s">
        <v>153</v>
      </c>
      <c r="E11" s="29">
        <v>154</v>
      </c>
      <c r="F11" s="29">
        <v>231.4</v>
      </c>
      <c r="G11" s="29">
        <v>77.400000000000006</v>
      </c>
      <c r="H11" s="30">
        <v>50.26</v>
      </c>
      <c r="I11" s="29">
        <v>280</v>
      </c>
      <c r="J11" s="29">
        <v>0</v>
      </c>
    </row>
    <row r="12" spans="1:10" ht="15.75" customHeight="1" x14ac:dyDescent="0.2">
      <c r="A12" s="23" t="s">
        <v>125</v>
      </c>
      <c r="B12" s="23" t="s">
        <v>154</v>
      </c>
      <c r="C12" s="23" t="s">
        <v>155</v>
      </c>
      <c r="D12" s="24" t="s">
        <v>156</v>
      </c>
      <c r="E12" s="25">
        <v>215</v>
      </c>
      <c r="F12" s="25">
        <v>322.31</v>
      </c>
      <c r="G12" s="25">
        <v>107.31</v>
      </c>
      <c r="H12" s="32">
        <v>49.91</v>
      </c>
      <c r="I12" s="25">
        <v>390</v>
      </c>
      <c r="J12" s="25">
        <v>500</v>
      </c>
    </row>
    <row r="13" spans="1:10" ht="15.75" customHeight="1" x14ac:dyDescent="0.2">
      <c r="A13" s="27" t="s">
        <v>125</v>
      </c>
      <c r="B13" s="27" t="s">
        <v>157</v>
      </c>
      <c r="C13" s="27" t="s">
        <v>158</v>
      </c>
      <c r="D13" s="28" t="s">
        <v>159</v>
      </c>
      <c r="E13" s="29">
        <v>1406</v>
      </c>
      <c r="F13" s="29">
        <v>2111.5700000000002</v>
      </c>
      <c r="G13" s="29">
        <v>705.57</v>
      </c>
      <c r="H13" s="30">
        <v>50.18</v>
      </c>
      <c r="I13" s="29">
        <v>2555</v>
      </c>
      <c r="J13" s="29">
        <v>0</v>
      </c>
    </row>
    <row r="14" spans="1:10" ht="15.75" customHeight="1" x14ac:dyDescent="0.2">
      <c r="A14" s="23" t="s">
        <v>125</v>
      </c>
      <c r="B14" s="23" t="s">
        <v>160</v>
      </c>
      <c r="C14" s="23" t="s">
        <v>161</v>
      </c>
      <c r="D14" s="24" t="s">
        <v>162</v>
      </c>
      <c r="E14" s="25">
        <v>1609</v>
      </c>
      <c r="F14" s="25">
        <v>2417.36</v>
      </c>
      <c r="G14" s="25">
        <v>808.36</v>
      </c>
      <c r="H14" s="26">
        <v>50.24</v>
      </c>
      <c r="I14" s="25">
        <v>2925</v>
      </c>
      <c r="J14" s="25">
        <v>0</v>
      </c>
    </row>
    <row r="15" spans="1:10" ht="15.75" customHeight="1" x14ac:dyDescent="0.2">
      <c r="A15" s="27" t="s">
        <v>125</v>
      </c>
      <c r="B15" s="27" t="s">
        <v>163</v>
      </c>
      <c r="C15" s="27" t="s">
        <v>164</v>
      </c>
      <c r="D15" s="28" t="s">
        <v>165</v>
      </c>
      <c r="E15" s="29">
        <v>435</v>
      </c>
      <c r="F15" s="29">
        <v>652.89</v>
      </c>
      <c r="G15" s="29">
        <v>217.89</v>
      </c>
      <c r="H15" s="30">
        <v>50.09</v>
      </c>
      <c r="I15" s="29">
        <v>790</v>
      </c>
      <c r="J15" s="29">
        <v>500</v>
      </c>
    </row>
    <row r="16" spans="1:10" ht="15.75" customHeight="1" x14ac:dyDescent="0.2">
      <c r="A16" s="23" t="s">
        <v>125</v>
      </c>
      <c r="B16" s="23" t="s">
        <v>166</v>
      </c>
      <c r="C16" s="23" t="s">
        <v>167</v>
      </c>
      <c r="D16" s="24" t="s">
        <v>168</v>
      </c>
      <c r="E16" s="25">
        <v>636</v>
      </c>
      <c r="F16" s="25">
        <v>954.55</v>
      </c>
      <c r="G16" s="25">
        <v>318.55</v>
      </c>
      <c r="H16" s="26">
        <v>50.09</v>
      </c>
      <c r="I16" s="25">
        <v>1155</v>
      </c>
      <c r="J16" s="25">
        <v>0</v>
      </c>
    </row>
    <row r="17" spans="1:10" ht="15.75" customHeight="1" x14ac:dyDescent="0.2">
      <c r="A17" s="27" t="s">
        <v>125</v>
      </c>
      <c r="B17" s="27" t="s">
        <v>169</v>
      </c>
      <c r="C17" s="27" t="s">
        <v>170</v>
      </c>
      <c r="D17" s="28" t="s">
        <v>171</v>
      </c>
      <c r="E17" s="29">
        <v>806</v>
      </c>
      <c r="F17" s="29">
        <v>1210.74</v>
      </c>
      <c r="G17" s="29">
        <v>404.74</v>
      </c>
      <c r="H17" s="30">
        <v>50.22</v>
      </c>
      <c r="I17" s="29">
        <v>1465</v>
      </c>
      <c r="J17" s="29">
        <v>0</v>
      </c>
    </row>
    <row r="18" spans="1:10" ht="15.75" customHeight="1" x14ac:dyDescent="0.2">
      <c r="A18" s="23" t="s">
        <v>125</v>
      </c>
      <c r="B18" s="23" t="s">
        <v>172</v>
      </c>
      <c r="C18" s="23" t="s">
        <v>173</v>
      </c>
      <c r="D18" s="24" t="s">
        <v>174</v>
      </c>
      <c r="E18" s="25">
        <v>229</v>
      </c>
      <c r="F18" s="25">
        <v>342.98</v>
      </c>
      <c r="G18" s="25">
        <v>113.98</v>
      </c>
      <c r="H18" s="32">
        <v>49.77</v>
      </c>
      <c r="I18" s="25">
        <v>415</v>
      </c>
      <c r="J18" s="25">
        <v>500</v>
      </c>
    </row>
    <row r="19" spans="1:10" ht="15.75" customHeight="1" x14ac:dyDescent="0.2">
      <c r="A19" s="27" t="s">
        <v>125</v>
      </c>
      <c r="B19" s="27" t="s">
        <v>175</v>
      </c>
      <c r="C19" s="27" t="s">
        <v>176</v>
      </c>
      <c r="D19" s="28" t="s">
        <v>177</v>
      </c>
      <c r="E19" s="29">
        <v>176</v>
      </c>
      <c r="F19" s="29">
        <v>264.45999999999998</v>
      </c>
      <c r="G19" s="29">
        <v>88.46</v>
      </c>
      <c r="H19" s="30">
        <v>50.26</v>
      </c>
      <c r="I19" s="29">
        <v>320</v>
      </c>
      <c r="J19" s="29">
        <v>500</v>
      </c>
    </row>
    <row r="20" spans="1:10" ht="15.75" customHeight="1" x14ac:dyDescent="0.2">
      <c r="A20" s="23" t="s">
        <v>125</v>
      </c>
      <c r="B20" s="23" t="s">
        <v>178</v>
      </c>
      <c r="C20" s="23" t="s">
        <v>179</v>
      </c>
      <c r="D20" s="24" t="s">
        <v>180</v>
      </c>
      <c r="E20" s="25">
        <v>1736</v>
      </c>
      <c r="F20" s="25">
        <v>2607.44</v>
      </c>
      <c r="G20" s="25">
        <v>871.44</v>
      </c>
      <c r="H20" s="26">
        <v>50.2</v>
      </c>
      <c r="I20" s="25">
        <v>3155</v>
      </c>
      <c r="J20" s="25">
        <v>0</v>
      </c>
    </row>
    <row r="21" spans="1:10" ht="15.75" customHeight="1" x14ac:dyDescent="0.2">
      <c r="A21" s="27" t="s">
        <v>125</v>
      </c>
      <c r="B21" s="27" t="s">
        <v>181</v>
      </c>
      <c r="C21" s="27" t="s">
        <v>182</v>
      </c>
      <c r="D21" s="28" t="s">
        <v>183</v>
      </c>
      <c r="E21" s="29">
        <v>1906</v>
      </c>
      <c r="F21" s="29">
        <v>2863.64</v>
      </c>
      <c r="G21" s="29">
        <v>957.64</v>
      </c>
      <c r="H21" s="30">
        <v>50.24</v>
      </c>
      <c r="I21" s="29">
        <v>3465</v>
      </c>
      <c r="J21" s="29">
        <v>0</v>
      </c>
    </row>
    <row r="22" spans="1:10" ht="15.75" customHeight="1" x14ac:dyDescent="0.2">
      <c r="A22" s="23" t="s">
        <v>125</v>
      </c>
      <c r="B22" s="23" t="s">
        <v>184</v>
      </c>
      <c r="C22" s="23" t="s">
        <v>185</v>
      </c>
      <c r="D22" s="24" t="s">
        <v>186</v>
      </c>
      <c r="E22" s="25">
        <v>462</v>
      </c>
      <c r="F22" s="25">
        <v>694.21</v>
      </c>
      <c r="G22" s="25">
        <v>232.21</v>
      </c>
      <c r="H22" s="26">
        <v>50.26</v>
      </c>
      <c r="I22" s="25">
        <v>840</v>
      </c>
      <c r="J22" s="25">
        <v>500</v>
      </c>
    </row>
    <row r="23" spans="1:10" ht="15.75" customHeight="1" x14ac:dyDescent="0.2">
      <c r="A23" s="27" t="s">
        <v>125</v>
      </c>
      <c r="B23" s="27" t="s">
        <v>187</v>
      </c>
      <c r="C23" s="27" t="s">
        <v>188</v>
      </c>
      <c r="D23" s="28" t="s">
        <v>189</v>
      </c>
      <c r="E23" s="29">
        <v>660</v>
      </c>
      <c r="F23" s="29">
        <v>991.74</v>
      </c>
      <c r="G23" s="29">
        <v>331.74</v>
      </c>
      <c r="H23" s="30">
        <v>50.26</v>
      </c>
      <c r="I23" s="29">
        <v>1200</v>
      </c>
      <c r="J23" s="29">
        <v>0</v>
      </c>
    </row>
    <row r="24" spans="1:10" ht="15.75" customHeight="1" x14ac:dyDescent="0.2">
      <c r="A24" s="23" t="s">
        <v>125</v>
      </c>
      <c r="B24" s="23" t="s">
        <v>190</v>
      </c>
      <c r="C24" s="23" t="s">
        <v>191</v>
      </c>
      <c r="D24" s="24" t="s">
        <v>192</v>
      </c>
      <c r="E24" s="25">
        <v>836</v>
      </c>
      <c r="F24" s="25">
        <v>1256.2</v>
      </c>
      <c r="G24" s="25">
        <v>420.2</v>
      </c>
      <c r="H24" s="26">
        <v>50.26</v>
      </c>
      <c r="I24" s="25">
        <v>1520</v>
      </c>
      <c r="J24" s="25">
        <v>0</v>
      </c>
    </row>
    <row r="25" spans="1:10" ht="15.75" customHeight="1" x14ac:dyDescent="0.2">
      <c r="A25" s="27" t="s">
        <v>125</v>
      </c>
      <c r="B25" s="27" t="s">
        <v>193</v>
      </c>
      <c r="C25" s="27" t="s">
        <v>194</v>
      </c>
      <c r="D25" s="28" t="s">
        <v>195</v>
      </c>
      <c r="E25" s="29">
        <v>149</v>
      </c>
      <c r="F25" s="29">
        <v>223.14</v>
      </c>
      <c r="G25" s="29">
        <v>74.14</v>
      </c>
      <c r="H25" s="31">
        <v>49.76</v>
      </c>
      <c r="I25" s="29">
        <v>270</v>
      </c>
      <c r="J25" s="29">
        <v>0</v>
      </c>
    </row>
    <row r="26" spans="1:10" ht="15.75" customHeight="1" x14ac:dyDescent="0.2">
      <c r="A26" s="23" t="s">
        <v>125</v>
      </c>
      <c r="B26" s="23" t="s">
        <v>196</v>
      </c>
      <c r="C26" s="23" t="s">
        <v>197</v>
      </c>
      <c r="D26" s="24" t="s">
        <v>198</v>
      </c>
      <c r="E26" s="25">
        <v>1738</v>
      </c>
      <c r="F26" s="25">
        <v>2611.5700000000002</v>
      </c>
      <c r="G26" s="25">
        <v>873.57</v>
      </c>
      <c r="H26" s="26">
        <v>50.26</v>
      </c>
      <c r="I26" s="25">
        <v>3160</v>
      </c>
      <c r="J26" s="25">
        <v>0</v>
      </c>
    </row>
    <row r="27" spans="1:10" ht="15.75" customHeight="1" x14ac:dyDescent="0.2">
      <c r="A27" s="27" t="s">
        <v>125</v>
      </c>
      <c r="B27" s="27" t="s">
        <v>199</v>
      </c>
      <c r="C27" s="27" t="s">
        <v>200</v>
      </c>
      <c r="D27" s="28" t="s">
        <v>201</v>
      </c>
      <c r="E27" s="29">
        <v>1975</v>
      </c>
      <c r="F27" s="29">
        <v>2966.94</v>
      </c>
      <c r="G27" s="29">
        <v>991.94</v>
      </c>
      <c r="H27" s="30">
        <v>50.22</v>
      </c>
      <c r="I27" s="29">
        <v>3590</v>
      </c>
      <c r="J27" s="29">
        <v>0</v>
      </c>
    </row>
    <row r="28" spans="1:10" ht="15.75" customHeight="1" x14ac:dyDescent="0.2">
      <c r="A28" s="23" t="s">
        <v>125</v>
      </c>
      <c r="B28" s="23" t="s">
        <v>202</v>
      </c>
      <c r="C28" s="23" t="s">
        <v>203</v>
      </c>
      <c r="D28" s="24" t="s">
        <v>204</v>
      </c>
      <c r="E28" s="25">
        <v>361</v>
      </c>
      <c r="F28" s="25">
        <v>541.32000000000005</v>
      </c>
      <c r="G28" s="25">
        <v>180.32</v>
      </c>
      <c r="H28" s="32">
        <v>49.95</v>
      </c>
      <c r="I28" s="25">
        <v>655</v>
      </c>
      <c r="J28" s="25">
        <v>500</v>
      </c>
    </row>
    <row r="29" spans="1:10" ht="15.75" customHeight="1" x14ac:dyDescent="0.2">
      <c r="A29" s="27" t="s">
        <v>125</v>
      </c>
      <c r="B29" s="27" t="s">
        <v>205</v>
      </c>
      <c r="C29" s="27" t="s">
        <v>206</v>
      </c>
      <c r="D29" s="28" t="s">
        <v>207</v>
      </c>
      <c r="E29" s="29">
        <v>677</v>
      </c>
      <c r="F29" s="29">
        <v>1016.53</v>
      </c>
      <c r="G29" s="29">
        <v>339.53</v>
      </c>
      <c r="H29" s="30">
        <v>50.15</v>
      </c>
      <c r="I29" s="29">
        <v>1230</v>
      </c>
      <c r="J29" s="29">
        <v>0</v>
      </c>
    </row>
    <row r="30" spans="1:10" ht="15.75" customHeight="1" x14ac:dyDescent="0.2">
      <c r="A30" s="23" t="s">
        <v>125</v>
      </c>
      <c r="B30" s="23" t="s">
        <v>208</v>
      </c>
      <c r="C30" s="23" t="s">
        <v>209</v>
      </c>
      <c r="D30" s="24" t="s">
        <v>210</v>
      </c>
      <c r="E30" s="25">
        <v>479</v>
      </c>
      <c r="F30" s="25">
        <v>719.01</v>
      </c>
      <c r="G30" s="25">
        <v>240.01</v>
      </c>
      <c r="H30" s="26">
        <v>50.11</v>
      </c>
      <c r="I30" s="25">
        <v>870</v>
      </c>
      <c r="J30" s="25">
        <v>500</v>
      </c>
    </row>
    <row r="31" spans="1:10" ht="15.75" customHeight="1" x14ac:dyDescent="0.2">
      <c r="A31" s="27" t="s">
        <v>125</v>
      </c>
      <c r="B31" s="27" t="s">
        <v>211</v>
      </c>
      <c r="C31" s="27" t="s">
        <v>212</v>
      </c>
      <c r="D31" s="28" t="s">
        <v>213</v>
      </c>
      <c r="E31" s="29">
        <v>171</v>
      </c>
      <c r="F31" s="29">
        <v>256.2</v>
      </c>
      <c r="G31" s="29">
        <v>85.2</v>
      </c>
      <c r="H31" s="31">
        <v>49.82</v>
      </c>
      <c r="I31" s="29">
        <v>310</v>
      </c>
      <c r="J31" s="29">
        <v>500</v>
      </c>
    </row>
    <row r="32" spans="1:10" ht="15.75" customHeight="1" x14ac:dyDescent="0.2">
      <c r="A32" s="23" t="s">
        <v>125</v>
      </c>
      <c r="B32" s="23" t="s">
        <v>214</v>
      </c>
      <c r="C32" s="23" t="s">
        <v>215</v>
      </c>
      <c r="D32" s="24" t="s">
        <v>216</v>
      </c>
      <c r="E32" s="25">
        <v>1370</v>
      </c>
      <c r="F32" s="25">
        <v>2057.85</v>
      </c>
      <c r="G32" s="25">
        <v>687.85</v>
      </c>
      <c r="H32" s="26">
        <v>50.21</v>
      </c>
      <c r="I32" s="25">
        <v>2490</v>
      </c>
      <c r="J32" s="25">
        <v>0</v>
      </c>
    </row>
    <row r="33" spans="1:10" ht="15.75" customHeight="1" x14ac:dyDescent="0.2">
      <c r="A33" s="27" t="s">
        <v>125</v>
      </c>
      <c r="B33" s="27" t="s">
        <v>217</v>
      </c>
      <c r="C33" s="27" t="s">
        <v>218</v>
      </c>
      <c r="D33" s="28" t="s">
        <v>219</v>
      </c>
      <c r="E33" s="29">
        <v>1568</v>
      </c>
      <c r="F33" s="29">
        <v>2355.37</v>
      </c>
      <c r="G33" s="29">
        <v>787.37</v>
      </c>
      <c r="H33" s="30">
        <v>50.22</v>
      </c>
      <c r="I33" s="29">
        <v>2850</v>
      </c>
      <c r="J33" s="29">
        <v>0</v>
      </c>
    </row>
    <row r="34" spans="1:10" ht="15.75" customHeight="1" x14ac:dyDescent="0.2">
      <c r="A34" s="23" t="s">
        <v>125</v>
      </c>
      <c r="B34" s="23" t="s">
        <v>220</v>
      </c>
      <c r="C34" s="23" t="s">
        <v>221</v>
      </c>
      <c r="D34" s="24" t="s">
        <v>222</v>
      </c>
      <c r="E34" s="25">
        <v>443</v>
      </c>
      <c r="F34" s="25">
        <v>665.29</v>
      </c>
      <c r="G34" s="25">
        <v>222.29</v>
      </c>
      <c r="H34" s="26">
        <v>50.18</v>
      </c>
      <c r="I34" s="25">
        <v>805</v>
      </c>
      <c r="J34" s="25">
        <v>500</v>
      </c>
    </row>
    <row r="35" spans="1:10" ht="15.75" customHeight="1" x14ac:dyDescent="0.2">
      <c r="A35" s="27" t="s">
        <v>125</v>
      </c>
      <c r="B35" s="27" t="s">
        <v>223</v>
      </c>
      <c r="C35" s="27" t="s">
        <v>224</v>
      </c>
      <c r="D35" s="28" t="s">
        <v>225</v>
      </c>
      <c r="E35" s="29">
        <v>630</v>
      </c>
      <c r="F35" s="29">
        <v>946.28</v>
      </c>
      <c r="G35" s="29">
        <v>316.27999999999997</v>
      </c>
      <c r="H35" s="30">
        <v>50.2</v>
      </c>
      <c r="I35" s="29">
        <v>1145</v>
      </c>
      <c r="J35" s="29">
        <v>0</v>
      </c>
    </row>
    <row r="36" spans="1:10" ht="15.75" customHeight="1" x14ac:dyDescent="0.2">
      <c r="A36" s="23" t="s">
        <v>125</v>
      </c>
      <c r="B36" s="23" t="s">
        <v>226</v>
      </c>
      <c r="C36" s="23" t="s">
        <v>227</v>
      </c>
      <c r="D36" s="24" t="s">
        <v>228</v>
      </c>
      <c r="E36" s="25">
        <v>872</v>
      </c>
      <c r="F36" s="25">
        <v>1309.92</v>
      </c>
      <c r="G36" s="25">
        <v>437.92</v>
      </c>
      <c r="H36" s="26">
        <v>50.22</v>
      </c>
      <c r="I36" s="25">
        <v>1585</v>
      </c>
      <c r="J36" s="25">
        <v>0</v>
      </c>
    </row>
    <row r="37" spans="1:10" ht="15.75" customHeight="1" x14ac:dyDescent="0.2">
      <c r="A37" s="27" t="s">
        <v>125</v>
      </c>
      <c r="B37" s="27" t="s">
        <v>229</v>
      </c>
      <c r="C37" s="27" t="s">
        <v>230</v>
      </c>
      <c r="D37" s="28" t="s">
        <v>231</v>
      </c>
      <c r="E37" s="29">
        <v>86</v>
      </c>
      <c r="F37" s="29">
        <v>128.1</v>
      </c>
      <c r="G37" s="29">
        <v>42.1</v>
      </c>
      <c r="H37" s="31">
        <v>48.95</v>
      </c>
      <c r="I37" s="29">
        <v>155</v>
      </c>
      <c r="J37" s="29">
        <v>0</v>
      </c>
    </row>
    <row r="38" spans="1:10" ht="15.75" customHeight="1" x14ac:dyDescent="0.2">
      <c r="A38" s="23" t="s">
        <v>125</v>
      </c>
      <c r="B38" s="23" t="s">
        <v>232</v>
      </c>
      <c r="C38" s="23" t="s">
        <v>233</v>
      </c>
      <c r="D38" s="24" t="s">
        <v>234</v>
      </c>
      <c r="E38" s="25">
        <v>234</v>
      </c>
      <c r="F38" s="25">
        <v>351.24</v>
      </c>
      <c r="G38" s="25">
        <v>117.24</v>
      </c>
      <c r="H38" s="26">
        <v>50.1</v>
      </c>
      <c r="I38" s="25">
        <v>425</v>
      </c>
      <c r="J38" s="25">
        <v>500</v>
      </c>
    </row>
    <row r="39" spans="1:10" ht="15.75" customHeight="1" x14ac:dyDescent="0.2">
      <c r="A39" s="27" t="s">
        <v>125</v>
      </c>
      <c r="B39" s="27" t="s">
        <v>235</v>
      </c>
      <c r="C39" s="27" t="s">
        <v>236</v>
      </c>
      <c r="D39" s="28" t="s">
        <v>237</v>
      </c>
      <c r="E39" s="29">
        <v>396</v>
      </c>
      <c r="F39" s="29">
        <v>595.04</v>
      </c>
      <c r="G39" s="29">
        <v>199.04</v>
      </c>
      <c r="H39" s="30">
        <v>50.26</v>
      </c>
      <c r="I39" s="29">
        <v>720</v>
      </c>
      <c r="J39" s="29">
        <v>500</v>
      </c>
    </row>
    <row r="40" spans="1:10" ht="15.75" customHeight="1" x14ac:dyDescent="0.2">
      <c r="A40" s="23" t="s">
        <v>125</v>
      </c>
      <c r="B40" s="23" t="s">
        <v>238</v>
      </c>
      <c r="C40" s="23" t="s">
        <v>239</v>
      </c>
      <c r="D40" s="24" t="s">
        <v>240</v>
      </c>
      <c r="E40" s="25">
        <v>520</v>
      </c>
      <c r="F40" s="25">
        <v>780.99</v>
      </c>
      <c r="G40" s="25">
        <v>260.99</v>
      </c>
      <c r="H40" s="26">
        <v>50.19</v>
      </c>
      <c r="I40" s="25">
        <v>945</v>
      </c>
      <c r="J40" s="25">
        <v>0</v>
      </c>
    </row>
    <row r="41" spans="1:10" ht="15.75" customHeight="1" x14ac:dyDescent="0.2">
      <c r="A41" s="27" t="s">
        <v>125</v>
      </c>
      <c r="B41" s="27" t="s">
        <v>241</v>
      </c>
      <c r="C41" s="27" t="s">
        <v>242</v>
      </c>
      <c r="D41" s="28" t="s">
        <v>243</v>
      </c>
      <c r="E41" s="29">
        <v>154</v>
      </c>
      <c r="F41" s="29">
        <v>231.4</v>
      </c>
      <c r="G41" s="29">
        <v>77.400000000000006</v>
      </c>
      <c r="H41" s="30">
        <v>50.26</v>
      </c>
      <c r="I41" s="29">
        <v>280</v>
      </c>
      <c r="J41" s="29">
        <v>0</v>
      </c>
    </row>
    <row r="42" spans="1:10" ht="15.75" customHeight="1" x14ac:dyDescent="0.2">
      <c r="A42" s="23" t="s">
        <v>125</v>
      </c>
      <c r="B42" s="23" t="s">
        <v>244</v>
      </c>
      <c r="C42" s="23" t="s">
        <v>245</v>
      </c>
      <c r="D42" s="24" t="s">
        <v>246</v>
      </c>
      <c r="E42" s="25">
        <v>215</v>
      </c>
      <c r="F42" s="25">
        <v>322.31</v>
      </c>
      <c r="G42" s="25">
        <v>107.31</v>
      </c>
      <c r="H42" s="32">
        <v>49.91</v>
      </c>
      <c r="I42" s="25">
        <v>390</v>
      </c>
      <c r="J42" s="25">
        <v>500</v>
      </c>
    </row>
    <row r="43" spans="1:10" ht="15.75" customHeight="1" x14ac:dyDescent="0.2">
      <c r="A43" s="27" t="s">
        <v>125</v>
      </c>
      <c r="B43" s="27" t="s">
        <v>247</v>
      </c>
      <c r="C43" s="27" t="s">
        <v>248</v>
      </c>
      <c r="D43" s="28" t="s">
        <v>249</v>
      </c>
      <c r="E43" s="29">
        <v>1018</v>
      </c>
      <c r="F43" s="29">
        <v>1528.93</v>
      </c>
      <c r="G43" s="29">
        <v>510.93</v>
      </c>
      <c r="H43" s="30">
        <v>50.19</v>
      </c>
      <c r="I43" s="29">
        <v>1850</v>
      </c>
      <c r="J43" s="29">
        <v>0</v>
      </c>
    </row>
    <row r="44" spans="1:10" ht="15.75" customHeight="1" x14ac:dyDescent="0.2">
      <c r="A44" s="23" t="s">
        <v>125</v>
      </c>
      <c r="B44" s="23" t="s">
        <v>250</v>
      </c>
      <c r="C44" s="23" t="s">
        <v>251</v>
      </c>
      <c r="D44" s="24" t="s">
        <v>252</v>
      </c>
      <c r="E44" s="25">
        <v>1202</v>
      </c>
      <c r="F44" s="25">
        <v>1805.79</v>
      </c>
      <c r="G44" s="25">
        <v>603.79</v>
      </c>
      <c r="H44" s="26">
        <v>50.23</v>
      </c>
      <c r="I44" s="25">
        <v>2185</v>
      </c>
      <c r="J44" s="25">
        <v>0</v>
      </c>
    </row>
    <row r="45" spans="1:10" ht="15.75" customHeight="1" x14ac:dyDescent="0.2">
      <c r="A45" s="27" t="s">
        <v>125</v>
      </c>
      <c r="B45" s="27" t="s">
        <v>253</v>
      </c>
      <c r="C45" s="27" t="s">
        <v>254</v>
      </c>
      <c r="D45" s="28" t="s">
        <v>255</v>
      </c>
      <c r="E45" s="29">
        <v>273</v>
      </c>
      <c r="F45" s="29">
        <v>409.09</v>
      </c>
      <c r="G45" s="29">
        <v>136.09</v>
      </c>
      <c r="H45" s="31">
        <v>49.85</v>
      </c>
      <c r="I45" s="29">
        <v>495</v>
      </c>
      <c r="J45" s="29">
        <v>500</v>
      </c>
    </row>
    <row r="46" spans="1:10" ht="15.75" customHeight="1" x14ac:dyDescent="0.2">
      <c r="A46" s="23" t="s">
        <v>125</v>
      </c>
      <c r="B46" s="23" t="s">
        <v>256</v>
      </c>
      <c r="C46" s="23" t="s">
        <v>257</v>
      </c>
      <c r="D46" s="24" t="s">
        <v>258</v>
      </c>
      <c r="E46" s="25">
        <v>432</v>
      </c>
      <c r="F46" s="25">
        <v>648.76</v>
      </c>
      <c r="G46" s="25">
        <v>216.76</v>
      </c>
      <c r="H46" s="26">
        <v>50.18</v>
      </c>
      <c r="I46" s="25">
        <v>785</v>
      </c>
      <c r="J46" s="25">
        <v>500</v>
      </c>
    </row>
    <row r="47" spans="1:10" ht="15.75" customHeight="1" x14ac:dyDescent="0.2">
      <c r="A47" s="27" t="s">
        <v>125</v>
      </c>
      <c r="B47" s="27" t="s">
        <v>259</v>
      </c>
      <c r="C47" s="27" t="s">
        <v>260</v>
      </c>
      <c r="D47" s="28" t="s">
        <v>261</v>
      </c>
      <c r="E47" s="29">
        <v>548</v>
      </c>
      <c r="F47" s="29">
        <v>822.31</v>
      </c>
      <c r="G47" s="29">
        <v>274.31</v>
      </c>
      <c r="H47" s="30">
        <v>50.06</v>
      </c>
      <c r="I47" s="29">
        <v>995</v>
      </c>
      <c r="J47" s="29">
        <v>0</v>
      </c>
    </row>
    <row r="48" spans="1:10" ht="15.75" customHeight="1" x14ac:dyDescent="0.2">
      <c r="A48" s="23" t="s">
        <v>125</v>
      </c>
      <c r="B48" s="23" t="s">
        <v>262</v>
      </c>
      <c r="C48" s="23" t="s">
        <v>263</v>
      </c>
      <c r="D48" s="24" t="s">
        <v>264</v>
      </c>
      <c r="E48" s="25">
        <v>1279</v>
      </c>
      <c r="F48" s="25">
        <v>1921.49</v>
      </c>
      <c r="G48" s="25">
        <v>642.49</v>
      </c>
      <c r="H48" s="26">
        <v>50.23</v>
      </c>
      <c r="I48" s="25">
        <v>2325</v>
      </c>
      <c r="J48" s="25">
        <v>0</v>
      </c>
    </row>
    <row r="49" spans="1:10" ht="15.75" customHeight="1" x14ac:dyDescent="0.2">
      <c r="A49" s="27" t="s">
        <v>125</v>
      </c>
      <c r="B49" s="27" t="s">
        <v>265</v>
      </c>
      <c r="C49" s="27" t="s">
        <v>266</v>
      </c>
      <c r="D49" s="28" t="s">
        <v>267</v>
      </c>
      <c r="E49" s="29">
        <v>1428</v>
      </c>
      <c r="F49" s="29">
        <v>2144.63</v>
      </c>
      <c r="G49" s="29">
        <v>716.63</v>
      </c>
      <c r="H49" s="30">
        <v>50.18</v>
      </c>
      <c r="I49" s="29">
        <v>2595</v>
      </c>
      <c r="J49" s="29">
        <v>0</v>
      </c>
    </row>
    <row r="50" spans="1:10" ht="15.75" customHeight="1" x14ac:dyDescent="0.2">
      <c r="A50" s="23" t="s">
        <v>125</v>
      </c>
      <c r="B50" s="23" t="s">
        <v>268</v>
      </c>
      <c r="C50" s="23" t="s">
        <v>269</v>
      </c>
      <c r="D50" s="24" t="s">
        <v>270</v>
      </c>
      <c r="E50" s="25">
        <v>163</v>
      </c>
      <c r="F50" s="25">
        <v>243.8</v>
      </c>
      <c r="G50" s="25">
        <v>80.8</v>
      </c>
      <c r="H50" s="32">
        <v>49.57</v>
      </c>
      <c r="I50" s="25">
        <v>295</v>
      </c>
      <c r="J50" s="25">
        <v>0</v>
      </c>
    </row>
    <row r="51" spans="1:10" ht="15.75" customHeight="1" x14ac:dyDescent="0.2">
      <c r="A51" s="27" t="s">
        <v>125</v>
      </c>
      <c r="B51" s="27" t="s">
        <v>271</v>
      </c>
      <c r="C51" s="27" t="s">
        <v>272</v>
      </c>
      <c r="D51" s="28" t="s">
        <v>273</v>
      </c>
      <c r="E51" s="29">
        <v>462</v>
      </c>
      <c r="F51" s="29">
        <v>694.21</v>
      </c>
      <c r="G51" s="29">
        <v>232.21</v>
      </c>
      <c r="H51" s="30">
        <v>50.26</v>
      </c>
      <c r="I51" s="29">
        <v>840</v>
      </c>
      <c r="J51" s="29">
        <v>500</v>
      </c>
    </row>
    <row r="52" spans="1:10" ht="15.75" customHeight="1" x14ac:dyDescent="0.2">
      <c r="A52" s="23" t="s">
        <v>125</v>
      </c>
      <c r="B52" s="23" t="s">
        <v>274</v>
      </c>
      <c r="C52" s="23" t="s">
        <v>275</v>
      </c>
      <c r="D52" s="24" t="s">
        <v>276</v>
      </c>
      <c r="E52" s="25">
        <v>718</v>
      </c>
      <c r="F52" s="25">
        <v>1078.51</v>
      </c>
      <c r="G52" s="25">
        <v>360.51</v>
      </c>
      <c r="H52" s="26">
        <v>50.21</v>
      </c>
      <c r="I52" s="25">
        <v>1305</v>
      </c>
      <c r="J52" s="25">
        <v>0</v>
      </c>
    </row>
    <row r="53" spans="1:10" ht="15.75" customHeight="1" x14ac:dyDescent="0.2">
      <c r="A53" s="27" t="s">
        <v>125</v>
      </c>
      <c r="B53" s="27" t="s">
        <v>277</v>
      </c>
      <c r="C53" s="27" t="s">
        <v>278</v>
      </c>
      <c r="D53" s="28" t="s">
        <v>279</v>
      </c>
      <c r="E53" s="29">
        <v>957</v>
      </c>
      <c r="F53" s="29">
        <v>1438.02</v>
      </c>
      <c r="G53" s="29">
        <v>481.02</v>
      </c>
      <c r="H53" s="30">
        <v>50.26</v>
      </c>
      <c r="I53" s="29">
        <v>1740</v>
      </c>
      <c r="J53" s="29">
        <v>0</v>
      </c>
    </row>
    <row r="54" spans="1:10" ht="15.75" customHeight="1" x14ac:dyDescent="0.2">
      <c r="A54" s="23" t="s">
        <v>125</v>
      </c>
      <c r="B54" s="23" t="s">
        <v>280</v>
      </c>
      <c r="C54" s="23" t="s">
        <v>281</v>
      </c>
      <c r="D54" s="24" t="s">
        <v>282</v>
      </c>
      <c r="E54" s="25">
        <v>259</v>
      </c>
      <c r="F54" s="25">
        <v>388.43</v>
      </c>
      <c r="G54" s="25">
        <v>129.43</v>
      </c>
      <c r="H54" s="32">
        <v>49.97</v>
      </c>
      <c r="I54" s="25">
        <v>470</v>
      </c>
      <c r="J54" s="25">
        <v>500</v>
      </c>
    </row>
    <row r="55" spans="1:10" ht="15.75" customHeight="1" x14ac:dyDescent="0.2">
      <c r="A55" s="27" t="s">
        <v>125</v>
      </c>
      <c r="B55" s="27" t="s">
        <v>283</v>
      </c>
      <c r="C55" s="27" t="s">
        <v>284</v>
      </c>
      <c r="D55" s="28" t="s">
        <v>285</v>
      </c>
      <c r="E55" s="29">
        <v>187</v>
      </c>
      <c r="F55" s="29">
        <v>280.99</v>
      </c>
      <c r="G55" s="29">
        <v>93.99</v>
      </c>
      <c r="H55" s="30">
        <v>50.26</v>
      </c>
      <c r="I55" s="29">
        <v>340</v>
      </c>
      <c r="J55" s="29">
        <v>500</v>
      </c>
    </row>
    <row r="56" spans="1:10" ht="15.75" customHeight="1" x14ac:dyDescent="0.2">
      <c r="A56" s="23" t="s">
        <v>125</v>
      </c>
      <c r="B56" s="23" t="s">
        <v>286</v>
      </c>
      <c r="C56" s="23" t="s">
        <v>287</v>
      </c>
      <c r="D56" s="24" t="s">
        <v>288</v>
      </c>
      <c r="E56" s="25">
        <v>1898</v>
      </c>
      <c r="F56" s="25">
        <v>2851.24</v>
      </c>
      <c r="G56" s="25">
        <v>953.24</v>
      </c>
      <c r="H56" s="26">
        <v>50.22</v>
      </c>
      <c r="I56" s="25">
        <v>3450</v>
      </c>
      <c r="J56" s="25">
        <v>0</v>
      </c>
    </row>
    <row r="57" spans="1:10" ht="15.75" customHeight="1" x14ac:dyDescent="0.2">
      <c r="A57" s="27" t="s">
        <v>125</v>
      </c>
      <c r="B57" s="27" t="s">
        <v>289</v>
      </c>
      <c r="C57" s="27" t="s">
        <v>290</v>
      </c>
      <c r="D57" s="28" t="s">
        <v>291</v>
      </c>
      <c r="E57" s="29">
        <v>2140</v>
      </c>
      <c r="F57" s="29">
        <v>3214.88</v>
      </c>
      <c r="G57" s="29">
        <v>1074.8800000000001</v>
      </c>
      <c r="H57" s="30">
        <v>50.23</v>
      </c>
      <c r="I57" s="29">
        <v>3890</v>
      </c>
      <c r="J57" s="29">
        <v>0</v>
      </c>
    </row>
    <row r="58" spans="1:10" ht="15.75" customHeight="1" x14ac:dyDescent="0.2">
      <c r="A58" s="23" t="s">
        <v>125</v>
      </c>
      <c r="B58" s="23" t="s">
        <v>292</v>
      </c>
      <c r="C58" s="23" t="s">
        <v>293</v>
      </c>
      <c r="D58" s="24" t="s">
        <v>294</v>
      </c>
      <c r="E58" s="25">
        <v>429</v>
      </c>
      <c r="F58" s="25">
        <v>644.63</v>
      </c>
      <c r="G58" s="25">
        <v>215.63</v>
      </c>
      <c r="H58" s="26">
        <v>50.26</v>
      </c>
      <c r="I58" s="25">
        <v>780</v>
      </c>
      <c r="J58" s="25">
        <v>500</v>
      </c>
    </row>
    <row r="59" spans="1:10" ht="15.75" customHeight="1" x14ac:dyDescent="0.2">
      <c r="A59" s="27" t="s">
        <v>125</v>
      </c>
      <c r="B59" s="27" t="s">
        <v>295</v>
      </c>
      <c r="C59" s="27" t="s">
        <v>296</v>
      </c>
      <c r="D59" s="28" t="s">
        <v>297</v>
      </c>
      <c r="E59" s="29">
        <v>619</v>
      </c>
      <c r="F59" s="29">
        <v>929.75</v>
      </c>
      <c r="G59" s="29">
        <v>310.75</v>
      </c>
      <c r="H59" s="30">
        <v>50.2</v>
      </c>
      <c r="I59" s="29">
        <v>1125</v>
      </c>
      <c r="J59" s="29">
        <v>0</v>
      </c>
    </row>
    <row r="60" spans="1:10" ht="15.75" customHeight="1" x14ac:dyDescent="0.2">
      <c r="A60" s="23" t="s">
        <v>125</v>
      </c>
      <c r="B60" s="23" t="s">
        <v>298</v>
      </c>
      <c r="C60" s="23" t="s">
        <v>299</v>
      </c>
      <c r="D60" s="24" t="s">
        <v>300</v>
      </c>
      <c r="E60" s="25">
        <v>765</v>
      </c>
      <c r="F60" s="25">
        <v>1148.76</v>
      </c>
      <c r="G60" s="25">
        <v>383.76</v>
      </c>
      <c r="H60" s="26">
        <v>50.16</v>
      </c>
      <c r="I60" s="25">
        <v>1390</v>
      </c>
      <c r="J60" s="25">
        <v>0</v>
      </c>
    </row>
    <row r="61" spans="1:10" ht="15.75" customHeight="1" x14ac:dyDescent="0.2">
      <c r="A61" s="27" t="s">
        <v>125</v>
      </c>
      <c r="B61" s="27" t="s">
        <v>301</v>
      </c>
      <c r="C61" s="27" t="s">
        <v>302</v>
      </c>
      <c r="D61" s="28" t="s">
        <v>303</v>
      </c>
      <c r="E61" s="29">
        <v>325</v>
      </c>
      <c r="F61" s="29">
        <v>487.6</v>
      </c>
      <c r="G61" s="29">
        <v>162.6</v>
      </c>
      <c r="H61" s="30">
        <v>50.03</v>
      </c>
      <c r="I61" s="29">
        <v>590</v>
      </c>
      <c r="J61" s="29">
        <v>500</v>
      </c>
    </row>
    <row r="62" spans="1:10" ht="15.75" customHeight="1" x14ac:dyDescent="0.2">
      <c r="A62" s="23" t="s">
        <v>125</v>
      </c>
      <c r="B62" s="23" t="s">
        <v>304</v>
      </c>
      <c r="C62" s="23" t="s">
        <v>305</v>
      </c>
      <c r="D62" s="24" t="s">
        <v>306</v>
      </c>
      <c r="E62" s="25">
        <v>380</v>
      </c>
      <c r="F62" s="25">
        <v>570.25</v>
      </c>
      <c r="G62" s="25">
        <v>190.25</v>
      </c>
      <c r="H62" s="26">
        <v>50.07</v>
      </c>
      <c r="I62" s="25">
        <v>690</v>
      </c>
      <c r="J62" s="25">
        <v>500</v>
      </c>
    </row>
    <row r="63" spans="1:10" ht="15.75" customHeight="1" x14ac:dyDescent="0.2">
      <c r="A63" s="27" t="s">
        <v>125</v>
      </c>
      <c r="B63" s="27" t="s">
        <v>307</v>
      </c>
      <c r="C63" s="27" t="s">
        <v>308</v>
      </c>
      <c r="D63" s="28" t="s">
        <v>309</v>
      </c>
      <c r="E63" s="29">
        <v>231</v>
      </c>
      <c r="F63" s="29">
        <v>347.11</v>
      </c>
      <c r="G63" s="29">
        <v>116.11</v>
      </c>
      <c r="H63" s="30">
        <v>50.26</v>
      </c>
      <c r="I63" s="29">
        <v>420</v>
      </c>
      <c r="J63" s="29">
        <v>500</v>
      </c>
    </row>
    <row r="64" spans="1:10" ht="15.75" customHeight="1" x14ac:dyDescent="0.2">
      <c r="A64" s="23" t="s">
        <v>125</v>
      </c>
      <c r="B64" s="23" t="s">
        <v>310</v>
      </c>
      <c r="C64" s="23" t="s">
        <v>311</v>
      </c>
      <c r="D64" s="24" t="s">
        <v>312</v>
      </c>
      <c r="E64" s="25">
        <v>1802</v>
      </c>
      <c r="F64" s="25">
        <v>2706.61</v>
      </c>
      <c r="G64" s="25">
        <v>904.61</v>
      </c>
      <c r="H64" s="26">
        <v>50.2</v>
      </c>
      <c r="I64" s="25">
        <v>3275</v>
      </c>
      <c r="J64" s="25">
        <v>0</v>
      </c>
    </row>
    <row r="65" spans="1:10" ht="15.75" customHeight="1" x14ac:dyDescent="0.2">
      <c r="A65" s="27" t="s">
        <v>125</v>
      </c>
      <c r="B65" s="27" t="s">
        <v>313</v>
      </c>
      <c r="C65" s="27" t="s">
        <v>314</v>
      </c>
      <c r="D65" s="28" t="s">
        <v>315</v>
      </c>
      <c r="E65" s="29">
        <v>2002</v>
      </c>
      <c r="F65" s="29">
        <v>3008.26</v>
      </c>
      <c r="G65" s="29">
        <v>1006.26</v>
      </c>
      <c r="H65" s="30">
        <v>50.26</v>
      </c>
      <c r="I65" s="29">
        <v>3640</v>
      </c>
      <c r="J65" s="29">
        <v>0</v>
      </c>
    </row>
    <row r="66" spans="1:10" ht="15.75" customHeight="1" x14ac:dyDescent="0.2">
      <c r="A66" s="23" t="s">
        <v>125</v>
      </c>
      <c r="B66" s="23" t="s">
        <v>316</v>
      </c>
      <c r="C66" s="23" t="s">
        <v>317</v>
      </c>
      <c r="D66" s="24" t="s">
        <v>318</v>
      </c>
      <c r="E66" s="25">
        <v>292</v>
      </c>
      <c r="F66" s="25">
        <v>438.02</v>
      </c>
      <c r="G66" s="25">
        <v>146.02000000000001</v>
      </c>
      <c r="H66" s="26">
        <v>50.01</v>
      </c>
      <c r="I66" s="25">
        <v>530</v>
      </c>
      <c r="J66" s="25">
        <v>500</v>
      </c>
    </row>
    <row r="67" spans="1:10" ht="15.75" customHeight="1" x14ac:dyDescent="0.2">
      <c r="A67" s="27" t="s">
        <v>125</v>
      </c>
      <c r="B67" s="27" t="s">
        <v>319</v>
      </c>
      <c r="C67" s="27" t="s">
        <v>320</v>
      </c>
      <c r="D67" s="28" t="s">
        <v>321</v>
      </c>
      <c r="E67" s="29">
        <v>413</v>
      </c>
      <c r="F67" s="29">
        <v>619.83000000000004</v>
      </c>
      <c r="G67" s="29">
        <v>206.83</v>
      </c>
      <c r="H67" s="30">
        <v>50.08</v>
      </c>
      <c r="I67" s="29">
        <v>750</v>
      </c>
      <c r="J67" s="29">
        <v>500</v>
      </c>
    </row>
    <row r="68" spans="1:10" ht="15.75" customHeight="1" x14ac:dyDescent="0.2">
      <c r="A68" s="23" t="s">
        <v>125</v>
      </c>
      <c r="B68" s="23" t="s">
        <v>322</v>
      </c>
      <c r="C68" s="23" t="s">
        <v>323</v>
      </c>
      <c r="D68" s="24" t="s">
        <v>324</v>
      </c>
      <c r="E68" s="25">
        <v>534</v>
      </c>
      <c r="F68" s="25">
        <v>801.65</v>
      </c>
      <c r="G68" s="25">
        <v>267.64999999999998</v>
      </c>
      <c r="H68" s="26">
        <v>50.12</v>
      </c>
      <c r="I68" s="25">
        <v>970</v>
      </c>
      <c r="J68" s="25">
        <v>0</v>
      </c>
    </row>
    <row r="69" spans="1:10" ht="15.75" customHeight="1" x14ac:dyDescent="0.2">
      <c r="A69" s="27" t="s">
        <v>125</v>
      </c>
      <c r="B69" s="27" t="s">
        <v>325</v>
      </c>
      <c r="C69" s="27" t="s">
        <v>326</v>
      </c>
      <c r="D69" s="28" t="s">
        <v>327</v>
      </c>
      <c r="E69" s="29">
        <v>1153</v>
      </c>
      <c r="F69" s="29">
        <v>1731.4</v>
      </c>
      <c r="G69" s="29">
        <v>578.4</v>
      </c>
      <c r="H69" s="30">
        <v>50.17</v>
      </c>
      <c r="I69" s="29">
        <v>2095</v>
      </c>
      <c r="J69" s="29">
        <v>0</v>
      </c>
    </row>
    <row r="70" spans="1:10" ht="15.75" customHeight="1" x14ac:dyDescent="0.2">
      <c r="A70" s="23" t="s">
        <v>125</v>
      </c>
      <c r="B70" s="23" t="s">
        <v>328</v>
      </c>
      <c r="C70" s="23" t="s">
        <v>329</v>
      </c>
      <c r="D70" s="24" t="s">
        <v>330</v>
      </c>
      <c r="E70" s="25">
        <v>1318</v>
      </c>
      <c r="F70" s="25">
        <v>1979.34</v>
      </c>
      <c r="G70" s="25">
        <v>661.34</v>
      </c>
      <c r="H70" s="26">
        <v>50.18</v>
      </c>
      <c r="I70" s="25">
        <v>2395</v>
      </c>
      <c r="J70" s="25">
        <v>0</v>
      </c>
    </row>
    <row r="71" spans="1:10" ht="15.75" customHeight="1" x14ac:dyDescent="0.2">
      <c r="A71" s="27" t="s">
        <v>125</v>
      </c>
      <c r="B71" s="27" t="s">
        <v>331</v>
      </c>
      <c r="C71" s="27" t="s">
        <v>332</v>
      </c>
      <c r="D71" s="28" t="s">
        <v>333</v>
      </c>
      <c r="E71" s="29">
        <v>264</v>
      </c>
      <c r="F71" s="29">
        <v>396.69</v>
      </c>
      <c r="G71" s="29">
        <v>132.69</v>
      </c>
      <c r="H71" s="30">
        <v>50.26</v>
      </c>
      <c r="I71" s="29">
        <v>480</v>
      </c>
      <c r="J71" s="29">
        <v>500</v>
      </c>
    </row>
    <row r="72" spans="1:10" ht="15.75" customHeight="1" x14ac:dyDescent="0.2">
      <c r="A72" s="23" t="s">
        <v>125</v>
      </c>
      <c r="B72" s="23" t="s">
        <v>334</v>
      </c>
      <c r="C72" s="23" t="s">
        <v>335</v>
      </c>
      <c r="D72" s="24" t="s">
        <v>336</v>
      </c>
      <c r="E72" s="25">
        <v>413</v>
      </c>
      <c r="F72" s="25">
        <v>619.83000000000004</v>
      </c>
      <c r="G72" s="25">
        <v>206.83</v>
      </c>
      <c r="H72" s="26">
        <v>50.08</v>
      </c>
      <c r="I72" s="25">
        <v>750</v>
      </c>
      <c r="J72" s="25">
        <v>500</v>
      </c>
    </row>
    <row r="73" spans="1:10" ht="15.75" customHeight="1" x14ac:dyDescent="0.2">
      <c r="A73" s="27" t="s">
        <v>125</v>
      </c>
      <c r="B73" s="27" t="s">
        <v>337</v>
      </c>
      <c r="C73" s="27" t="s">
        <v>338</v>
      </c>
      <c r="D73" s="28" t="s">
        <v>339</v>
      </c>
      <c r="E73" s="29">
        <v>534</v>
      </c>
      <c r="F73" s="29">
        <v>801.65</v>
      </c>
      <c r="G73" s="29">
        <v>267.64999999999998</v>
      </c>
      <c r="H73" s="30">
        <v>50.12</v>
      </c>
      <c r="I73" s="29">
        <v>970</v>
      </c>
      <c r="J73" s="29">
        <v>0</v>
      </c>
    </row>
    <row r="74" spans="1:10" ht="15.75" customHeight="1" x14ac:dyDescent="0.2">
      <c r="A74" s="23" t="s">
        <v>125</v>
      </c>
      <c r="B74" s="23" t="s">
        <v>340</v>
      </c>
      <c r="C74" s="23" t="s">
        <v>341</v>
      </c>
      <c r="D74" s="24" t="s">
        <v>342</v>
      </c>
      <c r="E74" s="25">
        <v>1092</v>
      </c>
      <c r="F74" s="25">
        <v>1640.5</v>
      </c>
      <c r="G74" s="25">
        <v>548.5</v>
      </c>
      <c r="H74" s="26">
        <v>50.23</v>
      </c>
      <c r="I74" s="25">
        <v>1985</v>
      </c>
      <c r="J74" s="25">
        <v>0</v>
      </c>
    </row>
    <row r="75" spans="1:10" ht="15.75" customHeight="1" x14ac:dyDescent="0.2">
      <c r="A75" s="27" t="s">
        <v>125</v>
      </c>
      <c r="B75" s="27" t="s">
        <v>343</v>
      </c>
      <c r="C75" s="27" t="s">
        <v>344</v>
      </c>
      <c r="D75" s="28" t="s">
        <v>345</v>
      </c>
      <c r="E75" s="29">
        <v>1263</v>
      </c>
      <c r="F75" s="29">
        <v>1896.69</v>
      </c>
      <c r="G75" s="29">
        <v>633.69000000000005</v>
      </c>
      <c r="H75" s="30">
        <v>50.17</v>
      </c>
      <c r="I75" s="29">
        <v>2295</v>
      </c>
      <c r="J75" s="29">
        <v>0</v>
      </c>
    </row>
    <row r="76" spans="1:10" ht="15.75" customHeight="1" x14ac:dyDescent="0.2">
      <c r="A76" s="23" t="s">
        <v>125</v>
      </c>
      <c r="B76" s="23" t="s">
        <v>346</v>
      </c>
      <c r="C76" s="23" t="s">
        <v>347</v>
      </c>
      <c r="D76" s="24" t="s">
        <v>348</v>
      </c>
      <c r="E76" s="25">
        <v>152</v>
      </c>
      <c r="F76" s="25">
        <v>227.27</v>
      </c>
      <c r="G76" s="25">
        <v>75.27</v>
      </c>
      <c r="H76" s="32">
        <v>49.52</v>
      </c>
      <c r="I76" s="25">
        <v>275</v>
      </c>
      <c r="J76" s="25">
        <v>0</v>
      </c>
    </row>
    <row r="77" spans="1:10" ht="15.75" customHeight="1" x14ac:dyDescent="0.2">
      <c r="A77" s="27" t="s">
        <v>125</v>
      </c>
      <c r="B77" s="27" t="s">
        <v>154</v>
      </c>
      <c r="C77" s="27" t="s">
        <v>155</v>
      </c>
      <c r="D77" s="28" t="s">
        <v>349</v>
      </c>
      <c r="E77" s="29">
        <v>201</v>
      </c>
      <c r="F77" s="29">
        <v>301.64999999999998</v>
      </c>
      <c r="G77" s="29">
        <v>100.65</v>
      </c>
      <c r="H77" s="30">
        <v>50.08</v>
      </c>
      <c r="I77" s="29">
        <v>365</v>
      </c>
      <c r="J77" s="29">
        <v>500</v>
      </c>
    </row>
    <row r="78" spans="1:10" ht="15.75" customHeight="1" x14ac:dyDescent="0.2">
      <c r="A78" s="23" t="s">
        <v>125</v>
      </c>
      <c r="B78" s="23" t="s">
        <v>350</v>
      </c>
      <c r="C78" s="23" t="s">
        <v>351</v>
      </c>
      <c r="D78" s="24" t="s">
        <v>352</v>
      </c>
      <c r="E78" s="25">
        <v>253</v>
      </c>
      <c r="F78" s="25">
        <v>380.17</v>
      </c>
      <c r="G78" s="25">
        <v>127.17</v>
      </c>
      <c r="H78" s="26">
        <v>50.26</v>
      </c>
      <c r="I78" s="25">
        <v>460</v>
      </c>
      <c r="J78" s="25">
        <v>500</v>
      </c>
    </row>
    <row r="79" spans="1:10" ht="15.75" customHeight="1" x14ac:dyDescent="0.2">
      <c r="A79" s="27" t="s">
        <v>125</v>
      </c>
      <c r="B79" s="27" t="s">
        <v>353</v>
      </c>
      <c r="C79" s="27" t="s">
        <v>354</v>
      </c>
      <c r="D79" s="28" t="s">
        <v>355</v>
      </c>
      <c r="E79" s="29">
        <v>413</v>
      </c>
      <c r="F79" s="29">
        <v>619.83000000000004</v>
      </c>
      <c r="G79" s="29">
        <v>206.83</v>
      </c>
      <c r="H79" s="30">
        <v>50.08</v>
      </c>
      <c r="I79" s="29">
        <v>750</v>
      </c>
      <c r="J79" s="29">
        <v>500</v>
      </c>
    </row>
    <row r="80" spans="1:10" ht="15.75" customHeight="1" x14ac:dyDescent="0.2">
      <c r="A80" s="23" t="s">
        <v>125</v>
      </c>
      <c r="B80" s="23" t="s">
        <v>356</v>
      </c>
      <c r="C80" s="23" t="s">
        <v>357</v>
      </c>
      <c r="D80" s="24" t="s">
        <v>358</v>
      </c>
      <c r="E80" s="25">
        <v>545</v>
      </c>
      <c r="F80" s="25">
        <v>818.18</v>
      </c>
      <c r="G80" s="25">
        <v>273.18</v>
      </c>
      <c r="H80" s="26">
        <v>50.13</v>
      </c>
      <c r="I80" s="25">
        <v>990</v>
      </c>
      <c r="J80" s="25">
        <v>0</v>
      </c>
    </row>
    <row r="81" spans="1:10" ht="15.75" customHeight="1" x14ac:dyDescent="0.2">
      <c r="A81" s="27" t="s">
        <v>125</v>
      </c>
      <c r="B81" s="27" t="s">
        <v>359</v>
      </c>
      <c r="C81" s="27" t="s">
        <v>360</v>
      </c>
      <c r="D81" s="28" t="s">
        <v>361</v>
      </c>
      <c r="E81" s="29">
        <v>1070</v>
      </c>
      <c r="F81" s="29">
        <v>1607.44</v>
      </c>
      <c r="G81" s="29">
        <v>537.44000000000005</v>
      </c>
      <c r="H81" s="30">
        <v>50.23</v>
      </c>
      <c r="I81" s="29">
        <v>1945</v>
      </c>
      <c r="J81" s="29">
        <v>0</v>
      </c>
    </row>
    <row r="82" spans="1:10" ht="15.75" customHeight="1" x14ac:dyDescent="0.2">
      <c r="A82" s="23" t="s">
        <v>125</v>
      </c>
      <c r="B82" s="23" t="s">
        <v>362</v>
      </c>
      <c r="C82" s="23" t="s">
        <v>363</v>
      </c>
      <c r="D82" s="24" t="s">
        <v>364</v>
      </c>
      <c r="E82" s="25">
        <v>1252</v>
      </c>
      <c r="F82" s="25">
        <v>1880.17</v>
      </c>
      <c r="G82" s="25">
        <v>628.16999999999996</v>
      </c>
      <c r="H82" s="26">
        <v>50.17</v>
      </c>
      <c r="I82" s="25">
        <v>2275</v>
      </c>
      <c r="J82" s="25">
        <v>0</v>
      </c>
    </row>
    <row r="83" spans="1:10" ht="15.75" customHeight="1" x14ac:dyDescent="0.2">
      <c r="A83" s="27" t="s">
        <v>125</v>
      </c>
      <c r="B83" s="27" t="s">
        <v>365</v>
      </c>
      <c r="C83" s="27" t="s">
        <v>366</v>
      </c>
      <c r="D83" s="28" t="s">
        <v>367</v>
      </c>
      <c r="E83" s="29">
        <v>267</v>
      </c>
      <c r="F83" s="29">
        <v>400.83</v>
      </c>
      <c r="G83" s="29">
        <v>133.83000000000001</v>
      </c>
      <c r="H83" s="30">
        <v>50.12</v>
      </c>
      <c r="I83" s="29">
        <v>485</v>
      </c>
      <c r="J83" s="29">
        <v>500</v>
      </c>
    </row>
    <row r="84" spans="1:10" ht="15.75" customHeight="1" x14ac:dyDescent="0.2">
      <c r="A84" s="23" t="s">
        <v>125</v>
      </c>
      <c r="B84" s="23" t="s">
        <v>368</v>
      </c>
      <c r="C84" s="23" t="s">
        <v>369</v>
      </c>
      <c r="D84" s="24" t="s">
        <v>370</v>
      </c>
      <c r="E84" s="25">
        <v>383</v>
      </c>
      <c r="F84" s="25">
        <v>574.38</v>
      </c>
      <c r="G84" s="25">
        <v>191.38</v>
      </c>
      <c r="H84" s="32">
        <v>49.97</v>
      </c>
      <c r="I84" s="25">
        <v>695</v>
      </c>
      <c r="J84" s="25">
        <v>500</v>
      </c>
    </row>
    <row r="85" spans="1:10" ht="15.75" customHeight="1" x14ac:dyDescent="0.2">
      <c r="A85" s="27" t="s">
        <v>125</v>
      </c>
      <c r="B85" s="27" t="s">
        <v>371</v>
      </c>
      <c r="C85" s="27" t="s">
        <v>372</v>
      </c>
      <c r="D85" s="28" t="s">
        <v>373</v>
      </c>
      <c r="E85" s="29">
        <v>523</v>
      </c>
      <c r="F85" s="29">
        <v>785.12</v>
      </c>
      <c r="G85" s="29">
        <v>262.12</v>
      </c>
      <c r="H85" s="30">
        <v>50.12</v>
      </c>
      <c r="I85" s="29">
        <v>950</v>
      </c>
      <c r="J85" s="29">
        <v>0</v>
      </c>
    </row>
    <row r="86" spans="1:10" ht="15.75" customHeight="1" x14ac:dyDescent="0.2">
      <c r="A86" s="23" t="s">
        <v>125</v>
      </c>
      <c r="B86" s="23" t="s">
        <v>374</v>
      </c>
      <c r="C86" s="23" t="s">
        <v>375</v>
      </c>
      <c r="D86" s="24" t="s">
        <v>376</v>
      </c>
      <c r="E86" s="25">
        <v>152</v>
      </c>
      <c r="F86" s="25">
        <v>227.27</v>
      </c>
      <c r="G86" s="25">
        <v>75.27</v>
      </c>
      <c r="H86" s="32">
        <v>49.52</v>
      </c>
      <c r="I86" s="25">
        <v>275</v>
      </c>
      <c r="J86" s="25">
        <v>0</v>
      </c>
    </row>
    <row r="87" spans="1:10" ht="15.75" customHeight="1" x14ac:dyDescent="0.2">
      <c r="A87" s="27" t="s">
        <v>125</v>
      </c>
      <c r="B87" s="27" t="s">
        <v>377</v>
      </c>
      <c r="C87" s="27" t="s">
        <v>378</v>
      </c>
      <c r="D87" s="28" t="s">
        <v>379</v>
      </c>
      <c r="E87" s="29">
        <v>201</v>
      </c>
      <c r="F87" s="29">
        <v>301.64999999999998</v>
      </c>
      <c r="G87" s="29">
        <v>100.65</v>
      </c>
      <c r="H87" s="30">
        <v>50.08</v>
      </c>
      <c r="I87" s="29">
        <v>365</v>
      </c>
      <c r="J87" s="29">
        <v>500</v>
      </c>
    </row>
    <row r="88" spans="1:10" ht="15.75" customHeight="1" x14ac:dyDescent="0.2">
      <c r="A88" s="23" t="s">
        <v>125</v>
      </c>
      <c r="B88" s="23" t="s">
        <v>380</v>
      </c>
      <c r="C88" s="23" t="s">
        <v>381</v>
      </c>
      <c r="D88" s="24" t="s">
        <v>382</v>
      </c>
      <c r="E88" s="25">
        <v>1067</v>
      </c>
      <c r="F88" s="25">
        <v>1603.31</v>
      </c>
      <c r="G88" s="25">
        <v>536.30999999999995</v>
      </c>
      <c r="H88" s="26">
        <v>50.26</v>
      </c>
      <c r="I88" s="25">
        <v>1940</v>
      </c>
      <c r="J88" s="25">
        <v>0</v>
      </c>
    </row>
    <row r="89" spans="1:10" ht="15.75" customHeight="1" x14ac:dyDescent="0.2">
      <c r="A89" s="27" t="s">
        <v>125</v>
      </c>
      <c r="B89" s="27" t="s">
        <v>371</v>
      </c>
      <c r="C89" s="27" t="s">
        <v>372</v>
      </c>
      <c r="D89" s="28" t="s">
        <v>383</v>
      </c>
      <c r="E89" s="29">
        <v>1257</v>
      </c>
      <c r="F89" s="29">
        <v>1888.43</v>
      </c>
      <c r="G89" s="29">
        <v>631.42999999999995</v>
      </c>
      <c r="H89" s="30">
        <v>50.23</v>
      </c>
      <c r="I89" s="29">
        <v>2285</v>
      </c>
      <c r="J89" s="29">
        <v>0</v>
      </c>
    </row>
    <row r="90" spans="1:10" ht="15.75" customHeight="1" x14ac:dyDescent="0.2">
      <c r="A90" s="23" t="s">
        <v>125</v>
      </c>
      <c r="B90" s="23" t="s">
        <v>384</v>
      </c>
      <c r="C90" s="23" t="s">
        <v>385</v>
      </c>
      <c r="D90" s="24" t="s">
        <v>386</v>
      </c>
      <c r="E90" s="25">
        <v>930</v>
      </c>
      <c r="F90" s="25">
        <v>1396.69</v>
      </c>
      <c r="G90" s="25">
        <v>466.69</v>
      </c>
      <c r="H90" s="26">
        <v>50.18</v>
      </c>
      <c r="I90" s="25">
        <v>1690</v>
      </c>
      <c r="J90" s="25">
        <v>0</v>
      </c>
    </row>
    <row r="91" spans="1:10" ht="15.75" customHeight="1" x14ac:dyDescent="0.2">
      <c r="A91" s="27" t="s">
        <v>125</v>
      </c>
      <c r="B91" s="27" t="s">
        <v>387</v>
      </c>
      <c r="C91" s="27" t="s">
        <v>388</v>
      </c>
      <c r="D91" s="28" t="s">
        <v>389</v>
      </c>
      <c r="E91" s="29">
        <v>212</v>
      </c>
      <c r="F91" s="29">
        <v>318.18</v>
      </c>
      <c r="G91" s="29">
        <v>106.18</v>
      </c>
      <c r="H91" s="30">
        <v>50.09</v>
      </c>
      <c r="I91" s="29">
        <v>385</v>
      </c>
      <c r="J91" s="29">
        <v>500</v>
      </c>
    </row>
    <row r="92" spans="1:10" ht="15.75" customHeight="1" x14ac:dyDescent="0.2">
      <c r="A92" s="23" t="s">
        <v>125</v>
      </c>
      <c r="B92" s="23" t="s">
        <v>390</v>
      </c>
      <c r="C92" s="23" t="s">
        <v>391</v>
      </c>
      <c r="D92" s="24" t="s">
        <v>392</v>
      </c>
      <c r="E92" s="25">
        <v>325</v>
      </c>
      <c r="F92" s="25">
        <v>487.6</v>
      </c>
      <c r="G92" s="25">
        <v>162.6</v>
      </c>
      <c r="H92" s="26">
        <v>50.03</v>
      </c>
      <c r="I92" s="25">
        <v>590</v>
      </c>
      <c r="J92" s="25">
        <v>500</v>
      </c>
    </row>
    <row r="93" spans="1:10" ht="15.75" customHeight="1" x14ac:dyDescent="0.2">
      <c r="A93" s="27" t="s">
        <v>125</v>
      </c>
      <c r="B93" s="27" t="s">
        <v>393</v>
      </c>
      <c r="C93" s="27" t="s">
        <v>394</v>
      </c>
      <c r="D93" s="28" t="s">
        <v>395</v>
      </c>
      <c r="E93" s="29">
        <v>468</v>
      </c>
      <c r="F93" s="29">
        <v>702.48</v>
      </c>
      <c r="G93" s="29">
        <v>234.48</v>
      </c>
      <c r="H93" s="30">
        <v>50.1</v>
      </c>
      <c r="I93" s="29">
        <v>850</v>
      </c>
      <c r="J93" s="29">
        <v>500</v>
      </c>
    </row>
    <row r="94" spans="1:10" ht="15.75" customHeight="1" x14ac:dyDescent="0.2">
      <c r="A94" s="23" t="s">
        <v>125</v>
      </c>
      <c r="B94" s="23" t="s">
        <v>396</v>
      </c>
      <c r="C94" s="23" t="s">
        <v>397</v>
      </c>
      <c r="D94" s="24" t="s">
        <v>398</v>
      </c>
      <c r="E94" s="25">
        <v>905</v>
      </c>
      <c r="F94" s="25">
        <v>1359.5</v>
      </c>
      <c r="G94" s="25">
        <v>454.5</v>
      </c>
      <c r="H94" s="26">
        <v>50.22</v>
      </c>
      <c r="I94" s="25">
        <v>1645</v>
      </c>
      <c r="J94" s="25">
        <v>0</v>
      </c>
    </row>
    <row r="95" spans="1:10" ht="15.75" customHeight="1" x14ac:dyDescent="0.2">
      <c r="A95" s="27" t="s">
        <v>125</v>
      </c>
      <c r="B95" s="27" t="s">
        <v>399</v>
      </c>
      <c r="C95" s="27" t="s">
        <v>400</v>
      </c>
      <c r="D95" s="28" t="s">
        <v>401</v>
      </c>
      <c r="E95" s="29">
        <v>1092</v>
      </c>
      <c r="F95" s="29">
        <v>1640.5</v>
      </c>
      <c r="G95" s="29">
        <v>548.5</v>
      </c>
      <c r="H95" s="30">
        <v>50.23</v>
      </c>
      <c r="I95" s="29">
        <v>1985</v>
      </c>
      <c r="J95" s="29">
        <v>0</v>
      </c>
    </row>
    <row r="96" spans="1:10" ht="15.75" customHeight="1" x14ac:dyDescent="0.2">
      <c r="A96" s="23" t="s">
        <v>125</v>
      </c>
      <c r="B96" s="23" t="s">
        <v>402</v>
      </c>
      <c r="C96" s="23" t="s">
        <v>403</v>
      </c>
      <c r="D96" s="24" t="s">
        <v>404</v>
      </c>
      <c r="E96" s="25">
        <v>1318</v>
      </c>
      <c r="F96" s="25">
        <v>1979.34</v>
      </c>
      <c r="G96" s="25">
        <v>661.34</v>
      </c>
      <c r="H96" s="26">
        <v>50.18</v>
      </c>
      <c r="I96" s="25">
        <v>2395</v>
      </c>
      <c r="J96" s="25">
        <v>0</v>
      </c>
    </row>
    <row r="97" spans="1:10" ht="15.75" customHeight="1" x14ac:dyDescent="0.2">
      <c r="A97" s="27" t="s">
        <v>125</v>
      </c>
      <c r="B97" s="27" t="s">
        <v>405</v>
      </c>
      <c r="C97" s="27" t="s">
        <v>406</v>
      </c>
      <c r="D97" s="28" t="s">
        <v>407</v>
      </c>
      <c r="E97" s="29">
        <v>1725</v>
      </c>
      <c r="F97" s="29">
        <v>2590.91</v>
      </c>
      <c r="G97" s="29">
        <v>865.91</v>
      </c>
      <c r="H97" s="30">
        <v>50.2</v>
      </c>
      <c r="I97" s="29">
        <v>3135</v>
      </c>
      <c r="J97" s="29">
        <v>0</v>
      </c>
    </row>
    <row r="98" spans="1:10" ht="15.75" customHeight="1" x14ac:dyDescent="0.2">
      <c r="A98" s="23" t="s">
        <v>125</v>
      </c>
      <c r="B98" s="23" t="s">
        <v>408</v>
      </c>
      <c r="C98" s="23" t="s">
        <v>409</v>
      </c>
      <c r="D98" s="24" t="s">
        <v>410</v>
      </c>
      <c r="E98" s="25">
        <v>1920</v>
      </c>
      <c r="F98" s="25">
        <v>2884.3</v>
      </c>
      <c r="G98" s="25">
        <v>964.3</v>
      </c>
      <c r="H98" s="26">
        <v>50.22</v>
      </c>
      <c r="I98" s="25">
        <v>3490</v>
      </c>
      <c r="J98" s="25">
        <v>0</v>
      </c>
    </row>
    <row r="99" spans="1:10" ht="15.75" customHeight="1" x14ac:dyDescent="0.2">
      <c r="A99" s="27" t="s">
        <v>125</v>
      </c>
      <c r="B99" s="27" t="s">
        <v>411</v>
      </c>
      <c r="C99" s="27" t="s">
        <v>412</v>
      </c>
      <c r="D99" s="28" t="s">
        <v>413</v>
      </c>
      <c r="E99" s="29">
        <v>1172</v>
      </c>
      <c r="F99" s="29">
        <v>1760.33</v>
      </c>
      <c r="G99" s="29">
        <v>588.33000000000004</v>
      </c>
      <c r="H99" s="30">
        <v>50.2</v>
      </c>
      <c r="I99" s="29">
        <v>2130</v>
      </c>
      <c r="J99" s="29">
        <v>0</v>
      </c>
    </row>
    <row r="100" spans="1:10" ht="15.75" customHeight="1" x14ac:dyDescent="0.2">
      <c r="A100" s="23" t="s">
        <v>125</v>
      </c>
      <c r="B100" s="23" t="s">
        <v>414</v>
      </c>
      <c r="C100" s="23" t="s">
        <v>415</v>
      </c>
      <c r="D100" s="24" t="s">
        <v>416</v>
      </c>
      <c r="E100" s="25">
        <v>1736</v>
      </c>
      <c r="F100" s="25">
        <v>2607.44</v>
      </c>
      <c r="G100" s="25">
        <v>871.44</v>
      </c>
      <c r="H100" s="26">
        <v>50.2</v>
      </c>
      <c r="I100" s="25">
        <v>3155</v>
      </c>
      <c r="J100" s="25">
        <v>0</v>
      </c>
    </row>
    <row r="101" spans="1:10" ht="15.75" customHeight="1" x14ac:dyDescent="0.2">
      <c r="A101" s="27" t="s">
        <v>125</v>
      </c>
      <c r="B101" s="27" t="s">
        <v>417</v>
      </c>
      <c r="C101" s="27" t="s">
        <v>418</v>
      </c>
      <c r="D101" s="28" t="s">
        <v>419</v>
      </c>
      <c r="E101" s="29">
        <v>300</v>
      </c>
      <c r="F101" s="29">
        <v>450.41</v>
      </c>
      <c r="G101" s="29">
        <v>150.41</v>
      </c>
      <c r="H101" s="30">
        <v>50.14</v>
      </c>
      <c r="I101" s="29">
        <v>545</v>
      </c>
      <c r="J101" s="29">
        <v>500</v>
      </c>
    </row>
    <row r="102" spans="1:10" ht="15.75" customHeight="1" x14ac:dyDescent="0.2">
      <c r="A102" s="23" t="s">
        <v>125</v>
      </c>
      <c r="B102" s="23" t="s">
        <v>417</v>
      </c>
      <c r="C102" s="23" t="s">
        <v>420</v>
      </c>
      <c r="D102" s="24" t="s">
        <v>421</v>
      </c>
      <c r="E102" s="25">
        <v>328</v>
      </c>
      <c r="F102" s="25">
        <v>491.74</v>
      </c>
      <c r="G102" s="25">
        <v>163.74</v>
      </c>
      <c r="H102" s="32">
        <v>49.92</v>
      </c>
      <c r="I102" s="25">
        <v>595</v>
      </c>
      <c r="J102" s="25">
        <v>500</v>
      </c>
    </row>
    <row r="103" spans="1:10" ht="15.75" customHeight="1" x14ac:dyDescent="0.2">
      <c r="A103" s="27" t="s">
        <v>125</v>
      </c>
      <c r="B103" s="27" t="s">
        <v>422</v>
      </c>
      <c r="C103" s="27" t="s">
        <v>423</v>
      </c>
      <c r="D103" s="28" t="s">
        <v>424</v>
      </c>
      <c r="E103" s="29">
        <v>91</v>
      </c>
      <c r="F103" s="29">
        <v>136.36000000000001</v>
      </c>
      <c r="G103" s="29">
        <v>45.36</v>
      </c>
      <c r="H103" s="31">
        <v>49.85</v>
      </c>
      <c r="I103" s="29">
        <v>165</v>
      </c>
      <c r="J103" s="29">
        <v>0</v>
      </c>
    </row>
    <row r="104" spans="1:10" ht="15.75" customHeight="1" x14ac:dyDescent="0.2">
      <c r="A104" s="23" t="s">
        <v>125</v>
      </c>
      <c r="B104" s="23" t="s">
        <v>425</v>
      </c>
      <c r="C104" s="23" t="s">
        <v>426</v>
      </c>
      <c r="D104" s="24" t="s">
        <v>427</v>
      </c>
      <c r="E104" s="25">
        <v>80</v>
      </c>
      <c r="F104" s="25">
        <v>119.83</v>
      </c>
      <c r="G104" s="25">
        <v>39.83</v>
      </c>
      <c r="H104" s="32">
        <v>49.79</v>
      </c>
      <c r="I104" s="25">
        <v>145</v>
      </c>
      <c r="J104" s="25">
        <v>0</v>
      </c>
    </row>
    <row r="105" spans="1:10" ht="15.75" customHeight="1" x14ac:dyDescent="0.2">
      <c r="A105" s="27" t="s">
        <v>125</v>
      </c>
      <c r="B105" s="27" t="s">
        <v>428</v>
      </c>
      <c r="C105" s="27" t="s">
        <v>429</v>
      </c>
      <c r="D105" s="28" t="s">
        <v>430</v>
      </c>
      <c r="E105" s="29">
        <v>264</v>
      </c>
      <c r="F105" s="29">
        <v>396.69</v>
      </c>
      <c r="G105" s="29">
        <v>132.69</v>
      </c>
      <c r="H105" s="30">
        <v>50.26</v>
      </c>
      <c r="I105" s="29">
        <v>480</v>
      </c>
      <c r="J105" s="29">
        <v>500</v>
      </c>
    </row>
    <row r="106" spans="1:10" ht="15.75" customHeight="1" x14ac:dyDescent="0.2">
      <c r="A106" s="23" t="s">
        <v>125</v>
      </c>
      <c r="B106" s="23" t="s">
        <v>431</v>
      </c>
      <c r="C106" s="23" t="s">
        <v>432</v>
      </c>
      <c r="D106" s="24" t="s">
        <v>433</v>
      </c>
      <c r="E106" s="25">
        <v>303</v>
      </c>
      <c r="F106" s="25">
        <v>454.55</v>
      </c>
      <c r="G106" s="25">
        <v>151.55000000000001</v>
      </c>
      <c r="H106" s="26">
        <v>50.02</v>
      </c>
      <c r="I106" s="25">
        <v>550</v>
      </c>
      <c r="J106" s="25">
        <v>500</v>
      </c>
    </row>
    <row r="107" spans="1:10" ht="15.75" customHeight="1" x14ac:dyDescent="0.2">
      <c r="A107" s="27" t="s">
        <v>125</v>
      </c>
      <c r="B107" s="27" t="s">
        <v>434</v>
      </c>
      <c r="C107" s="27" t="s">
        <v>435</v>
      </c>
      <c r="D107" s="28" t="s">
        <v>436</v>
      </c>
      <c r="E107" s="29">
        <v>53</v>
      </c>
      <c r="F107" s="29">
        <v>78.510000000000005</v>
      </c>
      <c r="G107" s="29">
        <v>25.51</v>
      </c>
      <c r="H107" s="31">
        <v>48.14</v>
      </c>
      <c r="I107" s="29">
        <v>95</v>
      </c>
      <c r="J107" s="29">
        <v>0</v>
      </c>
    </row>
    <row r="108" spans="1:10" ht="15.75" customHeight="1" x14ac:dyDescent="0.2">
      <c r="A108" s="23" t="s">
        <v>125</v>
      </c>
      <c r="B108" s="23" t="s">
        <v>437</v>
      </c>
      <c r="C108" s="23" t="s">
        <v>438</v>
      </c>
      <c r="D108" s="24" t="s">
        <v>439</v>
      </c>
      <c r="E108" s="25">
        <v>88</v>
      </c>
      <c r="F108" s="25">
        <v>132.22999999999999</v>
      </c>
      <c r="G108" s="25">
        <v>44.23</v>
      </c>
      <c r="H108" s="26">
        <v>50.26</v>
      </c>
      <c r="I108" s="25">
        <v>160</v>
      </c>
      <c r="J108" s="25">
        <v>0</v>
      </c>
    </row>
    <row r="109" spans="1:10" ht="15.75" customHeight="1" x14ac:dyDescent="0.2">
      <c r="A109" s="27" t="s">
        <v>125</v>
      </c>
      <c r="B109" s="27" t="s">
        <v>440</v>
      </c>
      <c r="C109" s="27" t="s">
        <v>441</v>
      </c>
      <c r="D109" s="28" t="s">
        <v>442</v>
      </c>
      <c r="E109" s="29">
        <v>165</v>
      </c>
      <c r="F109" s="29">
        <v>247.93</v>
      </c>
      <c r="G109" s="29">
        <v>82.93</v>
      </c>
      <c r="H109" s="30">
        <v>50.26</v>
      </c>
      <c r="I109" s="29">
        <v>300</v>
      </c>
      <c r="J109" s="29">
        <v>0</v>
      </c>
    </row>
    <row r="110" spans="1:10" ht="15.75" customHeight="1" x14ac:dyDescent="0.2">
      <c r="A110" s="23" t="s">
        <v>125</v>
      </c>
      <c r="B110" s="23" t="s">
        <v>443</v>
      </c>
      <c r="C110" s="23" t="s">
        <v>444</v>
      </c>
      <c r="D110" s="24" t="s">
        <v>445</v>
      </c>
      <c r="E110" s="25">
        <v>490</v>
      </c>
      <c r="F110" s="25">
        <v>735.54</v>
      </c>
      <c r="G110" s="25">
        <v>245.54</v>
      </c>
      <c r="H110" s="26">
        <v>50.11</v>
      </c>
      <c r="I110" s="25">
        <v>890</v>
      </c>
      <c r="J110" s="25">
        <v>500</v>
      </c>
    </row>
    <row r="111" spans="1:10" ht="15.75" customHeight="1" x14ac:dyDescent="0.2">
      <c r="A111" s="27" t="s">
        <v>125</v>
      </c>
      <c r="B111" s="27" t="s">
        <v>446</v>
      </c>
      <c r="C111" s="27" t="s">
        <v>447</v>
      </c>
      <c r="D111" s="28" t="s">
        <v>448</v>
      </c>
      <c r="E111" s="29">
        <v>75</v>
      </c>
      <c r="F111" s="29">
        <v>111.57</v>
      </c>
      <c r="G111" s="29">
        <v>36.57</v>
      </c>
      <c r="H111" s="31">
        <v>48.76</v>
      </c>
      <c r="I111" s="29">
        <v>135</v>
      </c>
      <c r="J111" s="29">
        <v>0</v>
      </c>
    </row>
    <row r="112" spans="1:10" ht="15.75" customHeight="1" x14ac:dyDescent="0.2">
      <c r="A112" s="23" t="s">
        <v>125</v>
      </c>
      <c r="B112" s="23" t="s">
        <v>449</v>
      </c>
      <c r="C112" s="23" t="s">
        <v>450</v>
      </c>
      <c r="D112" s="24" t="s">
        <v>451</v>
      </c>
      <c r="E112" s="25">
        <v>36</v>
      </c>
      <c r="F112" s="25">
        <v>53.72</v>
      </c>
      <c r="G112" s="25">
        <v>17.72</v>
      </c>
      <c r="H112" s="32">
        <v>49.22</v>
      </c>
      <c r="I112" s="25">
        <v>65</v>
      </c>
      <c r="J112" s="25">
        <v>0</v>
      </c>
    </row>
    <row r="113" spans="1:10" ht="15.75" customHeight="1" x14ac:dyDescent="0.2">
      <c r="A113" s="27" t="s">
        <v>125</v>
      </c>
      <c r="B113" s="27" t="s">
        <v>452</v>
      </c>
      <c r="C113" s="27" t="s">
        <v>453</v>
      </c>
      <c r="D113" s="28" t="s">
        <v>454</v>
      </c>
      <c r="E113" s="29">
        <v>99</v>
      </c>
      <c r="F113" s="29">
        <v>148.76</v>
      </c>
      <c r="G113" s="29">
        <v>49.76</v>
      </c>
      <c r="H113" s="30">
        <v>50.26</v>
      </c>
      <c r="I113" s="29">
        <v>180</v>
      </c>
      <c r="J113" s="29">
        <v>0</v>
      </c>
    </row>
    <row r="114" spans="1:10" ht="15.75" customHeight="1" x14ac:dyDescent="0.2">
      <c r="A114" s="23" t="s">
        <v>125</v>
      </c>
      <c r="B114" s="23" t="s">
        <v>455</v>
      </c>
      <c r="C114" s="23" t="s">
        <v>456</v>
      </c>
      <c r="D114" s="24" t="s">
        <v>457</v>
      </c>
      <c r="E114" s="25">
        <v>820</v>
      </c>
      <c r="F114" s="25">
        <v>1231.4000000000001</v>
      </c>
      <c r="G114" s="25">
        <v>411.4</v>
      </c>
      <c r="H114" s="26">
        <v>50.17</v>
      </c>
      <c r="I114" s="25">
        <v>1490</v>
      </c>
      <c r="J114" s="25">
        <v>0</v>
      </c>
    </row>
    <row r="115" spans="1:10" ht="15.75" customHeight="1" x14ac:dyDescent="0.2">
      <c r="A115" s="27" t="s">
        <v>125</v>
      </c>
      <c r="B115" s="27" t="s">
        <v>458</v>
      </c>
      <c r="C115" s="27" t="s">
        <v>459</v>
      </c>
      <c r="D115" s="28" t="s">
        <v>460</v>
      </c>
      <c r="E115" s="29">
        <v>1318</v>
      </c>
      <c r="F115" s="29">
        <v>1979.34</v>
      </c>
      <c r="G115" s="29">
        <v>661.34</v>
      </c>
      <c r="H115" s="30">
        <v>50.18</v>
      </c>
      <c r="I115" s="29">
        <v>2395</v>
      </c>
      <c r="J115" s="29">
        <v>0</v>
      </c>
    </row>
    <row r="116" spans="1:10" ht="15.75" customHeight="1" x14ac:dyDescent="0.2">
      <c r="A116" s="23" t="s">
        <v>125</v>
      </c>
      <c r="B116" s="23" t="s">
        <v>461</v>
      </c>
      <c r="C116" s="23" t="s">
        <v>462</v>
      </c>
      <c r="D116" s="24" t="s">
        <v>463</v>
      </c>
      <c r="E116" s="25">
        <v>193</v>
      </c>
      <c r="F116" s="25">
        <v>289.26</v>
      </c>
      <c r="G116" s="25">
        <v>96.26</v>
      </c>
      <c r="H116" s="32">
        <v>49.87</v>
      </c>
      <c r="I116" s="25">
        <v>350</v>
      </c>
      <c r="J116" s="25">
        <v>500</v>
      </c>
    </row>
    <row r="117" spans="1:10" ht="15.75" customHeight="1" x14ac:dyDescent="0.2">
      <c r="A117" s="27" t="s">
        <v>125</v>
      </c>
      <c r="B117" s="27" t="s">
        <v>464</v>
      </c>
      <c r="C117" s="27" t="s">
        <v>465</v>
      </c>
      <c r="D117" s="28" t="s">
        <v>466</v>
      </c>
      <c r="E117" s="29">
        <v>174</v>
      </c>
      <c r="F117" s="29">
        <v>260.33</v>
      </c>
      <c r="G117" s="29">
        <v>86.33</v>
      </c>
      <c r="H117" s="31">
        <v>49.62</v>
      </c>
      <c r="I117" s="29">
        <v>315</v>
      </c>
      <c r="J117" s="29">
        <v>500</v>
      </c>
    </row>
    <row r="118" spans="1:10" ht="15.75" customHeight="1" x14ac:dyDescent="0.2">
      <c r="D118" s="18" t="s">
        <v>814</v>
      </c>
      <c r="E118" s="19">
        <f>SUM(E2:E117)</f>
        <v>83245</v>
      </c>
      <c r="F118" s="19">
        <f>SUM(F2:F117)</f>
        <v>125016.47999999994</v>
      </c>
      <c r="G118" s="19">
        <f>SUM(G2:G117)</f>
        <v>41771.480000000047</v>
      </c>
      <c r="H118" s="20">
        <f>AVERAGE(H2:H117)</f>
        <v>50.075172413793148</v>
      </c>
    </row>
    <row r="119" spans="1:10" ht="15.75" customHeight="1" x14ac:dyDescent="0.2"/>
    <row r="120" spans="1:10" ht="15.75" customHeight="1" x14ac:dyDescent="0.2"/>
    <row r="121" spans="1:10" ht="15.75" customHeight="1" x14ac:dyDescent="0.2"/>
    <row r="122" spans="1:10" ht="15.75" customHeight="1" x14ac:dyDescent="0.2"/>
    <row r="123" spans="1:10" ht="15.75" customHeight="1" x14ac:dyDescent="0.2"/>
    <row r="124" spans="1:10" ht="15.75" customHeight="1" x14ac:dyDescent="0.2"/>
    <row r="125" spans="1:10" ht="15.75" customHeight="1" x14ac:dyDescent="0.2"/>
    <row r="126" spans="1:10" ht="15.75" customHeight="1" x14ac:dyDescent="0.2"/>
    <row r="127" spans="1:10" ht="15.75" customHeight="1" x14ac:dyDescent="0.2"/>
    <row r="128" spans="1:10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2" customWidth="1"/>
    <col min="2" max="2" width="45" customWidth="1"/>
    <col min="3" max="3" width="42" customWidth="1"/>
    <col min="4" max="4" width="52" customWidth="1"/>
    <col min="5" max="5" width="18" customWidth="1"/>
    <col min="6" max="6" width="20" customWidth="1"/>
    <col min="7" max="7" width="14" customWidth="1"/>
    <col min="8" max="8" width="12" customWidth="1"/>
    <col min="9" max="9" width="18" customWidth="1"/>
    <col min="10" max="10" width="14" customWidth="1"/>
    <col min="11" max="26" width="8.6640625" customWidth="1"/>
  </cols>
  <sheetData>
    <row r="1" spans="1:10" ht="31.5" customHeight="1" x14ac:dyDescent="0.2">
      <c r="A1" s="33" t="s">
        <v>111</v>
      </c>
      <c r="B1" s="33" t="s">
        <v>112</v>
      </c>
      <c r="C1" s="33" t="s">
        <v>113</v>
      </c>
      <c r="D1" s="33" t="s">
        <v>114</v>
      </c>
      <c r="E1" s="33" t="s">
        <v>115</v>
      </c>
      <c r="F1" s="33" t="s">
        <v>116</v>
      </c>
      <c r="G1" s="33" t="s">
        <v>117</v>
      </c>
      <c r="H1" s="33" t="s">
        <v>118</v>
      </c>
      <c r="I1" s="33" t="s">
        <v>119</v>
      </c>
      <c r="J1" s="33" t="s">
        <v>120</v>
      </c>
    </row>
    <row r="2" spans="1:10" ht="15.75" customHeight="1" x14ac:dyDescent="0.2">
      <c r="A2" s="34" t="s">
        <v>467</v>
      </c>
      <c r="B2" s="34" t="s">
        <v>468</v>
      </c>
      <c r="C2" s="34" t="s">
        <v>469</v>
      </c>
      <c r="D2" s="35" t="s">
        <v>470</v>
      </c>
      <c r="E2" s="36">
        <v>112.55</v>
      </c>
      <c r="F2" s="36">
        <v>230.73</v>
      </c>
      <c r="G2" s="36">
        <v>64.099999999999994</v>
      </c>
      <c r="H2" s="37">
        <v>56.95</v>
      </c>
      <c r="I2" s="36">
        <v>230.73</v>
      </c>
      <c r="J2" s="36">
        <v>0</v>
      </c>
    </row>
    <row r="3" spans="1:10" ht="15.75" customHeight="1" x14ac:dyDescent="0.2">
      <c r="A3" s="38" t="s">
        <v>467</v>
      </c>
      <c r="B3" s="38" t="s">
        <v>471</v>
      </c>
      <c r="C3" s="38" t="s">
        <v>472</v>
      </c>
      <c r="D3" s="39" t="s">
        <v>470</v>
      </c>
      <c r="E3" s="40">
        <v>117.05</v>
      </c>
      <c r="F3" s="40">
        <v>239.95</v>
      </c>
      <c r="G3" s="40">
        <v>66.66</v>
      </c>
      <c r="H3" s="41">
        <v>56.95</v>
      </c>
      <c r="I3" s="40">
        <v>239.95</v>
      </c>
      <c r="J3" s="40">
        <v>0</v>
      </c>
    </row>
    <row r="4" spans="1:10" ht="15.75" customHeight="1" x14ac:dyDescent="0.2">
      <c r="A4" s="34" t="s">
        <v>467</v>
      </c>
      <c r="B4" s="34" t="s">
        <v>473</v>
      </c>
      <c r="C4" s="34" t="s">
        <v>474</v>
      </c>
      <c r="D4" s="35" t="s">
        <v>470</v>
      </c>
      <c r="E4" s="36">
        <v>124.07</v>
      </c>
      <c r="F4" s="36">
        <v>254.34</v>
      </c>
      <c r="G4" s="36">
        <v>70.66</v>
      </c>
      <c r="H4" s="37">
        <v>56.95</v>
      </c>
      <c r="I4" s="36">
        <v>254.34</v>
      </c>
      <c r="J4" s="36">
        <v>0</v>
      </c>
    </row>
    <row r="5" spans="1:10" ht="15.75" customHeight="1" x14ac:dyDescent="0.2">
      <c r="A5" s="38" t="s">
        <v>467</v>
      </c>
      <c r="B5" s="38" t="s">
        <v>475</v>
      </c>
      <c r="C5" s="38" t="s">
        <v>476</v>
      </c>
      <c r="D5" s="39" t="s">
        <v>477</v>
      </c>
      <c r="E5" s="40">
        <v>107.1</v>
      </c>
      <c r="F5" s="40">
        <v>219.56</v>
      </c>
      <c r="G5" s="40">
        <v>60.99</v>
      </c>
      <c r="H5" s="41">
        <v>56.95</v>
      </c>
      <c r="I5" s="40">
        <v>219.56</v>
      </c>
      <c r="J5" s="40">
        <v>0</v>
      </c>
    </row>
    <row r="6" spans="1:10" ht="15.75" customHeight="1" x14ac:dyDescent="0.2">
      <c r="A6" s="34" t="s">
        <v>467</v>
      </c>
      <c r="B6" s="34" t="s">
        <v>475</v>
      </c>
      <c r="C6" s="34" t="s">
        <v>478</v>
      </c>
      <c r="D6" s="35" t="s">
        <v>477</v>
      </c>
      <c r="E6" s="36">
        <v>112.55</v>
      </c>
      <c r="F6" s="36">
        <v>230.73</v>
      </c>
      <c r="G6" s="36">
        <v>64.099999999999994</v>
      </c>
      <c r="H6" s="37">
        <v>56.95</v>
      </c>
      <c r="I6" s="36">
        <v>230.73</v>
      </c>
      <c r="J6" s="36">
        <v>0</v>
      </c>
    </row>
    <row r="7" spans="1:10" ht="15.75" customHeight="1" x14ac:dyDescent="0.2">
      <c r="A7" s="38" t="s">
        <v>467</v>
      </c>
      <c r="B7" s="38" t="s">
        <v>475</v>
      </c>
      <c r="C7" s="38" t="s">
        <v>479</v>
      </c>
      <c r="D7" s="39" t="s">
        <v>477</v>
      </c>
      <c r="E7" s="40">
        <v>93.89</v>
      </c>
      <c r="F7" s="40">
        <v>192.47</v>
      </c>
      <c r="G7" s="40">
        <v>53.47</v>
      </c>
      <c r="H7" s="41">
        <v>56.95</v>
      </c>
      <c r="I7" s="40">
        <v>192.47</v>
      </c>
      <c r="J7" s="40">
        <v>0</v>
      </c>
    </row>
    <row r="8" spans="1:10" ht="15.75" customHeight="1" x14ac:dyDescent="0.2">
      <c r="A8" s="34" t="s">
        <v>467</v>
      </c>
      <c r="B8" s="34" t="s">
        <v>475</v>
      </c>
      <c r="C8" s="34" t="s">
        <v>480</v>
      </c>
      <c r="D8" s="35" t="s">
        <v>477</v>
      </c>
      <c r="E8" s="36">
        <v>96.47</v>
      </c>
      <c r="F8" s="36">
        <v>197.76</v>
      </c>
      <c r="G8" s="36">
        <v>54.94</v>
      </c>
      <c r="H8" s="37">
        <v>56.95</v>
      </c>
      <c r="I8" s="36">
        <v>197.76</v>
      </c>
      <c r="J8" s="36">
        <v>0</v>
      </c>
    </row>
    <row r="9" spans="1:10" ht="15.75" customHeight="1" x14ac:dyDescent="0.2">
      <c r="A9" s="38" t="s">
        <v>467</v>
      </c>
      <c r="B9" s="38" t="s">
        <v>481</v>
      </c>
      <c r="C9" s="38" t="s">
        <v>482</v>
      </c>
      <c r="D9" s="39" t="s">
        <v>477</v>
      </c>
      <c r="E9" s="40">
        <v>106.97</v>
      </c>
      <c r="F9" s="40">
        <v>219.29</v>
      </c>
      <c r="G9" s="40">
        <v>60.92</v>
      </c>
      <c r="H9" s="41">
        <v>56.95</v>
      </c>
      <c r="I9" s="40">
        <v>219.29</v>
      </c>
      <c r="J9" s="40">
        <v>0</v>
      </c>
    </row>
    <row r="10" spans="1:10" ht="15.75" customHeight="1" x14ac:dyDescent="0.2">
      <c r="A10" s="34" t="s">
        <v>467</v>
      </c>
      <c r="B10" s="34" t="s">
        <v>481</v>
      </c>
      <c r="C10" s="34" t="s">
        <v>483</v>
      </c>
      <c r="D10" s="35" t="s">
        <v>477</v>
      </c>
      <c r="E10" s="36">
        <v>108.81</v>
      </c>
      <c r="F10" s="36">
        <v>223.06</v>
      </c>
      <c r="G10" s="36">
        <v>61.97</v>
      </c>
      <c r="H10" s="37">
        <v>56.95</v>
      </c>
      <c r="I10" s="36">
        <v>223.06</v>
      </c>
      <c r="J10" s="36">
        <v>0</v>
      </c>
    </row>
    <row r="11" spans="1:10" ht="15.75" customHeight="1" x14ac:dyDescent="0.2">
      <c r="A11" s="38" t="s">
        <v>467</v>
      </c>
      <c r="B11" s="38" t="s">
        <v>481</v>
      </c>
      <c r="C11" s="38" t="s">
        <v>484</v>
      </c>
      <c r="D11" s="39" t="s">
        <v>477</v>
      </c>
      <c r="E11" s="40">
        <v>93.34</v>
      </c>
      <c r="F11" s="40">
        <v>191.35</v>
      </c>
      <c r="G11" s="40">
        <v>53.16</v>
      </c>
      <c r="H11" s="41">
        <v>56.95</v>
      </c>
      <c r="I11" s="40">
        <v>191.35</v>
      </c>
      <c r="J11" s="40">
        <v>0</v>
      </c>
    </row>
    <row r="12" spans="1:10" ht="15.75" customHeight="1" x14ac:dyDescent="0.2">
      <c r="A12" s="34" t="s">
        <v>467</v>
      </c>
      <c r="B12" s="34" t="s">
        <v>481</v>
      </c>
      <c r="C12" s="34" t="s">
        <v>485</v>
      </c>
      <c r="D12" s="35" t="s">
        <v>477</v>
      </c>
      <c r="E12" s="36">
        <v>96.2</v>
      </c>
      <c r="F12" s="36">
        <v>197.21</v>
      </c>
      <c r="G12" s="36">
        <v>54.79</v>
      </c>
      <c r="H12" s="37">
        <v>56.95</v>
      </c>
      <c r="I12" s="36">
        <v>197.21</v>
      </c>
      <c r="J12" s="36">
        <v>0</v>
      </c>
    </row>
    <row r="13" spans="1:10" ht="15.75" customHeight="1" x14ac:dyDescent="0.2">
      <c r="A13" s="38" t="s">
        <v>467</v>
      </c>
      <c r="B13" s="38" t="s">
        <v>471</v>
      </c>
      <c r="C13" s="38" t="s">
        <v>472</v>
      </c>
      <c r="D13" s="39" t="s">
        <v>486</v>
      </c>
      <c r="E13" s="40">
        <v>82.85</v>
      </c>
      <c r="F13" s="40">
        <v>169.84</v>
      </c>
      <c r="G13" s="40">
        <v>47.18</v>
      </c>
      <c r="H13" s="41">
        <v>56.95</v>
      </c>
      <c r="I13" s="40">
        <v>169.84</v>
      </c>
      <c r="J13" s="40">
        <v>0</v>
      </c>
    </row>
    <row r="14" spans="1:10" ht="15.75" customHeight="1" x14ac:dyDescent="0.2">
      <c r="A14" s="34" t="s">
        <v>467</v>
      </c>
      <c r="B14" s="34" t="s">
        <v>487</v>
      </c>
      <c r="C14" s="34" t="s">
        <v>488</v>
      </c>
      <c r="D14" s="35" t="s">
        <v>486</v>
      </c>
      <c r="E14" s="36">
        <v>89.39</v>
      </c>
      <c r="F14" s="36">
        <v>183.25</v>
      </c>
      <c r="G14" s="36">
        <v>50.91</v>
      </c>
      <c r="H14" s="37">
        <v>56.95</v>
      </c>
      <c r="I14" s="36">
        <v>183.25</v>
      </c>
      <c r="J14" s="36">
        <v>0</v>
      </c>
    </row>
    <row r="15" spans="1:10" ht="15.75" customHeight="1" x14ac:dyDescent="0.2">
      <c r="A15" s="38" t="s">
        <v>467</v>
      </c>
      <c r="B15" s="38" t="s">
        <v>489</v>
      </c>
      <c r="C15" s="38" t="s">
        <v>490</v>
      </c>
      <c r="D15" s="39" t="s">
        <v>486</v>
      </c>
      <c r="E15" s="40">
        <v>94.7</v>
      </c>
      <c r="F15" s="40">
        <v>194.14</v>
      </c>
      <c r="G15" s="40">
        <v>53.93</v>
      </c>
      <c r="H15" s="41">
        <v>56.95</v>
      </c>
      <c r="I15" s="40">
        <v>194.14</v>
      </c>
      <c r="J15" s="40">
        <v>0</v>
      </c>
    </row>
    <row r="16" spans="1:10" ht="15.75" customHeight="1" x14ac:dyDescent="0.2">
      <c r="A16" s="34" t="s">
        <v>467</v>
      </c>
      <c r="B16" s="34" t="s">
        <v>489</v>
      </c>
      <c r="C16" s="34" t="s">
        <v>491</v>
      </c>
      <c r="D16" s="35" t="s">
        <v>486</v>
      </c>
      <c r="E16" s="36">
        <v>98.52</v>
      </c>
      <c r="F16" s="36">
        <v>201.97</v>
      </c>
      <c r="G16" s="36">
        <v>56.11</v>
      </c>
      <c r="H16" s="37">
        <v>56.95</v>
      </c>
      <c r="I16" s="36">
        <v>201.97</v>
      </c>
      <c r="J16" s="36">
        <v>0</v>
      </c>
    </row>
    <row r="17" spans="1:10" ht="15.75" customHeight="1" x14ac:dyDescent="0.2">
      <c r="A17" s="38" t="s">
        <v>467</v>
      </c>
      <c r="B17" s="38" t="s">
        <v>492</v>
      </c>
      <c r="C17" s="38" t="s">
        <v>493</v>
      </c>
      <c r="D17" s="39" t="s">
        <v>486</v>
      </c>
      <c r="E17" s="40">
        <v>97.43</v>
      </c>
      <c r="F17" s="40">
        <v>199.73</v>
      </c>
      <c r="G17" s="40">
        <v>55.49</v>
      </c>
      <c r="H17" s="41">
        <v>56.95</v>
      </c>
      <c r="I17" s="40">
        <v>199.73</v>
      </c>
      <c r="J17" s="40">
        <v>0</v>
      </c>
    </row>
    <row r="18" spans="1:10" ht="15.75" customHeight="1" x14ac:dyDescent="0.2">
      <c r="A18" s="34" t="s">
        <v>467</v>
      </c>
      <c r="B18" s="34" t="s">
        <v>494</v>
      </c>
      <c r="C18" s="34" t="s">
        <v>495</v>
      </c>
      <c r="D18" s="35" t="s">
        <v>470</v>
      </c>
      <c r="E18" s="36">
        <v>215.24</v>
      </c>
      <c r="F18" s="36">
        <v>441.24</v>
      </c>
      <c r="G18" s="36">
        <v>122.58</v>
      </c>
      <c r="H18" s="37">
        <v>56.95</v>
      </c>
      <c r="I18" s="36">
        <v>441.24</v>
      </c>
      <c r="J18" s="36">
        <v>0</v>
      </c>
    </row>
    <row r="19" spans="1:10" ht="15.75" customHeight="1" x14ac:dyDescent="0.2">
      <c r="A19" s="38" t="s">
        <v>467</v>
      </c>
      <c r="B19" s="38" t="s">
        <v>494</v>
      </c>
      <c r="C19" s="38" t="s">
        <v>496</v>
      </c>
      <c r="D19" s="39" t="s">
        <v>470</v>
      </c>
      <c r="E19" s="40">
        <v>225.25</v>
      </c>
      <c r="F19" s="40">
        <v>461.76</v>
      </c>
      <c r="G19" s="40">
        <v>128.28</v>
      </c>
      <c r="H19" s="41">
        <v>56.95</v>
      </c>
      <c r="I19" s="40">
        <v>461.76</v>
      </c>
      <c r="J19" s="40">
        <v>0</v>
      </c>
    </row>
    <row r="20" spans="1:10" ht="15.75" customHeight="1" x14ac:dyDescent="0.2">
      <c r="A20" s="34" t="s">
        <v>467</v>
      </c>
      <c r="B20" s="34" t="s">
        <v>497</v>
      </c>
      <c r="C20" s="34" t="s">
        <v>498</v>
      </c>
      <c r="D20" s="35" t="s">
        <v>499</v>
      </c>
      <c r="E20" s="36">
        <v>287.64</v>
      </c>
      <c r="F20" s="36">
        <v>589.66</v>
      </c>
      <c r="G20" s="36">
        <v>163.81</v>
      </c>
      <c r="H20" s="37">
        <v>56.95</v>
      </c>
      <c r="I20" s="36">
        <v>589.66</v>
      </c>
      <c r="J20" s="36">
        <v>0</v>
      </c>
    </row>
    <row r="21" spans="1:10" ht="15.75" customHeight="1" x14ac:dyDescent="0.2">
      <c r="A21" s="38" t="s">
        <v>467</v>
      </c>
      <c r="B21" s="38" t="s">
        <v>497</v>
      </c>
      <c r="C21" s="38" t="s">
        <v>500</v>
      </c>
      <c r="D21" s="39" t="s">
        <v>501</v>
      </c>
      <c r="E21" s="40">
        <v>315.63</v>
      </c>
      <c r="F21" s="40">
        <v>647.04</v>
      </c>
      <c r="G21" s="40">
        <v>179.75</v>
      </c>
      <c r="H21" s="41">
        <v>56.95</v>
      </c>
      <c r="I21" s="40">
        <v>647.04</v>
      </c>
      <c r="J21" s="40">
        <v>0</v>
      </c>
    </row>
    <row r="22" spans="1:10" ht="15.75" customHeight="1" x14ac:dyDescent="0.2">
      <c r="A22" s="34" t="s">
        <v>467</v>
      </c>
      <c r="B22" s="34" t="s">
        <v>502</v>
      </c>
      <c r="C22" s="34" t="s">
        <v>503</v>
      </c>
      <c r="D22" s="35" t="s">
        <v>504</v>
      </c>
      <c r="E22" s="36">
        <v>229.08</v>
      </c>
      <c r="F22" s="36">
        <v>469.61</v>
      </c>
      <c r="G22" s="36">
        <v>130.46</v>
      </c>
      <c r="H22" s="37">
        <v>56.95</v>
      </c>
      <c r="I22" s="36">
        <v>469.61</v>
      </c>
      <c r="J22" s="36">
        <v>0</v>
      </c>
    </row>
    <row r="23" spans="1:10" ht="15.75" customHeight="1" x14ac:dyDescent="0.2">
      <c r="A23" s="38" t="s">
        <v>467</v>
      </c>
      <c r="B23" s="38" t="s">
        <v>502</v>
      </c>
      <c r="C23" s="38" t="s">
        <v>505</v>
      </c>
      <c r="D23" s="39" t="s">
        <v>501</v>
      </c>
      <c r="E23" s="40">
        <v>252.74</v>
      </c>
      <c r="F23" s="40">
        <v>518.12</v>
      </c>
      <c r="G23" s="40">
        <v>143.93</v>
      </c>
      <c r="H23" s="41">
        <v>56.95</v>
      </c>
      <c r="I23" s="40">
        <v>518.12</v>
      </c>
      <c r="J23" s="40">
        <v>0</v>
      </c>
    </row>
    <row r="24" spans="1:10" ht="15.75" customHeight="1" x14ac:dyDescent="0.2">
      <c r="A24" s="34" t="s">
        <v>467</v>
      </c>
      <c r="B24" s="34" t="s">
        <v>506</v>
      </c>
      <c r="C24" s="34" t="s">
        <v>507</v>
      </c>
      <c r="D24" s="35" t="s">
        <v>504</v>
      </c>
      <c r="E24" s="36">
        <v>248.76</v>
      </c>
      <c r="F24" s="36">
        <v>509.96</v>
      </c>
      <c r="G24" s="36">
        <v>141.66999999999999</v>
      </c>
      <c r="H24" s="37">
        <v>56.95</v>
      </c>
      <c r="I24" s="36">
        <v>509.96</v>
      </c>
      <c r="J24" s="36">
        <v>0</v>
      </c>
    </row>
    <row r="25" spans="1:10" ht="15.75" customHeight="1" x14ac:dyDescent="0.2">
      <c r="A25" s="38" t="s">
        <v>467</v>
      </c>
      <c r="B25" s="38" t="s">
        <v>506</v>
      </c>
      <c r="C25" s="38" t="s">
        <v>508</v>
      </c>
      <c r="D25" s="39" t="s">
        <v>501</v>
      </c>
      <c r="E25" s="40">
        <v>266.56</v>
      </c>
      <c r="F25" s="40">
        <v>546.45000000000005</v>
      </c>
      <c r="G25" s="40">
        <v>151.81</v>
      </c>
      <c r="H25" s="41">
        <v>56.95</v>
      </c>
      <c r="I25" s="40">
        <v>546.45000000000005</v>
      </c>
      <c r="J25" s="40">
        <v>0</v>
      </c>
    </row>
    <row r="26" spans="1:10" ht="15.75" customHeight="1" x14ac:dyDescent="0.2">
      <c r="A26" s="34" t="s">
        <v>467</v>
      </c>
      <c r="B26" s="34" t="s">
        <v>509</v>
      </c>
      <c r="C26" s="34" t="s">
        <v>510</v>
      </c>
      <c r="D26" s="35" t="s">
        <v>511</v>
      </c>
      <c r="E26" s="36">
        <v>337.77</v>
      </c>
      <c r="F26" s="36">
        <v>692.43</v>
      </c>
      <c r="G26" s="36">
        <v>192.36</v>
      </c>
      <c r="H26" s="37">
        <v>56.95</v>
      </c>
      <c r="I26" s="36">
        <v>692.43</v>
      </c>
      <c r="J26" s="36">
        <v>0</v>
      </c>
    </row>
    <row r="27" spans="1:10" ht="15.75" customHeight="1" x14ac:dyDescent="0.2">
      <c r="A27" s="38" t="s">
        <v>467</v>
      </c>
      <c r="B27" s="38" t="s">
        <v>512</v>
      </c>
      <c r="C27" s="38" t="s">
        <v>513</v>
      </c>
      <c r="D27" s="39" t="s">
        <v>514</v>
      </c>
      <c r="E27" s="40">
        <v>173.92</v>
      </c>
      <c r="F27" s="40">
        <v>356.54</v>
      </c>
      <c r="G27" s="40">
        <v>99.05</v>
      </c>
      <c r="H27" s="41">
        <v>56.95</v>
      </c>
      <c r="I27" s="40">
        <v>356.54</v>
      </c>
      <c r="J27" s="40">
        <v>0</v>
      </c>
    </row>
    <row r="28" spans="1:10" ht="15.75" customHeight="1" x14ac:dyDescent="0.2">
      <c r="A28" s="34" t="s">
        <v>467</v>
      </c>
      <c r="B28" s="34" t="s">
        <v>515</v>
      </c>
      <c r="C28" s="34" t="s">
        <v>516</v>
      </c>
      <c r="D28" s="35" t="s">
        <v>517</v>
      </c>
      <c r="E28" s="36">
        <v>226.62</v>
      </c>
      <c r="F28" s="36">
        <v>464.57</v>
      </c>
      <c r="G28" s="36">
        <v>129.06</v>
      </c>
      <c r="H28" s="37">
        <v>56.95</v>
      </c>
      <c r="I28" s="36">
        <v>464.57</v>
      </c>
      <c r="J28" s="36">
        <v>0</v>
      </c>
    </row>
    <row r="29" spans="1:10" ht="15.75" customHeight="1" x14ac:dyDescent="0.2">
      <c r="A29" s="38" t="s">
        <v>467</v>
      </c>
      <c r="B29" s="38" t="s">
        <v>518</v>
      </c>
      <c r="C29" s="38" t="s">
        <v>519</v>
      </c>
      <c r="D29" s="39" t="s">
        <v>520</v>
      </c>
      <c r="E29" s="40">
        <v>140.88999999999999</v>
      </c>
      <c r="F29" s="40">
        <v>288.82</v>
      </c>
      <c r="G29" s="40">
        <v>80.239999999999995</v>
      </c>
      <c r="H29" s="41">
        <v>56.95</v>
      </c>
      <c r="I29" s="40">
        <v>288.82</v>
      </c>
      <c r="J29" s="40">
        <v>0</v>
      </c>
    </row>
    <row r="30" spans="1:10" ht="15.75" customHeight="1" x14ac:dyDescent="0.2">
      <c r="A30" s="34" t="s">
        <v>467</v>
      </c>
      <c r="B30" s="34" t="s">
        <v>521</v>
      </c>
      <c r="C30" s="34" t="s">
        <v>522</v>
      </c>
      <c r="D30" s="35" t="s">
        <v>523</v>
      </c>
      <c r="E30" s="36">
        <v>139.66999999999999</v>
      </c>
      <c r="F30" s="36">
        <v>286.32</v>
      </c>
      <c r="G30" s="36">
        <v>79.540000000000006</v>
      </c>
      <c r="H30" s="37">
        <v>56.95</v>
      </c>
      <c r="I30" s="36">
        <v>286.32</v>
      </c>
      <c r="J30" s="36">
        <v>0</v>
      </c>
    </row>
    <row r="31" spans="1:10" ht="15.75" customHeight="1" x14ac:dyDescent="0.2">
      <c r="A31" s="38" t="s">
        <v>467</v>
      </c>
      <c r="B31" s="38" t="s">
        <v>524</v>
      </c>
      <c r="C31" s="38" t="s">
        <v>525</v>
      </c>
      <c r="D31" s="39" t="s">
        <v>526</v>
      </c>
      <c r="E31" s="40">
        <v>114.6</v>
      </c>
      <c r="F31" s="40">
        <v>234.93</v>
      </c>
      <c r="G31" s="40">
        <v>65.260000000000005</v>
      </c>
      <c r="H31" s="41">
        <v>56.95</v>
      </c>
      <c r="I31" s="40">
        <v>234.93</v>
      </c>
      <c r="J31" s="40">
        <v>0</v>
      </c>
    </row>
    <row r="32" spans="1:10" ht="15.75" customHeight="1" x14ac:dyDescent="0.2">
      <c r="A32" s="34" t="s">
        <v>467</v>
      </c>
      <c r="B32" s="34" t="s">
        <v>527</v>
      </c>
      <c r="C32" s="34" t="s">
        <v>528</v>
      </c>
      <c r="D32" s="35" t="s">
        <v>529</v>
      </c>
      <c r="E32" s="36">
        <v>1073.6099999999999</v>
      </c>
      <c r="F32" s="36">
        <v>2200.9</v>
      </c>
      <c r="G32" s="36">
        <v>611.41999999999996</v>
      </c>
      <c r="H32" s="37">
        <v>56.95</v>
      </c>
      <c r="I32" s="36">
        <v>2200.9</v>
      </c>
      <c r="J32" s="36">
        <v>0</v>
      </c>
    </row>
    <row r="33" spans="1:10" ht="15.75" customHeight="1" x14ac:dyDescent="0.2">
      <c r="A33" s="38" t="s">
        <v>467</v>
      </c>
      <c r="B33" s="38" t="s">
        <v>530</v>
      </c>
      <c r="C33" s="38" t="s">
        <v>531</v>
      </c>
      <c r="D33" s="39" t="s">
        <v>532</v>
      </c>
      <c r="E33" s="40">
        <v>1510.81</v>
      </c>
      <c r="F33" s="40">
        <v>3097.16</v>
      </c>
      <c r="G33" s="40">
        <v>860.41</v>
      </c>
      <c r="H33" s="41">
        <v>56.95</v>
      </c>
      <c r="I33" s="40">
        <v>3097.16</v>
      </c>
      <c r="J33" s="40">
        <v>0</v>
      </c>
    </row>
    <row r="34" spans="1:10" ht="15.75" customHeight="1" x14ac:dyDescent="0.2">
      <c r="A34" s="34" t="s">
        <v>467</v>
      </c>
      <c r="B34" s="34" t="s">
        <v>533</v>
      </c>
      <c r="C34" s="34" t="s">
        <v>534</v>
      </c>
      <c r="D34" s="35" t="s">
        <v>535</v>
      </c>
      <c r="E34" s="36">
        <v>100.25</v>
      </c>
      <c r="F34" s="36">
        <v>205.51</v>
      </c>
      <c r="G34" s="36">
        <v>57.09</v>
      </c>
      <c r="H34" s="37">
        <v>56.95</v>
      </c>
      <c r="I34" s="36">
        <v>205.51</v>
      </c>
      <c r="J34" s="36">
        <v>0</v>
      </c>
    </row>
    <row r="35" spans="1:10" ht="15.75" customHeight="1" x14ac:dyDescent="0.2">
      <c r="A35" s="38" t="s">
        <v>467</v>
      </c>
      <c r="B35" s="38" t="s">
        <v>536</v>
      </c>
      <c r="C35" s="38" t="s">
        <v>537</v>
      </c>
      <c r="D35" s="39" t="s">
        <v>538</v>
      </c>
      <c r="E35" s="40">
        <v>97.71</v>
      </c>
      <c r="F35" s="40">
        <v>200.31</v>
      </c>
      <c r="G35" s="40">
        <v>55.64</v>
      </c>
      <c r="H35" s="41">
        <v>56.95</v>
      </c>
      <c r="I35" s="40">
        <v>200.31</v>
      </c>
      <c r="J35" s="40">
        <v>0</v>
      </c>
    </row>
    <row r="36" spans="1:10" ht="15.75" customHeight="1" x14ac:dyDescent="0.2">
      <c r="A36" s="34" t="s">
        <v>467</v>
      </c>
      <c r="B36" s="34" t="s">
        <v>539</v>
      </c>
      <c r="C36" s="34" t="s">
        <v>540</v>
      </c>
      <c r="D36" s="35" t="s">
        <v>538</v>
      </c>
      <c r="E36" s="36">
        <v>102.17</v>
      </c>
      <c r="F36" s="36">
        <v>209.45</v>
      </c>
      <c r="G36" s="36">
        <v>58.19</v>
      </c>
      <c r="H36" s="37">
        <v>56.95</v>
      </c>
      <c r="I36" s="36">
        <v>209.45</v>
      </c>
      <c r="J36" s="36">
        <v>0</v>
      </c>
    </row>
    <row r="37" spans="1:10" ht="15.75" customHeight="1" x14ac:dyDescent="0.2">
      <c r="A37" s="38" t="s">
        <v>467</v>
      </c>
      <c r="B37" s="38" t="s">
        <v>541</v>
      </c>
      <c r="C37" s="38" t="s">
        <v>542</v>
      </c>
      <c r="D37" s="39" t="s">
        <v>543</v>
      </c>
      <c r="E37" s="40">
        <v>41.58</v>
      </c>
      <c r="F37" s="40">
        <v>85.24</v>
      </c>
      <c r="G37" s="40">
        <v>23.68</v>
      </c>
      <c r="H37" s="41">
        <v>56.95</v>
      </c>
      <c r="I37" s="40">
        <v>85.24</v>
      </c>
      <c r="J37" s="40">
        <v>0</v>
      </c>
    </row>
    <row r="38" spans="1:10" ht="15.75" customHeight="1" x14ac:dyDescent="0.2">
      <c r="A38" s="34" t="s">
        <v>467</v>
      </c>
      <c r="B38" s="34" t="s">
        <v>541</v>
      </c>
      <c r="C38" s="34" t="s">
        <v>544</v>
      </c>
      <c r="D38" s="35" t="s">
        <v>543</v>
      </c>
      <c r="E38" s="36">
        <v>43.92</v>
      </c>
      <c r="F38" s="36">
        <v>90.04</v>
      </c>
      <c r="G38" s="36">
        <v>25.01</v>
      </c>
      <c r="H38" s="37">
        <v>56.95</v>
      </c>
      <c r="I38" s="36">
        <v>90.04</v>
      </c>
      <c r="J38" s="36">
        <v>0</v>
      </c>
    </row>
    <row r="39" spans="1:10" ht="15.75" customHeight="1" x14ac:dyDescent="0.2">
      <c r="A39" s="38" t="s">
        <v>467</v>
      </c>
      <c r="B39" s="38" t="s">
        <v>545</v>
      </c>
      <c r="C39" s="38" t="s">
        <v>546</v>
      </c>
      <c r="D39" s="39" t="s">
        <v>547</v>
      </c>
      <c r="E39" s="40">
        <v>54.81</v>
      </c>
      <c r="F39" s="40">
        <v>112.36</v>
      </c>
      <c r="G39" s="40">
        <v>31.21</v>
      </c>
      <c r="H39" s="41">
        <v>56.95</v>
      </c>
      <c r="I39" s="40">
        <v>112.36</v>
      </c>
      <c r="J39" s="40">
        <v>0</v>
      </c>
    </row>
    <row r="40" spans="1:10" ht="15.75" customHeight="1" x14ac:dyDescent="0.2">
      <c r="A40" s="34" t="s">
        <v>467</v>
      </c>
      <c r="B40" s="34" t="s">
        <v>545</v>
      </c>
      <c r="C40" s="34" t="s">
        <v>548</v>
      </c>
      <c r="D40" s="35" t="s">
        <v>547</v>
      </c>
      <c r="E40" s="36">
        <v>55.63</v>
      </c>
      <c r="F40" s="36">
        <v>114.04</v>
      </c>
      <c r="G40" s="36">
        <v>31.68</v>
      </c>
      <c r="H40" s="37">
        <v>56.95</v>
      </c>
      <c r="I40" s="36">
        <v>114.04</v>
      </c>
      <c r="J40" s="36">
        <v>0</v>
      </c>
    </row>
    <row r="41" spans="1:10" ht="15.75" customHeight="1" x14ac:dyDescent="0.2">
      <c r="A41" s="38" t="s">
        <v>467</v>
      </c>
      <c r="B41" s="38" t="s">
        <v>549</v>
      </c>
      <c r="C41" s="38" t="s">
        <v>550</v>
      </c>
      <c r="D41" s="39" t="s">
        <v>551</v>
      </c>
      <c r="E41" s="40">
        <v>17.170000000000002</v>
      </c>
      <c r="F41" s="40">
        <v>35.200000000000003</v>
      </c>
      <c r="G41" s="40">
        <v>9.7799999999999994</v>
      </c>
      <c r="H41" s="41">
        <v>56.95</v>
      </c>
      <c r="I41" s="40">
        <v>35.200000000000003</v>
      </c>
      <c r="J41" s="40">
        <v>0</v>
      </c>
    </row>
    <row r="42" spans="1:10" ht="15.75" customHeight="1" x14ac:dyDescent="0.2">
      <c r="A42" s="34" t="s">
        <v>467</v>
      </c>
      <c r="B42" s="34" t="s">
        <v>549</v>
      </c>
      <c r="C42" s="34" t="s">
        <v>552</v>
      </c>
      <c r="D42" s="35" t="s">
        <v>551</v>
      </c>
      <c r="E42" s="36">
        <v>20.77</v>
      </c>
      <c r="F42" s="36">
        <v>42.58</v>
      </c>
      <c r="G42" s="36">
        <v>11.83</v>
      </c>
      <c r="H42" s="37">
        <v>56.95</v>
      </c>
      <c r="I42" s="36">
        <v>42.58</v>
      </c>
      <c r="J42" s="36">
        <v>0</v>
      </c>
    </row>
    <row r="43" spans="1:10" ht="15.75" customHeight="1" x14ac:dyDescent="0.2">
      <c r="A43" s="38" t="s">
        <v>467</v>
      </c>
      <c r="B43" s="38" t="s">
        <v>553</v>
      </c>
      <c r="C43" s="38" t="s">
        <v>554</v>
      </c>
      <c r="D43" s="39" t="s">
        <v>555</v>
      </c>
      <c r="E43" s="40">
        <v>43.89</v>
      </c>
      <c r="F43" s="40">
        <v>89.97</v>
      </c>
      <c r="G43" s="40">
        <v>25</v>
      </c>
      <c r="H43" s="41">
        <v>56.95</v>
      </c>
      <c r="I43" s="40">
        <v>89.97</v>
      </c>
      <c r="J43" s="40">
        <v>0</v>
      </c>
    </row>
    <row r="44" spans="1:10" ht="15.75" customHeight="1" x14ac:dyDescent="0.2">
      <c r="A44" s="34" t="s">
        <v>467</v>
      </c>
      <c r="B44" s="34" t="s">
        <v>553</v>
      </c>
      <c r="C44" s="34" t="s">
        <v>556</v>
      </c>
      <c r="D44" s="35" t="s">
        <v>557</v>
      </c>
      <c r="E44" s="36">
        <v>52.19</v>
      </c>
      <c r="F44" s="36">
        <v>106.99</v>
      </c>
      <c r="G44" s="36">
        <v>29.72</v>
      </c>
      <c r="H44" s="37">
        <v>56.95</v>
      </c>
      <c r="I44" s="36">
        <v>106.99</v>
      </c>
      <c r="J44" s="36">
        <v>0</v>
      </c>
    </row>
    <row r="45" spans="1:10" ht="15.75" customHeight="1" x14ac:dyDescent="0.2">
      <c r="A45" s="38" t="s">
        <v>467</v>
      </c>
      <c r="B45" s="38" t="s">
        <v>558</v>
      </c>
      <c r="C45" s="38" t="s">
        <v>559</v>
      </c>
      <c r="D45" s="39" t="s">
        <v>560</v>
      </c>
      <c r="E45" s="40">
        <v>48.33</v>
      </c>
      <c r="F45" s="40">
        <v>99.08</v>
      </c>
      <c r="G45" s="40">
        <v>27.52</v>
      </c>
      <c r="H45" s="41">
        <v>56.95</v>
      </c>
      <c r="I45" s="40">
        <v>99.08</v>
      </c>
      <c r="J45" s="40">
        <v>0</v>
      </c>
    </row>
    <row r="46" spans="1:10" ht="15.75" customHeight="1" x14ac:dyDescent="0.2">
      <c r="A46" s="34" t="s">
        <v>467</v>
      </c>
      <c r="B46" s="34" t="s">
        <v>558</v>
      </c>
      <c r="C46" s="34" t="s">
        <v>561</v>
      </c>
      <c r="D46" s="35" t="s">
        <v>562</v>
      </c>
      <c r="E46" s="36">
        <v>49.44</v>
      </c>
      <c r="F46" s="36">
        <v>101.35</v>
      </c>
      <c r="G46" s="36">
        <v>28.16</v>
      </c>
      <c r="H46" s="37">
        <v>56.95</v>
      </c>
      <c r="I46" s="36">
        <v>101.35</v>
      </c>
      <c r="J46" s="36">
        <v>0</v>
      </c>
    </row>
    <row r="47" spans="1:10" ht="15.75" customHeight="1" x14ac:dyDescent="0.2">
      <c r="A47" s="38" t="s">
        <v>467</v>
      </c>
      <c r="B47" s="38" t="s">
        <v>558</v>
      </c>
      <c r="C47" s="38" t="s">
        <v>563</v>
      </c>
      <c r="D47" s="39" t="s">
        <v>562</v>
      </c>
      <c r="E47" s="40">
        <v>71.33</v>
      </c>
      <c r="F47" s="40">
        <v>146.22999999999999</v>
      </c>
      <c r="G47" s="40">
        <v>40.619999999999997</v>
      </c>
      <c r="H47" s="41">
        <v>56.95</v>
      </c>
      <c r="I47" s="40">
        <v>146.22999999999999</v>
      </c>
      <c r="J47" s="40">
        <v>0</v>
      </c>
    </row>
    <row r="48" spans="1:10" ht="15.75" customHeight="1" x14ac:dyDescent="0.2">
      <c r="A48" s="34" t="s">
        <v>467</v>
      </c>
      <c r="B48" s="34" t="s">
        <v>564</v>
      </c>
      <c r="C48" s="34" t="s">
        <v>565</v>
      </c>
      <c r="D48" s="35" t="s">
        <v>566</v>
      </c>
      <c r="E48" s="36">
        <v>40.56</v>
      </c>
      <c r="F48" s="36">
        <v>83.15</v>
      </c>
      <c r="G48" s="36">
        <v>23.1</v>
      </c>
      <c r="H48" s="37">
        <v>56.95</v>
      </c>
      <c r="I48" s="36">
        <v>83.15</v>
      </c>
      <c r="J48" s="36">
        <v>0</v>
      </c>
    </row>
    <row r="49" spans="1:10" ht="15.75" customHeight="1" x14ac:dyDescent="0.2">
      <c r="A49" s="38" t="s">
        <v>467</v>
      </c>
      <c r="B49" s="38" t="s">
        <v>567</v>
      </c>
      <c r="C49" s="38" t="s">
        <v>568</v>
      </c>
      <c r="D49" s="39" t="s">
        <v>569</v>
      </c>
      <c r="E49" s="40">
        <v>43.83</v>
      </c>
      <c r="F49" s="40">
        <v>89.85</v>
      </c>
      <c r="G49" s="40">
        <v>24.96</v>
      </c>
      <c r="H49" s="41">
        <v>56.95</v>
      </c>
      <c r="I49" s="40">
        <v>89.85</v>
      </c>
      <c r="J49" s="40">
        <v>0</v>
      </c>
    </row>
    <row r="50" spans="1:10" ht="15.75" customHeight="1" x14ac:dyDescent="0.2">
      <c r="A50" s="34" t="s">
        <v>467</v>
      </c>
      <c r="B50" s="34" t="s">
        <v>570</v>
      </c>
      <c r="C50" s="34" t="s">
        <v>571</v>
      </c>
      <c r="D50" s="35" t="s">
        <v>562</v>
      </c>
      <c r="E50" s="36">
        <v>55.51</v>
      </c>
      <c r="F50" s="36">
        <v>113.8</v>
      </c>
      <c r="G50" s="36">
        <v>31.61</v>
      </c>
      <c r="H50" s="37">
        <v>56.95</v>
      </c>
      <c r="I50" s="36">
        <v>113.8</v>
      </c>
      <c r="J50" s="36">
        <v>0</v>
      </c>
    </row>
    <row r="51" spans="1:10" ht="15.75" customHeight="1" x14ac:dyDescent="0.2">
      <c r="A51" s="38" t="s">
        <v>467</v>
      </c>
      <c r="B51" s="38" t="s">
        <v>572</v>
      </c>
      <c r="C51" s="38" t="s">
        <v>573</v>
      </c>
      <c r="D51" s="39" t="s">
        <v>574</v>
      </c>
      <c r="E51" s="40">
        <v>60.67</v>
      </c>
      <c r="F51" s="40">
        <v>124.37</v>
      </c>
      <c r="G51" s="40">
        <v>34.549999999999997</v>
      </c>
      <c r="H51" s="41">
        <v>56.95</v>
      </c>
      <c r="I51" s="40">
        <v>124.37</v>
      </c>
      <c r="J51" s="40">
        <v>0</v>
      </c>
    </row>
    <row r="52" spans="1:10" ht="15.75" customHeight="1" x14ac:dyDescent="0.2">
      <c r="A52" s="34" t="s">
        <v>467</v>
      </c>
      <c r="B52" s="34" t="s">
        <v>570</v>
      </c>
      <c r="C52" s="34" t="s">
        <v>571</v>
      </c>
      <c r="D52" s="35" t="s">
        <v>562</v>
      </c>
      <c r="E52" s="36">
        <v>122.56</v>
      </c>
      <c r="F52" s="36">
        <v>251.25</v>
      </c>
      <c r="G52" s="36">
        <v>69.8</v>
      </c>
      <c r="H52" s="37">
        <v>56.95</v>
      </c>
      <c r="I52" s="36">
        <v>251.25</v>
      </c>
      <c r="J52" s="36">
        <v>0</v>
      </c>
    </row>
    <row r="53" spans="1:10" ht="15.75" customHeight="1" x14ac:dyDescent="0.2">
      <c r="A53" s="38" t="s">
        <v>467</v>
      </c>
      <c r="B53" s="38" t="s">
        <v>575</v>
      </c>
      <c r="C53" s="38" t="s">
        <v>576</v>
      </c>
      <c r="D53" s="39" t="s">
        <v>577</v>
      </c>
      <c r="E53" s="40">
        <v>96.11</v>
      </c>
      <c r="F53" s="40">
        <v>197.03</v>
      </c>
      <c r="G53" s="40">
        <v>54.73</v>
      </c>
      <c r="H53" s="41">
        <v>56.95</v>
      </c>
      <c r="I53" s="40">
        <v>197.03</v>
      </c>
      <c r="J53" s="40">
        <v>0</v>
      </c>
    </row>
    <row r="54" spans="1:10" ht="15.75" customHeight="1" x14ac:dyDescent="0.2">
      <c r="A54" s="34" t="s">
        <v>467</v>
      </c>
      <c r="B54" s="34" t="s">
        <v>578</v>
      </c>
      <c r="C54" s="34" t="s">
        <v>579</v>
      </c>
      <c r="D54" s="35" t="s">
        <v>580</v>
      </c>
      <c r="E54" s="36">
        <v>67.33</v>
      </c>
      <c r="F54" s="36">
        <v>138.03</v>
      </c>
      <c r="G54" s="36">
        <v>38.340000000000003</v>
      </c>
      <c r="H54" s="37">
        <v>56.95</v>
      </c>
      <c r="I54" s="36">
        <v>138.03</v>
      </c>
      <c r="J54" s="36">
        <v>0</v>
      </c>
    </row>
    <row r="55" spans="1:10" ht="15.75" customHeight="1" x14ac:dyDescent="0.2">
      <c r="A55" s="38" t="s">
        <v>467</v>
      </c>
      <c r="B55" s="38" t="s">
        <v>581</v>
      </c>
      <c r="C55" s="38" t="s">
        <v>582</v>
      </c>
      <c r="D55" s="39" t="s">
        <v>583</v>
      </c>
      <c r="E55" s="40">
        <v>14.17</v>
      </c>
      <c r="F55" s="40">
        <v>29.05</v>
      </c>
      <c r="G55" s="40">
        <v>8.07</v>
      </c>
      <c r="H55" s="41">
        <v>56.95</v>
      </c>
      <c r="I55" s="40">
        <v>29.05</v>
      </c>
      <c r="J55" s="40">
        <v>0</v>
      </c>
    </row>
    <row r="56" spans="1:10" ht="15.75" customHeight="1" x14ac:dyDescent="0.2">
      <c r="A56" s="34" t="s">
        <v>467</v>
      </c>
      <c r="B56" s="34" t="s">
        <v>584</v>
      </c>
      <c r="C56" s="34" t="s">
        <v>585</v>
      </c>
      <c r="D56" s="35" t="s">
        <v>583</v>
      </c>
      <c r="E56" s="36">
        <v>14.95</v>
      </c>
      <c r="F56" s="36">
        <v>30.65</v>
      </c>
      <c r="G56" s="36">
        <v>8.51</v>
      </c>
      <c r="H56" s="37">
        <v>56.95</v>
      </c>
      <c r="I56" s="36">
        <v>30.65</v>
      </c>
      <c r="J56" s="36">
        <v>0</v>
      </c>
    </row>
    <row r="57" spans="1:10" ht="15.75" customHeight="1" x14ac:dyDescent="0.2">
      <c r="A57" s="38" t="s">
        <v>467</v>
      </c>
      <c r="B57" s="38" t="s">
        <v>586</v>
      </c>
      <c r="C57" s="38" t="s">
        <v>587</v>
      </c>
      <c r="D57" s="39" t="s">
        <v>588</v>
      </c>
      <c r="E57" s="40">
        <v>17.13</v>
      </c>
      <c r="F57" s="40">
        <v>35.119999999999997</v>
      </c>
      <c r="G57" s="40">
        <v>9.75</v>
      </c>
      <c r="H57" s="41">
        <v>56.95</v>
      </c>
      <c r="I57" s="40">
        <v>35.119999999999997</v>
      </c>
      <c r="J57" s="40">
        <v>0</v>
      </c>
    </row>
    <row r="58" spans="1:10" ht="15.75" customHeight="1" x14ac:dyDescent="0.2">
      <c r="A58" s="34" t="s">
        <v>467</v>
      </c>
      <c r="B58" s="34" t="s">
        <v>589</v>
      </c>
      <c r="C58" s="34" t="s">
        <v>590</v>
      </c>
      <c r="D58" s="35" t="s">
        <v>588</v>
      </c>
      <c r="E58" s="36">
        <v>17.63</v>
      </c>
      <c r="F58" s="36">
        <v>36.14</v>
      </c>
      <c r="G58" s="36">
        <v>10.039999999999999</v>
      </c>
      <c r="H58" s="37">
        <v>56.95</v>
      </c>
      <c r="I58" s="36">
        <v>36.14</v>
      </c>
      <c r="J58" s="36">
        <v>0</v>
      </c>
    </row>
    <row r="59" spans="1:10" ht="15.75" customHeight="1" x14ac:dyDescent="0.2">
      <c r="A59" s="38" t="s">
        <v>467</v>
      </c>
      <c r="B59" s="38" t="s">
        <v>591</v>
      </c>
      <c r="C59" s="38" t="s">
        <v>592</v>
      </c>
      <c r="D59" s="39" t="s">
        <v>588</v>
      </c>
      <c r="E59" s="40">
        <v>18.440000000000001</v>
      </c>
      <c r="F59" s="40">
        <v>37.799999999999997</v>
      </c>
      <c r="G59" s="40">
        <v>10.5</v>
      </c>
      <c r="H59" s="41">
        <v>56.95</v>
      </c>
      <c r="I59" s="40">
        <v>37.799999999999997</v>
      </c>
      <c r="J59" s="40">
        <v>0</v>
      </c>
    </row>
    <row r="60" spans="1:10" ht="15.75" customHeight="1" x14ac:dyDescent="0.2">
      <c r="A60" s="34" t="s">
        <v>467</v>
      </c>
      <c r="B60" s="34" t="s">
        <v>593</v>
      </c>
      <c r="C60" s="34" t="s">
        <v>594</v>
      </c>
      <c r="D60" s="35" t="s">
        <v>588</v>
      </c>
      <c r="E60" s="36">
        <v>19.36</v>
      </c>
      <c r="F60" s="36">
        <v>39.69</v>
      </c>
      <c r="G60" s="36">
        <v>11.03</v>
      </c>
      <c r="H60" s="37">
        <v>56.95</v>
      </c>
      <c r="I60" s="36">
        <v>39.69</v>
      </c>
      <c r="J60" s="36">
        <v>0</v>
      </c>
    </row>
    <row r="61" spans="1:10" ht="15.75" customHeight="1" x14ac:dyDescent="0.2">
      <c r="A61" s="38" t="s">
        <v>467</v>
      </c>
      <c r="B61" s="38" t="s">
        <v>595</v>
      </c>
      <c r="C61" s="38" t="s">
        <v>596</v>
      </c>
      <c r="D61" s="39" t="s">
        <v>597</v>
      </c>
      <c r="E61" s="40">
        <v>84.68</v>
      </c>
      <c r="F61" s="40">
        <v>173.59</v>
      </c>
      <c r="G61" s="40">
        <v>48.23</v>
      </c>
      <c r="H61" s="41">
        <v>56.95</v>
      </c>
      <c r="I61" s="40">
        <v>173.59</v>
      </c>
      <c r="J61" s="40">
        <v>0</v>
      </c>
    </row>
    <row r="62" spans="1:10" ht="15.75" customHeight="1" x14ac:dyDescent="0.2">
      <c r="A62" s="34" t="s">
        <v>467</v>
      </c>
      <c r="B62" s="34" t="s">
        <v>598</v>
      </c>
      <c r="C62" s="34" t="s">
        <v>599</v>
      </c>
      <c r="D62" s="35" t="s">
        <v>600</v>
      </c>
      <c r="E62" s="36">
        <v>69.97</v>
      </c>
      <c r="F62" s="36">
        <v>143.44</v>
      </c>
      <c r="G62" s="36">
        <v>39.85</v>
      </c>
      <c r="H62" s="37">
        <v>56.95</v>
      </c>
      <c r="I62" s="36">
        <v>143.44</v>
      </c>
      <c r="J62" s="36">
        <v>0</v>
      </c>
    </row>
    <row r="63" spans="1:10" ht="15.75" customHeight="1" x14ac:dyDescent="0.2">
      <c r="A63" s="38" t="s">
        <v>467</v>
      </c>
      <c r="B63" s="38" t="s">
        <v>601</v>
      </c>
      <c r="C63" s="38" t="s">
        <v>602</v>
      </c>
      <c r="D63" s="39" t="s">
        <v>600</v>
      </c>
      <c r="E63" s="40">
        <v>73.58</v>
      </c>
      <c r="F63" s="40">
        <v>150.84</v>
      </c>
      <c r="G63" s="40">
        <v>41.9</v>
      </c>
      <c r="H63" s="41">
        <v>56.95</v>
      </c>
      <c r="I63" s="40">
        <v>150.84</v>
      </c>
      <c r="J63" s="40">
        <v>0</v>
      </c>
    </row>
    <row r="64" spans="1:10" ht="15.75" customHeight="1" x14ac:dyDescent="0.2">
      <c r="A64" s="34" t="s">
        <v>467</v>
      </c>
      <c r="B64" s="34" t="s">
        <v>603</v>
      </c>
      <c r="C64" s="34" t="s">
        <v>604</v>
      </c>
      <c r="D64" s="35" t="s">
        <v>605</v>
      </c>
      <c r="E64" s="36">
        <v>89.71</v>
      </c>
      <c r="F64" s="36">
        <v>183.91</v>
      </c>
      <c r="G64" s="36">
        <v>51.09</v>
      </c>
      <c r="H64" s="37">
        <v>56.95</v>
      </c>
      <c r="I64" s="36">
        <v>183.91</v>
      </c>
      <c r="J64" s="36">
        <v>0</v>
      </c>
    </row>
    <row r="65" spans="1:10" ht="15.75" customHeight="1" x14ac:dyDescent="0.2">
      <c r="A65" s="38" t="s">
        <v>467</v>
      </c>
      <c r="B65" s="38" t="s">
        <v>603</v>
      </c>
      <c r="C65" s="38" t="s">
        <v>606</v>
      </c>
      <c r="D65" s="39" t="s">
        <v>605</v>
      </c>
      <c r="E65" s="40">
        <v>94.05</v>
      </c>
      <c r="F65" s="40">
        <v>192.8</v>
      </c>
      <c r="G65" s="40">
        <v>53.56</v>
      </c>
      <c r="H65" s="41">
        <v>56.95</v>
      </c>
      <c r="I65" s="40">
        <v>192.8</v>
      </c>
      <c r="J65" s="40">
        <v>0</v>
      </c>
    </row>
    <row r="66" spans="1:10" ht="15.75" customHeight="1" x14ac:dyDescent="0.2">
      <c r="A66" s="34" t="s">
        <v>467</v>
      </c>
      <c r="B66" s="34" t="s">
        <v>603</v>
      </c>
      <c r="C66" s="34" t="s">
        <v>607</v>
      </c>
      <c r="D66" s="35" t="s">
        <v>605</v>
      </c>
      <c r="E66" s="36">
        <v>84.79</v>
      </c>
      <c r="F66" s="36">
        <v>173.82</v>
      </c>
      <c r="G66" s="36">
        <v>48.29</v>
      </c>
      <c r="H66" s="37">
        <v>56.95</v>
      </c>
      <c r="I66" s="36">
        <v>173.82</v>
      </c>
      <c r="J66" s="36">
        <v>0</v>
      </c>
    </row>
    <row r="67" spans="1:10" ht="15.75" customHeight="1" x14ac:dyDescent="0.2">
      <c r="A67" s="38" t="s">
        <v>467</v>
      </c>
      <c r="B67" s="38" t="s">
        <v>608</v>
      </c>
      <c r="C67" s="38" t="s">
        <v>609</v>
      </c>
      <c r="D67" s="39" t="s">
        <v>610</v>
      </c>
      <c r="E67" s="40">
        <v>97.55</v>
      </c>
      <c r="F67" s="40">
        <v>199.98</v>
      </c>
      <c r="G67" s="40">
        <v>55.55</v>
      </c>
      <c r="H67" s="41">
        <v>56.95</v>
      </c>
      <c r="I67" s="40">
        <v>199.98</v>
      </c>
      <c r="J67" s="40">
        <v>0</v>
      </c>
    </row>
    <row r="68" spans="1:10" ht="15.75" customHeight="1" x14ac:dyDescent="0.2">
      <c r="A68" s="34" t="s">
        <v>467</v>
      </c>
      <c r="B68" s="34" t="s">
        <v>611</v>
      </c>
      <c r="C68" s="34" t="s">
        <v>612</v>
      </c>
      <c r="D68" s="35" t="s">
        <v>613</v>
      </c>
      <c r="E68" s="36">
        <v>101.49</v>
      </c>
      <c r="F68" s="36">
        <v>208.05</v>
      </c>
      <c r="G68" s="36">
        <v>57.8</v>
      </c>
      <c r="H68" s="37">
        <v>56.95</v>
      </c>
      <c r="I68" s="36">
        <v>208.05</v>
      </c>
      <c r="J68" s="36">
        <v>0</v>
      </c>
    </row>
    <row r="69" spans="1:10" ht="15.75" customHeight="1" x14ac:dyDescent="0.2">
      <c r="A69" s="38" t="s">
        <v>467</v>
      </c>
      <c r="B69" s="38" t="s">
        <v>614</v>
      </c>
      <c r="C69" s="38" t="s">
        <v>615</v>
      </c>
      <c r="D69" s="39" t="s">
        <v>616</v>
      </c>
      <c r="E69" s="40">
        <v>118.78</v>
      </c>
      <c r="F69" s="40">
        <v>243.5</v>
      </c>
      <c r="G69" s="40">
        <v>67.650000000000006</v>
      </c>
      <c r="H69" s="41">
        <v>56.95</v>
      </c>
      <c r="I69" s="40">
        <v>243.5</v>
      </c>
      <c r="J69" s="40">
        <v>0</v>
      </c>
    </row>
    <row r="70" spans="1:10" ht="15.75" customHeight="1" x14ac:dyDescent="0.2">
      <c r="A70" s="34" t="s">
        <v>467</v>
      </c>
      <c r="B70" s="34" t="s">
        <v>617</v>
      </c>
      <c r="C70" s="34" t="s">
        <v>618</v>
      </c>
      <c r="D70" s="35" t="s">
        <v>619</v>
      </c>
      <c r="E70" s="36">
        <v>118.31</v>
      </c>
      <c r="F70" s="36">
        <v>242.54</v>
      </c>
      <c r="G70" s="36">
        <v>67.38</v>
      </c>
      <c r="H70" s="37">
        <v>56.95</v>
      </c>
      <c r="I70" s="36">
        <v>242.54</v>
      </c>
      <c r="J70" s="36">
        <v>0</v>
      </c>
    </row>
    <row r="71" spans="1:10" ht="15.75" customHeight="1" x14ac:dyDescent="0.2">
      <c r="A71" s="38" t="s">
        <v>467</v>
      </c>
      <c r="B71" s="38" t="s">
        <v>620</v>
      </c>
      <c r="C71" s="38" t="s">
        <v>621</v>
      </c>
      <c r="D71" s="39" t="s">
        <v>622</v>
      </c>
      <c r="E71" s="40">
        <v>131.01</v>
      </c>
      <c r="F71" s="40">
        <v>268.57</v>
      </c>
      <c r="G71" s="40">
        <v>74.61</v>
      </c>
      <c r="H71" s="41">
        <v>56.95</v>
      </c>
      <c r="I71" s="40">
        <v>268.57</v>
      </c>
      <c r="J71" s="40">
        <v>0</v>
      </c>
    </row>
    <row r="72" spans="1:10" ht="15.75" customHeight="1" x14ac:dyDescent="0.2">
      <c r="A72" s="34" t="s">
        <v>467</v>
      </c>
      <c r="B72" s="34" t="s">
        <v>623</v>
      </c>
      <c r="C72" s="34" t="s">
        <v>624</v>
      </c>
      <c r="D72" s="35" t="s">
        <v>625</v>
      </c>
      <c r="E72" s="36">
        <v>169.64</v>
      </c>
      <c r="F72" s="36">
        <v>347.76</v>
      </c>
      <c r="G72" s="36">
        <v>96.61</v>
      </c>
      <c r="H72" s="37">
        <v>56.95</v>
      </c>
      <c r="I72" s="36">
        <v>347.76</v>
      </c>
      <c r="J72" s="36">
        <v>0</v>
      </c>
    </row>
    <row r="73" spans="1:10" ht="15.75" customHeight="1" x14ac:dyDescent="0.2">
      <c r="A73" s="38" t="s">
        <v>467</v>
      </c>
      <c r="B73" s="38" t="s">
        <v>626</v>
      </c>
      <c r="C73" s="38" t="s">
        <v>627</v>
      </c>
      <c r="D73" s="39" t="s">
        <v>628</v>
      </c>
      <c r="E73" s="40">
        <v>257.19</v>
      </c>
      <c r="F73" s="40">
        <v>527.24</v>
      </c>
      <c r="G73" s="40">
        <v>146.47</v>
      </c>
      <c r="H73" s="41">
        <v>56.95</v>
      </c>
      <c r="I73" s="40">
        <v>527.24</v>
      </c>
      <c r="J73" s="40">
        <v>0</v>
      </c>
    </row>
    <row r="74" spans="1:10" ht="15.75" customHeight="1" x14ac:dyDescent="0.2">
      <c r="A74" s="34" t="s">
        <v>467</v>
      </c>
      <c r="B74" s="34" t="s">
        <v>626</v>
      </c>
      <c r="C74" s="34" t="s">
        <v>629</v>
      </c>
      <c r="D74" s="35" t="s">
        <v>628</v>
      </c>
      <c r="E74" s="36">
        <v>290.22000000000003</v>
      </c>
      <c r="F74" s="36">
        <v>594.95000000000005</v>
      </c>
      <c r="G74" s="36">
        <v>165.28</v>
      </c>
      <c r="H74" s="37">
        <v>56.95</v>
      </c>
      <c r="I74" s="36">
        <v>594.95000000000005</v>
      </c>
      <c r="J74" s="36">
        <v>0</v>
      </c>
    </row>
    <row r="75" spans="1:10" ht="15.75" customHeight="1" x14ac:dyDescent="0.2">
      <c r="A75" s="38" t="s">
        <v>467</v>
      </c>
      <c r="B75" s="38" t="s">
        <v>626</v>
      </c>
      <c r="C75" s="38" t="s">
        <v>630</v>
      </c>
      <c r="D75" s="39" t="s">
        <v>631</v>
      </c>
      <c r="E75" s="40">
        <v>342.68</v>
      </c>
      <c r="F75" s="40">
        <v>702.49</v>
      </c>
      <c r="G75" s="40">
        <v>195.16</v>
      </c>
      <c r="H75" s="41">
        <v>56.95</v>
      </c>
      <c r="I75" s="40">
        <v>702.49</v>
      </c>
      <c r="J75" s="40">
        <v>0</v>
      </c>
    </row>
    <row r="76" spans="1:10" ht="15.75" customHeight="1" x14ac:dyDescent="0.2">
      <c r="A76" s="34" t="s">
        <v>467</v>
      </c>
      <c r="B76" s="34" t="s">
        <v>626</v>
      </c>
      <c r="C76" s="34" t="s">
        <v>632</v>
      </c>
      <c r="D76" s="35" t="s">
        <v>631</v>
      </c>
      <c r="E76" s="36">
        <v>396.09</v>
      </c>
      <c r="F76" s="36">
        <v>811.98</v>
      </c>
      <c r="G76" s="36">
        <v>225.57</v>
      </c>
      <c r="H76" s="37">
        <v>56.95</v>
      </c>
      <c r="I76" s="36">
        <v>811.98</v>
      </c>
      <c r="J76" s="36">
        <v>0</v>
      </c>
    </row>
    <row r="77" spans="1:10" ht="15.75" customHeight="1" x14ac:dyDescent="0.2">
      <c r="A77" s="38" t="s">
        <v>467</v>
      </c>
      <c r="B77" s="38" t="s">
        <v>626</v>
      </c>
      <c r="C77" s="38" t="s">
        <v>633</v>
      </c>
      <c r="D77" s="39" t="s">
        <v>634</v>
      </c>
      <c r="E77" s="40">
        <v>412.95</v>
      </c>
      <c r="F77" s="40">
        <v>846.55</v>
      </c>
      <c r="G77" s="40">
        <v>235.17</v>
      </c>
      <c r="H77" s="41">
        <v>56.95</v>
      </c>
      <c r="I77" s="40">
        <v>846.55</v>
      </c>
      <c r="J77" s="40">
        <v>0</v>
      </c>
    </row>
    <row r="78" spans="1:10" ht="15.75" customHeight="1" x14ac:dyDescent="0.2">
      <c r="A78" s="34" t="s">
        <v>467</v>
      </c>
      <c r="B78" s="34" t="s">
        <v>626</v>
      </c>
      <c r="C78" s="34" t="s">
        <v>635</v>
      </c>
      <c r="D78" s="35" t="s">
        <v>634</v>
      </c>
      <c r="E78" s="36">
        <v>479.59</v>
      </c>
      <c r="F78" s="36">
        <v>983.16</v>
      </c>
      <c r="G78" s="36">
        <v>273.13</v>
      </c>
      <c r="H78" s="37">
        <v>56.95</v>
      </c>
      <c r="I78" s="36">
        <v>983.16</v>
      </c>
      <c r="J78" s="36">
        <v>0</v>
      </c>
    </row>
    <row r="79" spans="1:10" ht="15.75" customHeight="1" x14ac:dyDescent="0.2">
      <c r="A79" s="38" t="s">
        <v>467</v>
      </c>
      <c r="B79" s="38" t="s">
        <v>626</v>
      </c>
      <c r="C79" s="38" t="s">
        <v>636</v>
      </c>
      <c r="D79" s="39" t="s">
        <v>637</v>
      </c>
      <c r="E79" s="40">
        <v>506.65</v>
      </c>
      <c r="F79" s="40">
        <v>1038.6300000000001</v>
      </c>
      <c r="G79" s="40">
        <v>288.54000000000002</v>
      </c>
      <c r="H79" s="41">
        <v>56.95</v>
      </c>
      <c r="I79" s="40">
        <v>1038.6300000000001</v>
      </c>
      <c r="J79" s="40">
        <v>0</v>
      </c>
    </row>
    <row r="80" spans="1:10" ht="15.75" customHeight="1" x14ac:dyDescent="0.2">
      <c r="A80" s="34" t="s">
        <v>467</v>
      </c>
      <c r="B80" s="34" t="s">
        <v>626</v>
      </c>
      <c r="C80" s="34" t="s">
        <v>638</v>
      </c>
      <c r="D80" s="35" t="s">
        <v>637</v>
      </c>
      <c r="E80" s="36">
        <v>603.5</v>
      </c>
      <c r="F80" s="36">
        <v>1237.18</v>
      </c>
      <c r="G80" s="36">
        <v>343.69</v>
      </c>
      <c r="H80" s="37">
        <v>56.95</v>
      </c>
      <c r="I80" s="36">
        <v>1237.18</v>
      </c>
      <c r="J80" s="36">
        <v>0</v>
      </c>
    </row>
    <row r="81" spans="1:10" ht="15.75" customHeight="1" x14ac:dyDescent="0.2">
      <c r="A81" s="38" t="s">
        <v>467</v>
      </c>
      <c r="B81" s="38" t="s">
        <v>639</v>
      </c>
      <c r="C81" s="38" t="s">
        <v>640</v>
      </c>
      <c r="D81" s="39" t="s">
        <v>641</v>
      </c>
      <c r="E81" s="40">
        <v>689</v>
      </c>
      <c r="F81" s="40">
        <v>1412.45</v>
      </c>
      <c r="G81" s="40">
        <v>392.39</v>
      </c>
      <c r="H81" s="41">
        <v>56.95</v>
      </c>
      <c r="I81" s="40">
        <v>1412.45</v>
      </c>
      <c r="J81" s="40">
        <v>0</v>
      </c>
    </row>
    <row r="82" spans="1:10" ht="15.75" customHeight="1" x14ac:dyDescent="0.2">
      <c r="A82" s="34" t="s">
        <v>467</v>
      </c>
      <c r="B82" s="34" t="s">
        <v>642</v>
      </c>
      <c r="C82" s="34" t="s">
        <v>643</v>
      </c>
      <c r="D82" s="35" t="s">
        <v>641</v>
      </c>
      <c r="E82" s="36">
        <v>694.04</v>
      </c>
      <c r="F82" s="36">
        <v>1422.78</v>
      </c>
      <c r="G82" s="36">
        <v>395.26</v>
      </c>
      <c r="H82" s="37">
        <v>56.95</v>
      </c>
      <c r="I82" s="36">
        <v>1422.78</v>
      </c>
      <c r="J82" s="36">
        <v>0</v>
      </c>
    </row>
    <row r="83" spans="1:10" ht="15.75" customHeight="1" x14ac:dyDescent="0.2">
      <c r="A83" s="38" t="s">
        <v>467</v>
      </c>
      <c r="B83" s="38" t="s">
        <v>644</v>
      </c>
      <c r="C83" s="38" t="s">
        <v>645</v>
      </c>
      <c r="D83" s="39" t="s">
        <v>646</v>
      </c>
      <c r="E83" s="40">
        <v>789.72</v>
      </c>
      <c r="F83" s="40">
        <v>1618.93</v>
      </c>
      <c r="G83" s="40">
        <v>449.74</v>
      </c>
      <c r="H83" s="41">
        <v>56.95</v>
      </c>
      <c r="I83" s="40">
        <v>1618.93</v>
      </c>
      <c r="J83" s="40">
        <v>0</v>
      </c>
    </row>
    <row r="84" spans="1:10" ht="15.75" customHeight="1" x14ac:dyDescent="0.2">
      <c r="A84" s="34" t="s">
        <v>467</v>
      </c>
      <c r="B84" s="34" t="s">
        <v>647</v>
      </c>
      <c r="C84" s="34" t="s">
        <v>648</v>
      </c>
      <c r="D84" s="35" t="s">
        <v>649</v>
      </c>
      <c r="E84" s="36">
        <v>1035.01</v>
      </c>
      <c r="F84" s="36">
        <v>2121.77</v>
      </c>
      <c r="G84" s="36">
        <v>589.44000000000005</v>
      </c>
      <c r="H84" s="37">
        <v>56.95</v>
      </c>
      <c r="I84" s="36">
        <v>2121.77</v>
      </c>
      <c r="J84" s="36">
        <v>0</v>
      </c>
    </row>
    <row r="85" spans="1:10" ht="15.75" customHeight="1" x14ac:dyDescent="0.2">
      <c r="A85" s="38" t="s">
        <v>467</v>
      </c>
      <c r="B85" s="38" t="s">
        <v>650</v>
      </c>
      <c r="C85" s="38" t="s">
        <v>651</v>
      </c>
      <c r="D85" s="39" t="s">
        <v>652</v>
      </c>
      <c r="E85" s="40">
        <v>975.21</v>
      </c>
      <c r="F85" s="40">
        <v>1999.18</v>
      </c>
      <c r="G85" s="40">
        <v>555.38</v>
      </c>
      <c r="H85" s="41">
        <v>56.95</v>
      </c>
      <c r="I85" s="40">
        <v>1999.18</v>
      </c>
      <c r="J85" s="40">
        <v>0</v>
      </c>
    </row>
    <row r="86" spans="1:10" ht="15.75" customHeight="1" x14ac:dyDescent="0.2">
      <c r="A86" s="34" t="s">
        <v>467</v>
      </c>
      <c r="B86" s="34" t="s">
        <v>653</v>
      </c>
      <c r="C86" s="34" t="s">
        <v>654</v>
      </c>
      <c r="D86" s="35" t="s">
        <v>652</v>
      </c>
      <c r="E86" s="36">
        <v>987.56</v>
      </c>
      <c r="F86" s="36">
        <v>2024.5</v>
      </c>
      <c r="G86" s="36">
        <v>562.41999999999996</v>
      </c>
      <c r="H86" s="37">
        <v>56.95</v>
      </c>
      <c r="I86" s="36">
        <v>2024.5</v>
      </c>
      <c r="J86" s="36">
        <v>0</v>
      </c>
    </row>
    <row r="87" spans="1:10" ht="15.75" customHeight="1" x14ac:dyDescent="0.2">
      <c r="A87" s="38" t="s">
        <v>467</v>
      </c>
      <c r="B87" s="38" t="s">
        <v>655</v>
      </c>
      <c r="C87" s="38" t="s">
        <v>656</v>
      </c>
      <c r="D87" s="39" t="s">
        <v>657</v>
      </c>
      <c r="E87" s="40">
        <v>1250.19</v>
      </c>
      <c r="F87" s="40">
        <v>2562.89</v>
      </c>
      <c r="G87" s="40">
        <v>711.98</v>
      </c>
      <c r="H87" s="41">
        <v>56.95</v>
      </c>
      <c r="I87" s="40">
        <v>2562.89</v>
      </c>
      <c r="J87" s="40">
        <v>0</v>
      </c>
    </row>
    <row r="88" spans="1:10" ht="15.75" customHeight="1" x14ac:dyDescent="0.2">
      <c r="A88" s="34" t="s">
        <v>467</v>
      </c>
      <c r="B88" s="34" t="s">
        <v>658</v>
      </c>
      <c r="C88" s="34" t="s">
        <v>659</v>
      </c>
      <c r="D88" s="35" t="s">
        <v>657</v>
      </c>
      <c r="E88" s="36">
        <v>1423.37</v>
      </c>
      <c r="F88" s="36">
        <v>2917.91</v>
      </c>
      <c r="G88" s="36">
        <v>810.61</v>
      </c>
      <c r="H88" s="37">
        <v>56.95</v>
      </c>
      <c r="I88" s="36">
        <v>2917.91</v>
      </c>
      <c r="J88" s="36">
        <v>0</v>
      </c>
    </row>
    <row r="89" spans="1:10" ht="15.75" customHeight="1" x14ac:dyDescent="0.2">
      <c r="A89" s="38" t="s">
        <v>467</v>
      </c>
      <c r="B89" s="38" t="s">
        <v>660</v>
      </c>
      <c r="C89" s="38" t="s">
        <v>661</v>
      </c>
      <c r="D89" s="39" t="s">
        <v>662</v>
      </c>
      <c r="E89" s="40">
        <v>273.99</v>
      </c>
      <c r="F89" s="40">
        <v>561.67999999999995</v>
      </c>
      <c r="G89" s="40">
        <v>156.04</v>
      </c>
      <c r="H89" s="41">
        <v>56.95</v>
      </c>
      <c r="I89" s="40">
        <v>561.67999999999995</v>
      </c>
      <c r="J89" s="40">
        <v>0</v>
      </c>
    </row>
    <row r="90" spans="1:10" ht="15.75" customHeight="1" x14ac:dyDescent="0.2">
      <c r="A90" s="34" t="s">
        <v>467</v>
      </c>
      <c r="B90" s="34" t="s">
        <v>663</v>
      </c>
      <c r="C90" s="34" t="s">
        <v>664</v>
      </c>
      <c r="D90" s="35" t="s">
        <v>662</v>
      </c>
      <c r="E90" s="36">
        <v>279.99</v>
      </c>
      <c r="F90" s="36">
        <v>573.98</v>
      </c>
      <c r="G90" s="36">
        <v>159.44999999999999</v>
      </c>
      <c r="H90" s="37">
        <v>56.95</v>
      </c>
      <c r="I90" s="36">
        <v>573.98</v>
      </c>
      <c r="J90" s="36">
        <v>0</v>
      </c>
    </row>
    <row r="91" spans="1:10" ht="15.75" customHeight="1" x14ac:dyDescent="0.2">
      <c r="A91" s="38" t="s">
        <v>467</v>
      </c>
      <c r="B91" s="38" t="s">
        <v>665</v>
      </c>
      <c r="C91" s="38" t="s">
        <v>666</v>
      </c>
      <c r="D91" s="39" t="s">
        <v>667</v>
      </c>
      <c r="E91" s="40">
        <v>187.58</v>
      </c>
      <c r="F91" s="40">
        <v>384.54</v>
      </c>
      <c r="G91" s="40">
        <v>106.83</v>
      </c>
      <c r="H91" s="41">
        <v>56.95</v>
      </c>
      <c r="I91" s="40">
        <v>384.54</v>
      </c>
      <c r="J91" s="40">
        <v>0</v>
      </c>
    </row>
    <row r="92" spans="1:10" ht="15.75" customHeight="1" x14ac:dyDescent="0.2">
      <c r="A92" s="34" t="s">
        <v>467</v>
      </c>
      <c r="B92" s="34" t="s">
        <v>668</v>
      </c>
      <c r="C92" s="34" t="s">
        <v>669</v>
      </c>
      <c r="D92" s="35" t="s">
        <v>667</v>
      </c>
      <c r="E92" s="36">
        <v>208.21</v>
      </c>
      <c r="F92" s="36">
        <v>426.83</v>
      </c>
      <c r="G92" s="36">
        <v>118.58</v>
      </c>
      <c r="H92" s="37">
        <v>56.95</v>
      </c>
      <c r="I92" s="36">
        <v>426.83</v>
      </c>
      <c r="J92" s="36">
        <v>0</v>
      </c>
    </row>
    <row r="93" spans="1:10" ht="15.75" customHeight="1" x14ac:dyDescent="0.2">
      <c r="A93" s="38" t="s">
        <v>467</v>
      </c>
      <c r="B93" s="38" t="s">
        <v>670</v>
      </c>
      <c r="C93" s="38" t="s">
        <v>671</v>
      </c>
      <c r="D93" s="39" t="s">
        <v>667</v>
      </c>
      <c r="E93" s="40">
        <v>207.97</v>
      </c>
      <c r="F93" s="40">
        <v>426.34</v>
      </c>
      <c r="G93" s="40">
        <v>118.44</v>
      </c>
      <c r="H93" s="41">
        <v>56.95</v>
      </c>
      <c r="I93" s="40">
        <v>426.34</v>
      </c>
      <c r="J93" s="40">
        <v>0</v>
      </c>
    </row>
    <row r="94" spans="1:10" ht="15.75" customHeight="1" x14ac:dyDescent="0.2">
      <c r="A94" s="34" t="s">
        <v>467</v>
      </c>
      <c r="B94" s="34" t="s">
        <v>672</v>
      </c>
      <c r="C94" s="34" t="s">
        <v>673</v>
      </c>
      <c r="D94" s="35" t="s">
        <v>667</v>
      </c>
      <c r="E94" s="36">
        <v>235.95</v>
      </c>
      <c r="F94" s="36">
        <v>483.7</v>
      </c>
      <c r="G94" s="36">
        <v>134.37</v>
      </c>
      <c r="H94" s="37">
        <v>56.95</v>
      </c>
      <c r="I94" s="36">
        <v>483.7</v>
      </c>
      <c r="J94" s="36">
        <v>0</v>
      </c>
    </row>
    <row r="95" spans="1:10" ht="15.75" customHeight="1" x14ac:dyDescent="0.2">
      <c r="A95" s="38" t="s">
        <v>467</v>
      </c>
      <c r="B95" s="38" t="s">
        <v>674</v>
      </c>
      <c r="C95" s="38" t="s">
        <v>675</v>
      </c>
      <c r="D95" s="39" t="s">
        <v>676</v>
      </c>
      <c r="E95" s="40">
        <v>209.41</v>
      </c>
      <c r="F95" s="40">
        <v>429.29</v>
      </c>
      <c r="G95" s="40">
        <v>119.26</v>
      </c>
      <c r="H95" s="41">
        <v>56.95</v>
      </c>
      <c r="I95" s="40">
        <v>429.29</v>
      </c>
      <c r="J95" s="40">
        <v>0</v>
      </c>
    </row>
    <row r="96" spans="1:10" ht="15.75" customHeight="1" x14ac:dyDescent="0.2">
      <c r="A96" s="34" t="s">
        <v>467</v>
      </c>
      <c r="B96" s="34" t="s">
        <v>674</v>
      </c>
      <c r="C96" s="34" t="s">
        <v>677</v>
      </c>
      <c r="D96" s="35" t="s">
        <v>676</v>
      </c>
      <c r="E96" s="36">
        <v>237.88</v>
      </c>
      <c r="F96" s="36">
        <v>487.65</v>
      </c>
      <c r="G96" s="36">
        <v>135.47</v>
      </c>
      <c r="H96" s="37">
        <v>56.95</v>
      </c>
      <c r="I96" s="36">
        <v>487.65</v>
      </c>
      <c r="J96" s="36">
        <v>0</v>
      </c>
    </row>
    <row r="97" spans="1:10" ht="15.75" customHeight="1" x14ac:dyDescent="0.2">
      <c r="A97" s="38" t="s">
        <v>467</v>
      </c>
      <c r="B97" s="38" t="s">
        <v>678</v>
      </c>
      <c r="C97" s="38" t="s">
        <v>679</v>
      </c>
      <c r="D97" s="39" t="s">
        <v>680</v>
      </c>
      <c r="E97" s="40">
        <v>203.29</v>
      </c>
      <c r="F97" s="40">
        <v>416.74</v>
      </c>
      <c r="G97" s="40">
        <v>115.77</v>
      </c>
      <c r="H97" s="41">
        <v>56.95</v>
      </c>
      <c r="I97" s="40">
        <v>416.74</v>
      </c>
      <c r="J97" s="40">
        <v>0</v>
      </c>
    </row>
    <row r="98" spans="1:10" ht="15.75" customHeight="1" x14ac:dyDescent="0.2">
      <c r="A98" s="34" t="s">
        <v>467</v>
      </c>
      <c r="B98" s="34" t="s">
        <v>678</v>
      </c>
      <c r="C98" s="34" t="s">
        <v>681</v>
      </c>
      <c r="D98" s="35" t="s">
        <v>680</v>
      </c>
      <c r="E98" s="36">
        <v>232.21</v>
      </c>
      <c r="F98" s="36">
        <v>476.03</v>
      </c>
      <c r="G98" s="36">
        <v>132.24</v>
      </c>
      <c r="H98" s="37">
        <v>56.95</v>
      </c>
      <c r="I98" s="36">
        <v>476.03</v>
      </c>
      <c r="J98" s="36">
        <v>0</v>
      </c>
    </row>
    <row r="99" spans="1:10" ht="15.75" customHeight="1" x14ac:dyDescent="0.2">
      <c r="A99" s="38" t="s">
        <v>467</v>
      </c>
      <c r="B99" s="38" t="s">
        <v>678</v>
      </c>
      <c r="C99" s="38" t="s">
        <v>682</v>
      </c>
      <c r="D99" s="39" t="s">
        <v>628</v>
      </c>
      <c r="E99" s="40">
        <v>218.28</v>
      </c>
      <c r="F99" s="40">
        <v>447.47</v>
      </c>
      <c r="G99" s="40">
        <v>124.31</v>
      </c>
      <c r="H99" s="41">
        <v>56.95</v>
      </c>
      <c r="I99" s="40">
        <v>447.47</v>
      </c>
      <c r="J99" s="40">
        <v>0</v>
      </c>
    </row>
    <row r="100" spans="1:10" ht="15.75" customHeight="1" x14ac:dyDescent="0.2">
      <c r="A100" s="34" t="s">
        <v>467</v>
      </c>
      <c r="B100" s="34" t="s">
        <v>678</v>
      </c>
      <c r="C100" s="34" t="s">
        <v>683</v>
      </c>
      <c r="D100" s="35" t="s">
        <v>628</v>
      </c>
      <c r="E100" s="36">
        <v>228.9</v>
      </c>
      <c r="F100" s="36">
        <v>469.25</v>
      </c>
      <c r="G100" s="36">
        <v>130.36000000000001</v>
      </c>
      <c r="H100" s="37">
        <v>56.95</v>
      </c>
      <c r="I100" s="36">
        <v>469.25</v>
      </c>
      <c r="J100" s="36">
        <v>0</v>
      </c>
    </row>
    <row r="101" spans="1:10" ht="15.75" customHeight="1" x14ac:dyDescent="0.2">
      <c r="A101" s="38" t="s">
        <v>467</v>
      </c>
      <c r="B101" s="38" t="s">
        <v>678</v>
      </c>
      <c r="C101" s="38" t="s">
        <v>684</v>
      </c>
      <c r="D101" s="39" t="s">
        <v>685</v>
      </c>
      <c r="E101" s="40">
        <v>285.52999999999997</v>
      </c>
      <c r="F101" s="40">
        <v>585.34</v>
      </c>
      <c r="G101" s="40">
        <v>162.61000000000001</v>
      </c>
      <c r="H101" s="41">
        <v>56.95</v>
      </c>
      <c r="I101" s="40">
        <v>585.34</v>
      </c>
      <c r="J101" s="40">
        <v>0</v>
      </c>
    </row>
    <row r="102" spans="1:10" ht="15.75" customHeight="1" x14ac:dyDescent="0.2">
      <c r="A102" s="34" t="s">
        <v>467</v>
      </c>
      <c r="B102" s="34" t="s">
        <v>678</v>
      </c>
      <c r="C102" s="34" t="s">
        <v>686</v>
      </c>
      <c r="D102" s="35" t="s">
        <v>685</v>
      </c>
      <c r="E102" s="36">
        <v>334.63</v>
      </c>
      <c r="F102" s="36">
        <v>685.99</v>
      </c>
      <c r="G102" s="36">
        <v>190.57</v>
      </c>
      <c r="H102" s="37">
        <v>56.95</v>
      </c>
      <c r="I102" s="36">
        <v>685.99</v>
      </c>
      <c r="J102" s="36">
        <v>0</v>
      </c>
    </row>
    <row r="103" spans="1:10" ht="15.75" customHeight="1" x14ac:dyDescent="0.2">
      <c r="A103" s="38" t="s">
        <v>467</v>
      </c>
      <c r="B103" s="38" t="s">
        <v>678</v>
      </c>
      <c r="C103" s="38" t="s">
        <v>687</v>
      </c>
      <c r="D103" s="39" t="s">
        <v>685</v>
      </c>
      <c r="E103" s="40">
        <v>325.10000000000002</v>
      </c>
      <c r="F103" s="40">
        <v>666.46</v>
      </c>
      <c r="G103" s="40">
        <v>185.14</v>
      </c>
      <c r="H103" s="41">
        <v>56.95</v>
      </c>
      <c r="I103" s="40">
        <v>666.46</v>
      </c>
      <c r="J103" s="40">
        <v>0</v>
      </c>
    </row>
    <row r="104" spans="1:10" ht="15.75" customHeight="1" x14ac:dyDescent="0.2">
      <c r="A104" s="34" t="s">
        <v>467</v>
      </c>
      <c r="B104" s="34" t="s">
        <v>678</v>
      </c>
      <c r="C104" s="34" t="s">
        <v>688</v>
      </c>
      <c r="D104" s="35" t="s">
        <v>685</v>
      </c>
      <c r="E104" s="36">
        <v>358.03</v>
      </c>
      <c r="F104" s="36">
        <v>733.96</v>
      </c>
      <c r="G104" s="36">
        <v>203.9</v>
      </c>
      <c r="H104" s="37">
        <v>56.95</v>
      </c>
      <c r="I104" s="36">
        <v>733.96</v>
      </c>
      <c r="J104" s="36">
        <v>0</v>
      </c>
    </row>
    <row r="105" spans="1:10" ht="15.75" customHeight="1" x14ac:dyDescent="0.2">
      <c r="A105" s="38" t="s">
        <v>467</v>
      </c>
      <c r="B105" s="38" t="s">
        <v>689</v>
      </c>
      <c r="C105" s="38" t="s">
        <v>690</v>
      </c>
      <c r="D105" s="39" t="s">
        <v>662</v>
      </c>
      <c r="E105" s="40">
        <v>245.33</v>
      </c>
      <c r="F105" s="40">
        <v>502.93</v>
      </c>
      <c r="G105" s="40">
        <v>139.71</v>
      </c>
      <c r="H105" s="41">
        <v>56.95</v>
      </c>
      <c r="I105" s="40">
        <v>502.93</v>
      </c>
      <c r="J105" s="40">
        <v>0</v>
      </c>
    </row>
    <row r="106" spans="1:10" ht="15.75" customHeight="1" x14ac:dyDescent="0.2">
      <c r="A106" s="34" t="s">
        <v>467</v>
      </c>
      <c r="B106" s="34" t="s">
        <v>689</v>
      </c>
      <c r="C106" s="34" t="s">
        <v>690</v>
      </c>
      <c r="D106" s="35" t="s">
        <v>662</v>
      </c>
      <c r="E106" s="36">
        <v>263.01</v>
      </c>
      <c r="F106" s="36">
        <v>539.16999999999996</v>
      </c>
      <c r="G106" s="36">
        <v>149.78</v>
      </c>
      <c r="H106" s="37">
        <v>56.95</v>
      </c>
      <c r="I106" s="36">
        <v>539.16999999999996</v>
      </c>
      <c r="J106" s="36">
        <v>0</v>
      </c>
    </row>
    <row r="107" spans="1:10" ht="15.75" customHeight="1" x14ac:dyDescent="0.2">
      <c r="A107" s="38" t="s">
        <v>467</v>
      </c>
      <c r="B107" s="38" t="s">
        <v>691</v>
      </c>
      <c r="C107" s="38" t="s">
        <v>692</v>
      </c>
      <c r="D107" s="39" t="s">
        <v>662</v>
      </c>
      <c r="E107" s="40">
        <v>283.88</v>
      </c>
      <c r="F107" s="40">
        <v>581.95000000000005</v>
      </c>
      <c r="G107" s="40">
        <v>161.66999999999999</v>
      </c>
      <c r="H107" s="41">
        <v>56.95</v>
      </c>
      <c r="I107" s="40">
        <v>581.95000000000005</v>
      </c>
      <c r="J107" s="40">
        <v>0</v>
      </c>
    </row>
    <row r="108" spans="1:10" ht="15.75" customHeight="1" x14ac:dyDescent="0.2">
      <c r="A108" s="34" t="s">
        <v>467</v>
      </c>
      <c r="B108" s="34" t="s">
        <v>693</v>
      </c>
      <c r="C108" s="34" t="s">
        <v>694</v>
      </c>
      <c r="D108" s="35" t="s">
        <v>662</v>
      </c>
      <c r="E108" s="36">
        <v>317.27999999999997</v>
      </c>
      <c r="F108" s="36">
        <v>650.41999999999996</v>
      </c>
      <c r="G108" s="36">
        <v>180.69</v>
      </c>
      <c r="H108" s="37">
        <v>56.95</v>
      </c>
      <c r="I108" s="36">
        <v>650.41999999999996</v>
      </c>
      <c r="J108" s="36">
        <v>0</v>
      </c>
    </row>
    <row r="109" spans="1:10" ht="15.75" customHeight="1" x14ac:dyDescent="0.2">
      <c r="A109" s="38" t="s">
        <v>467</v>
      </c>
      <c r="B109" s="38" t="s">
        <v>695</v>
      </c>
      <c r="C109" s="38" t="s">
        <v>696</v>
      </c>
      <c r="D109" s="39" t="s">
        <v>697</v>
      </c>
      <c r="E109" s="40">
        <v>178.35</v>
      </c>
      <c r="F109" s="40">
        <v>365.62</v>
      </c>
      <c r="G109" s="40">
        <v>101.57</v>
      </c>
      <c r="H109" s="41">
        <v>56.95</v>
      </c>
      <c r="I109" s="40">
        <v>365.62</v>
      </c>
      <c r="J109" s="40">
        <v>0</v>
      </c>
    </row>
    <row r="110" spans="1:10" ht="15.75" customHeight="1" x14ac:dyDescent="0.2">
      <c r="A110" s="34" t="s">
        <v>467</v>
      </c>
      <c r="B110" s="34" t="s">
        <v>698</v>
      </c>
      <c r="C110" s="34" t="s">
        <v>699</v>
      </c>
      <c r="D110" s="35" t="s">
        <v>697</v>
      </c>
      <c r="E110" s="36">
        <v>177.5</v>
      </c>
      <c r="F110" s="36">
        <v>363.88</v>
      </c>
      <c r="G110" s="36">
        <v>101.09</v>
      </c>
      <c r="H110" s="37">
        <v>56.95</v>
      </c>
      <c r="I110" s="36">
        <v>363.88</v>
      </c>
      <c r="J110" s="36">
        <v>0</v>
      </c>
    </row>
    <row r="111" spans="1:10" ht="15.75" customHeight="1" x14ac:dyDescent="0.2">
      <c r="A111" s="38" t="s">
        <v>467</v>
      </c>
      <c r="B111" s="38" t="s">
        <v>700</v>
      </c>
      <c r="C111" s="38" t="s">
        <v>701</v>
      </c>
      <c r="D111" s="39" t="s">
        <v>702</v>
      </c>
      <c r="E111" s="40">
        <v>186.98</v>
      </c>
      <c r="F111" s="40">
        <v>383.31</v>
      </c>
      <c r="G111" s="40">
        <v>106.48</v>
      </c>
      <c r="H111" s="41">
        <v>56.95</v>
      </c>
      <c r="I111" s="40">
        <v>383.31</v>
      </c>
      <c r="J111" s="40">
        <v>0</v>
      </c>
    </row>
    <row r="112" spans="1:10" ht="15.75" customHeight="1" x14ac:dyDescent="0.2">
      <c r="A112" s="34" t="s">
        <v>467</v>
      </c>
      <c r="B112" s="34" t="s">
        <v>703</v>
      </c>
      <c r="C112" s="34" t="s">
        <v>704</v>
      </c>
      <c r="D112" s="35" t="s">
        <v>702</v>
      </c>
      <c r="E112" s="36">
        <v>206.53</v>
      </c>
      <c r="F112" s="36">
        <v>423.39</v>
      </c>
      <c r="G112" s="36">
        <v>117.62</v>
      </c>
      <c r="H112" s="37">
        <v>56.95</v>
      </c>
      <c r="I112" s="36">
        <v>423.39</v>
      </c>
      <c r="J112" s="36">
        <v>0</v>
      </c>
    </row>
    <row r="113" spans="1:10" ht="15.75" customHeight="1" x14ac:dyDescent="0.2">
      <c r="A113" s="38" t="s">
        <v>467</v>
      </c>
      <c r="B113" s="38" t="s">
        <v>705</v>
      </c>
      <c r="C113" s="38" t="s">
        <v>706</v>
      </c>
      <c r="D113" s="39" t="s">
        <v>697</v>
      </c>
      <c r="E113" s="40">
        <v>226.39</v>
      </c>
      <c r="F113" s="40">
        <v>464.1</v>
      </c>
      <c r="G113" s="40">
        <v>128.93</v>
      </c>
      <c r="H113" s="41">
        <v>56.95</v>
      </c>
      <c r="I113" s="40">
        <v>464.1</v>
      </c>
      <c r="J113" s="40">
        <v>0</v>
      </c>
    </row>
    <row r="114" spans="1:10" ht="15.75" customHeight="1" x14ac:dyDescent="0.2">
      <c r="A114" s="34" t="s">
        <v>467</v>
      </c>
      <c r="B114" s="34" t="s">
        <v>707</v>
      </c>
      <c r="C114" s="34" t="s">
        <v>708</v>
      </c>
      <c r="D114" s="35" t="s">
        <v>680</v>
      </c>
      <c r="E114" s="36">
        <v>258.36</v>
      </c>
      <c r="F114" s="36">
        <v>529.64</v>
      </c>
      <c r="G114" s="36">
        <v>147.13999999999999</v>
      </c>
      <c r="H114" s="37">
        <v>56.95</v>
      </c>
      <c r="I114" s="36">
        <v>529.64</v>
      </c>
      <c r="J114" s="36">
        <v>0</v>
      </c>
    </row>
    <row r="115" spans="1:10" ht="15.75" customHeight="1" x14ac:dyDescent="0.2">
      <c r="A115" s="38" t="s">
        <v>467</v>
      </c>
      <c r="B115" s="38" t="s">
        <v>709</v>
      </c>
      <c r="C115" s="38" t="s">
        <v>710</v>
      </c>
      <c r="D115" s="39" t="s">
        <v>628</v>
      </c>
      <c r="E115" s="40">
        <v>226.79</v>
      </c>
      <c r="F115" s="40">
        <v>464.92</v>
      </c>
      <c r="G115" s="40">
        <v>129.16</v>
      </c>
      <c r="H115" s="41">
        <v>56.95</v>
      </c>
      <c r="I115" s="40">
        <v>464.92</v>
      </c>
      <c r="J115" s="40">
        <v>0</v>
      </c>
    </row>
    <row r="116" spans="1:10" ht="15.75" customHeight="1" x14ac:dyDescent="0.2">
      <c r="A116" s="34" t="s">
        <v>467</v>
      </c>
      <c r="B116" s="34" t="s">
        <v>711</v>
      </c>
      <c r="C116" s="34" t="s">
        <v>712</v>
      </c>
      <c r="D116" s="35" t="s">
        <v>628</v>
      </c>
      <c r="E116" s="36">
        <v>258.75</v>
      </c>
      <c r="F116" s="36">
        <v>530.44000000000005</v>
      </c>
      <c r="G116" s="36">
        <v>147.36000000000001</v>
      </c>
      <c r="H116" s="37">
        <v>56.95</v>
      </c>
      <c r="I116" s="36">
        <v>530.44000000000005</v>
      </c>
      <c r="J116" s="36">
        <v>0</v>
      </c>
    </row>
    <row r="117" spans="1:10" ht="15.75" customHeight="1" x14ac:dyDescent="0.2">
      <c r="A117" s="38" t="s">
        <v>467</v>
      </c>
      <c r="B117" s="38" t="s">
        <v>713</v>
      </c>
      <c r="C117" s="38" t="s">
        <v>714</v>
      </c>
      <c r="D117" s="39" t="s">
        <v>715</v>
      </c>
      <c r="E117" s="40">
        <v>205.19</v>
      </c>
      <c r="F117" s="40">
        <v>420.64</v>
      </c>
      <c r="G117" s="40">
        <v>116.86</v>
      </c>
      <c r="H117" s="41">
        <v>56.95</v>
      </c>
      <c r="I117" s="40">
        <v>420.64</v>
      </c>
      <c r="J117" s="40">
        <v>0</v>
      </c>
    </row>
    <row r="118" spans="1:10" ht="15.75" customHeight="1" x14ac:dyDescent="0.2">
      <c r="A118" s="34" t="s">
        <v>467</v>
      </c>
      <c r="B118" s="34" t="s">
        <v>716</v>
      </c>
      <c r="C118" s="34" t="s">
        <v>717</v>
      </c>
      <c r="D118" s="35" t="s">
        <v>715</v>
      </c>
      <c r="E118" s="36">
        <v>211.05</v>
      </c>
      <c r="F118" s="36">
        <v>432.65</v>
      </c>
      <c r="G118" s="36">
        <v>120.19</v>
      </c>
      <c r="H118" s="37">
        <v>56.95</v>
      </c>
      <c r="I118" s="36">
        <v>432.65</v>
      </c>
      <c r="J118" s="36">
        <v>0</v>
      </c>
    </row>
    <row r="119" spans="1:10" ht="15.75" customHeight="1" x14ac:dyDescent="0.2">
      <c r="A119" s="38" t="s">
        <v>467</v>
      </c>
      <c r="B119" s="38" t="s">
        <v>718</v>
      </c>
      <c r="C119" s="38" t="s">
        <v>719</v>
      </c>
      <c r="D119" s="39" t="s">
        <v>685</v>
      </c>
      <c r="E119" s="40">
        <v>361.89</v>
      </c>
      <c r="F119" s="40">
        <v>741.87</v>
      </c>
      <c r="G119" s="40">
        <v>206.1</v>
      </c>
      <c r="H119" s="41">
        <v>56.95</v>
      </c>
      <c r="I119" s="40">
        <v>741.87</v>
      </c>
      <c r="J119" s="40">
        <v>0</v>
      </c>
    </row>
    <row r="120" spans="1:10" ht="15.75" customHeight="1" x14ac:dyDescent="0.2">
      <c r="A120" s="34" t="s">
        <v>467</v>
      </c>
      <c r="B120" s="34" t="s">
        <v>720</v>
      </c>
      <c r="C120" s="34" t="s">
        <v>721</v>
      </c>
      <c r="D120" s="35" t="s">
        <v>722</v>
      </c>
      <c r="E120" s="36">
        <v>368.6</v>
      </c>
      <c r="F120" s="36">
        <v>755.63</v>
      </c>
      <c r="G120" s="36">
        <v>209.92</v>
      </c>
      <c r="H120" s="37">
        <v>56.95</v>
      </c>
      <c r="I120" s="36">
        <v>755.63</v>
      </c>
      <c r="J120" s="36">
        <v>0</v>
      </c>
    </row>
    <row r="121" spans="1:10" ht="15.75" customHeight="1" x14ac:dyDescent="0.2">
      <c r="A121" s="38" t="s">
        <v>467</v>
      </c>
      <c r="B121" s="38" t="s">
        <v>723</v>
      </c>
      <c r="C121" s="38" t="s">
        <v>724</v>
      </c>
      <c r="D121" s="39" t="s">
        <v>722</v>
      </c>
      <c r="E121" s="40">
        <v>186.62</v>
      </c>
      <c r="F121" s="40">
        <v>382.57</v>
      </c>
      <c r="G121" s="40">
        <v>106.28</v>
      </c>
      <c r="H121" s="41">
        <v>56.95</v>
      </c>
      <c r="I121" s="40">
        <v>382.57</v>
      </c>
      <c r="J121" s="40">
        <v>0</v>
      </c>
    </row>
    <row r="122" spans="1:10" ht="15.75" customHeight="1" x14ac:dyDescent="0.2">
      <c r="A122" s="34" t="s">
        <v>467</v>
      </c>
      <c r="B122" s="34" t="s">
        <v>725</v>
      </c>
      <c r="C122" s="34" t="s">
        <v>726</v>
      </c>
      <c r="D122" s="35" t="s">
        <v>722</v>
      </c>
      <c r="E122" s="36">
        <v>270.76</v>
      </c>
      <c r="F122" s="36">
        <v>555.05999999999995</v>
      </c>
      <c r="G122" s="36">
        <v>154.19999999999999</v>
      </c>
      <c r="H122" s="37">
        <v>56.95</v>
      </c>
      <c r="I122" s="36">
        <v>555.05999999999995</v>
      </c>
      <c r="J122" s="36">
        <v>0</v>
      </c>
    </row>
    <row r="123" spans="1:10" ht="15.75" customHeight="1" x14ac:dyDescent="0.2">
      <c r="A123" s="38" t="s">
        <v>467</v>
      </c>
      <c r="B123" s="38" t="s">
        <v>727</v>
      </c>
      <c r="C123" s="38" t="s">
        <v>728</v>
      </c>
      <c r="D123" s="39" t="s">
        <v>729</v>
      </c>
      <c r="E123" s="40">
        <v>120.39</v>
      </c>
      <c r="F123" s="40">
        <v>246.8</v>
      </c>
      <c r="G123" s="40">
        <v>68.56</v>
      </c>
      <c r="H123" s="41">
        <v>56.95</v>
      </c>
      <c r="I123" s="40">
        <v>246.8</v>
      </c>
      <c r="J123" s="40">
        <v>0</v>
      </c>
    </row>
    <row r="124" spans="1:10" ht="15.75" customHeight="1" x14ac:dyDescent="0.2">
      <c r="A124" s="34" t="s">
        <v>467</v>
      </c>
      <c r="B124" s="34" t="s">
        <v>730</v>
      </c>
      <c r="C124" s="34" t="s">
        <v>731</v>
      </c>
      <c r="D124" s="35" t="s">
        <v>732</v>
      </c>
      <c r="E124" s="36">
        <v>279.44</v>
      </c>
      <c r="F124" s="36">
        <v>572.85</v>
      </c>
      <c r="G124" s="36">
        <v>159.13999999999999</v>
      </c>
      <c r="H124" s="37">
        <v>56.95</v>
      </c>
      <c r="I124" s="36">
        <v>572.85</v>
      </c>
      <c r="J124" s="36">
        <v>0</v>
      </c>
    </row>
    <row r="125" spans="1:10" ht="15.75" customHeight="1" x14ac:dyDescent="0.2">
      <c r="A125" s="38" t="s">
        <v>467</v>
      </c>
      <c r="B125" s="38" t="s">
        <v>730</v>
      </c>
      <c r="C125" s="38" t="s">
        <v>733</v>
      </c>
      <c r="D125" s="39" t="s">
        <v>732</v>
      </c>
      <c r="E125" s="40">
        <v>356.97</v>
      </c>
      <c r="F125" s="40">
        <v>731.79</v>
      </c>
      <c r="G125" s="40">
        <v>203.29</v>
      </c>
      <c r="H125" s="41">
        <v>56.95</v>
      </c>
      <c r="I125" s="40">
        <v>731.79</v>
      </c>
      <c r="J125" s="40">
        <v>0</v>
      </c>
    </row>
    <row r="126" spans="1:10" ht="15.75" customHeight="1" x14ac:dyDescent="0.2">
      <c r="A126" s="34" t="s">
        <v>467</v>
      </c>
      <c r="B126" s="34" t="s">
        <v>730</v>
      </c>
      <c r="C126" s="34" t="s">
        <v>734</v>
      </c>
      <c r="D126" s="35" t="s">
        <v>732</v>
      </c>
      <c r="E126" s="36">
        <v>534.41</v>
      </c>
      <c r="F126" s="36">
        <v>1095.54</v>
      </c>
      <c r="G126" s="36">
        <v>304.35000000000002</v>
      </c>
      <c r="H126" s="37">
        <v>56.95</v>
      </c>
      <c r="I126" s="36">
        <v>1095.54</v>
      </c>
      <c r="J126" s="36">
        <v>0</v>
      </c>
    </row>
    <row r="127" spans="1:10" ht="15.75" customHeight="1" x14ac:dyDescent="0.2">
      <c r="A127" s="38" t="s">
        <v>467</v>
      </c>
      <c r="B127" s="38" t="s">
        <v>735</v>
      </c>
      <c r="C127" s="38" t="s">
        <v>736</v>
      </c>
      <c r="D127" s="39" t="s">
        <v>597</v>
      </c>
      <c r="E127" s="40">
        <v>122.04</v>
      </c>
      <c r="F127" s="40">
        <v>250.18</v>
      </c>
      <c r="G127" s="40">
        <v>69.5</v>
      </c>
      <c r="H127" s="41">
        <v>56.95</v>
      </c>
      <c r="I127" s="40">
        <v>250.18</v>
      </c>
      <c r="J127" s="40">
        <v>0</v>
      </c>
    </row>
    <row r="128" spans="1:10" ht="15.75" customHeight="1" x14ac:dyDescent="0.2">
      <c r="A128" s="34" t="s">
        <v>467</v>
      </c>
      <c r="B128" s="34" t="s">
        <v>737</v>
      </c>
      <c r="C128" s="34" t="s">
        <v>738</v>
      </c>
      <c r="D128" s="35" t="s">
        <v>597</v>
      </c>
      <c r="E128" s="36">
        <v>130.35</v>
      </c>
      <c r="F128" s="36">
        <v>267.22000000000003</v>
      </c>
      <c r="G128" s="36">
        <v>74.23</v>
      </c>
      <c r="H128" s="37">
        <v>56.95</v>
      </c>
      <c r="I128" s="36">
        <v>267.22000000000003</v>
      </c>
      <c r="J128" s="36">
        <v>0</v>
      </c>
    </row>
    <row r="129" spans="1:10" ht="15.75" customHeight="1" x14ac:dyDescent="0.2">
      <c r="A129" s="38" t="s">
        <v>467</v>
      </c>
      <c r="B129" s="38" t="s">
        <v>739</v>
      </c>
      <c r="C129" s="38" t="s">
        <v>740</v>
      </c>
      <c r="D129" s="39" t="s">
        <v>597</v>
      </c>
      <c r="E129" s="40">
        <v>123.32</v>
      </c>
      <c r="F129" s="40">
        <v>252.81</v>
      </c>
      <c r="G129" s="40">
        <v>70.23</v>
      </c>
      <c r="H129" s="41">
        <v>56.95</v>
      </c>
      <c r="I129" s="40">
        <v>252.81</v>
      </c>
      <c r="J129" s="40">
        <v>0</v>
      </c>
    </row>
    <row r="130" spans="1:10" ht="15.75" customHeight="1" x14ac:dyDescent="0.2">
      <c r="A130" s="34" t="s">
        <v>467</v>
      </c>
      <c r="B130" s="34" t="s">
        <v>741</v>
      </c>
      <c r="C130" s="34" t="s">
        <v>742</v>
      </c>
      <c r="D130" s="35" t="s">
        <v>597</v>
      </c>
      <c r="E130" s="36">
        <v>136.79</v>
      </c>
      <c r="F130" s="36">
        <v>280.42</v>
      </c>
      <c r="G130" s="36">
        <v>77.900000000000006</v>
      </c>
      <c r="H130" s="37">
        <v>56.95</v>
      </c>
      <c r="I130" s="36">
        <v>280.42</v>
      </c>
      <c r="J130" s="36">
        <v>0</v>
      </c>
    </row>
    <row r="131" spans="1:10" ht="15.75" customHeight="1" x14ac:dyDescent="0.2">
      <c r="A131" s="38" t="s">
        <v>467</v>
      </c>
      <c r="B131" s="38" t="s">
        <v>743</v>
      </c>
      <c r="C131" s="38" t="s">
        <v>744</v>
      </c>
      <c r="D131" s="39" t="s">
        <v>745</v>
      </c>
      <c r="E131" s="40">
        <v>367.06</v>
      </c>
      <c r="F131" s="40">
        <v>752.47</v>
      </c>
      <c r="G131" s="40">
        <v>209.04</v>
      </c>
      <c r="H131" s="41">
        <v>56.95</v>
      </c>
      <c r="I131" s="40">
        <v>752.47</v>
      </c>
      <c r="J131" s="40">
        <v>0</v>
      </c>
    </row>
    <row r="132" spans="1:10" ht="15.75" customHeight="1" x14ac:dyDescent="0.2">
      <c r="A132" s="34" t="s">
        <v>467</v>
      </c>
      <c r="B132" s="34" t="s">
        <v>743</v>
      </c>
      <c r="C132" s="34" t="s">
        <v>746</v>
      </c>
      <c r="D132" s="35" t="s">
        <v>745</v>
      </c>
      <c r="E132" s="36">
        <v>611.77</v>
      </c>
      <c r="F132" s="36">
        <v>1254.1300000000001</v>
      </c>
      <c r="G132" s="36">
        <v>348.4</v>
      </c>
      <c r="H132" s="37">
        <v>56.95</v>
      </c>
      <c r="I132" s="36">
        <v>1254.1300000000001</v>
      </c>
      <c r="J132" s="36">
        <v>0</v>
      </c>
    </row>
    <row r="133" spans="1:10" ht="15.75" customHeight="1" x14ac:dyDescent="0.2">
      <c r="A133" s="38" t="s">
        <v>467</v>
      </c>
      <c r="B133" s="38" t="s">
        <v>743</v>
      </c>
      <c r="C133" s="38" t="s">
        <v>747</v>
      </c>
      <c r="D133" s="39" t="s">
        <v>745</v>
      </c>
      <c r="E133" s="40">
        <v>837.52</v>
      </c>
      <c r="F133" s="40">
        <v>1716.92</v>
      </c>
      <c r="G133" s="40">
        <v>476.97</v>
      </c>
      <c r="H133" s="41">
        <v>56.95</v>
      </c>
      <c r="I133" s="40">
        <v>1716.92</v>
      </c>
      <c r="J133" s="40">
        <v>0</v>
      </c>
    </row>
    <row r="134" spans="1:10" ht="15.75" customHeight="1" x14ac:dyDescent="0.2">
      <c r="A134" s="34" t="s">
        <v>467</v>
      </c>
      <c r="B134" s="34" t="s">
        <v>748</v>
      </c>
      <c r="C134" s="34" t="s">
        <v>749</v>
      </c>
      <c r="D134" s="35" t="s">
        <v>750</v>
      </c>
      <c r="E134" s="36">
        <v>194.7</v>
      </c>
      <c r="F134" s="36">
        <v>399.14</v>
      </c>
      <c r="G134" s="36">
        <v>110.88</v>
      </c>
      <c r="H134" s="37">
        <v>56.95</v>
      </c>
      <c r="I134" s="36">
        <v>399.14</v>
      </c>
      <c r="J134" s="36">
        <v>0</v>
      </c>
    </row>
    <row r="135" spans="1:10" ht="15.75" customHeight="1" x14ac:dyDescent="0.2">
      <c r="A135" s="38" t="s">
        <v>467</v>
      </c>
      <c r="B135" s="38" t="s">
        <v>748</v>
      </c>
      <c r="C135" s="38" t="s">
        <v>751</v>
      </c>
      <c r="D135" s="39" t="s">
        <v>750</v>
      </c>
      <c r="E135" s="40">
        <v>226.66</v>
      </c>
      <c r="F135" s="40">
        <v>464.65</v>
      </c>
      <c r="G135" s="40">
        <v>129.08000000000001</v>
      </c>
      <c r="H135" s="41">
        <v>56.95</v>
      </c>
      <c r="I135" s="40">
        <v>464.65</v>
      </c>
      <c r="J135" s="40">
        <v>0</v>
      </c>
    </row>
    <row r="136" spans="1:10" ht="15.75" customHeight="1" x14ac:dyDescent="0.2">
      <c r="A136" s="34" t="s">
        <v>467</v>
      </c>
      <c r="B136" s="34" t="s">
        <v>752</v>
      </c>
      <c r="C136" s="34" t="s">
        <v>753</v>
      </c>
      <c r="D136" s="35" t="s">
        <v>754</v>
      </c>
      <c r="E136" s="36">
        <v>221.96</v>
      </c>
      <c r="F136" s="36">
        <v>455.02</v>
      </c>
      <c r="G136" s="36">
        <v>126.41</v>
      </c>
      <c r="H136" s="37">
        <v>56.95</v>
      </c>
      <c r="I136" s="36">
        <v>455.02</v>
      </c>
      <c r="J136" s="36">
        <v>0</v>
      </c>
    </row>
    <row r="137" spans="1:10" ht="15.75" customHeight="1" x14ac:dyDescent="0.2">
      <c r="A137" s="38" t="s">
        <v>467</v>
      </c>
      <c r="B137" s="38" t="s">
        <v>755</v>
      </c>
      <c r="C137" s="38" t="s">
        <v>756</v>
      </c>
      <c r="D137" s="39" t="s">
        <v>757</v>
      </c>
      <c r="E137" s="40">
        <v>206.48</v>
      </c>
      <c r="F137" s="40">
        <v>423.28</v>
      </c>
      <c r="G137" s="40">
        <v>117.59</v>
      </c>
      <c r="H137" s="41">
        <v>56.95</v>
      </c>
      <c r="I137" s="40">
        <v>423.28</v>
      </c>
      <c r="J137" s="40">
        <v>0</v>
      </c>
    </row>
    <row r="138" spans="1:10" ht="15.75" customHeight="1" x14ac:dyDescent="0.2">
      <c r="A138" s="34" t="s">
        <v>467</v>
      </c>
      <c r="B138" s="34" t="s">
        <v>752</v>
      </c>
      <c r="C138" s="34" t="s">
        <v>753</v>
      </c>
      <c r="D138" s="35" t="s">
        <v>754</v>
      </c>
      <c r="E138" s="36">
        <v>213.86</v>
      </c>
      <c r="F138" s="36">
        <v>438.41</v>
      </c>
      <c r="G138" s="36">
        <v>121.79</v>
      </c>
      <c r="H138" s="37">
        <v>56.95</v>
      </c>
      <c r="I138" s="36">
        <v>438.41</v>
      </c>
      <c r="J138" s="36">
        <v>0</v>
      </c>
    </row>
    <row r="139" spans="1:10" ht="15.75" customHeight="1" x14ac:dyDescent="0.2">
      <c r="A139" s="38" t="s">
        <v>467</v>
      </c>
      <c r="B139" s="38" t="s">
        <v>755</v>
      </c>
      <c r="C139" s="38" t="s">
        <v>756</v>
      </c>
      <c r="D139" s="39" t="s">
        <v>757</v>
      </c>
      <c r="E139" s="40">
        <v>163.38</v>
      </c>
      <c r="F139" s="40">
        <v>334.93</v>
      </c>
      <c r="G139" s="40">
        <v>93.04</v>
      </c>
      <c r="H139" s="41">
        <v>56.95</v>
      </c>
      <c r="I139" s="40">
        <v>334.93</v>
      </c>
      <c r="J139" s="40">
        <v>0</v>
      </c>
    </row>
    <row r="140" spans="1:10" ht="15.75" customHeight="1" x14ac:dyDescent="0.2">
      <c r="A140" s="34" t="s">
        <v>467</v>
      </c>
      <c r="B140" s="34" t="s">
        <v>758</v>
      </c>
      <c r="C140" s="34" t="s">
        <v>759</v>
      </c>
      <c r="D140" s="35" t="s">
        <v>757</v>
      </c>
      <c r="E140" s="36">
        <v>204.95</v>
      </c>
      <c r="F140" s="36">
        <v>420.15</v>
      </c>
      <c r="G140" s="36">
        <v>116.72</v>
      </c>
      <c r="H140" s="37">
        <v>56.95</v>
      </c>
      <c r="I140" s="36">
        <v>420.15</v>
      </c>
      <c r="J140" s="36">
        <v>0</v>
      </c>
    </row>
    <row r="141" spans="1:10" ht="15.75" customHeight="1" x14ac:dyDescent="0.2">
      <c r="A141" s="38" t="s">
        <v>467</v>
      </c>
      <c r="B141" s="38" t="s">
        <v>760</v>
      </c>
      <c r="C141" s="38" t="s">
        <v>761</v>
      </c>
      <c r="D141" s="39" t="s">
        <v>754</v>
      </c>
      <c r="E141" s="40">
        <v>222.76</v>
      </c>
      <c r="F141" s="40">
        <v>456.66</v>
      </c>
      <c r="G141" s="40">
        <v>126.86</v>
      </c>
      <c r="H141" s="41">
        <v>56.95</v>
      </c>
      <c r="I141" s="40">
        <v>456.66</v>
      </c>
      <c r="J141" s="40">
        <v>0</v>
      </c>
    </row>
    <row r="142" spans="1:10" ht="15.75" customHeight="1" x14ac:dyDescent="0.2">
      <c r="A142" s="34" t="s">
        <v>467</v>
      </c>
      <c r="B142" s="34" t="s">
        <v>752</v>
      </c>
      <c r="C142" s="34" t="s">
        <v>753</v>
      </c>
      <c r="D142" s="35" t="s">
        <v>754</v>
      </c>
      <c r="E142" s="36">
        <v>228.96</v>
      </c>
      <c r="F142" s="36">
        <v>469.37</v>
      </c>
      <c r="G142" s="36">
        <v>130.38999999999999</v>
      </c>
      <c r="H142" s="37">
        <v>56.95</v>
      </c>
      <c r="I142" s="36">
        <v>469.37</v>
      </c>
      <c r="J142" s="36">
        <v>0</v>
      </c>
    </row>
    <row r="143" spans="1:10" ht="15.75" customHeight="1" x14ac:dyDescent="0.2">
      <c r="A143" s="38" t="s">
        <v>467</v>
      </c>
      <c r="B143" s="38" t="s">
        <v>755</v>
      </c>
      <c r="C143" s="38" t="s">
        <v>756</v>
      </c>
      <c r="D143" s="39" t="s">
        <v>757</v>
      </c>
      <c r="E143" s="40">
        <v>217.14</v>
      </c>
      <c r="F143" s="40">
        <v>445.14</v>
      </c>
      <c r="G143" s="40">
        <v>123.66</v>
      </c>
      <c r="H143" s="41">
        <v>56.95</v>
      </c>
      <c r="I143" s="40">
        <v>445.14</v>
      </c>
      <c r="J143" s="40">
        <v>0</v>
      </c>
    </row>
    <row r="144" spans="1:10" ht="15.75" customHeight="1" x14ac:dyDescent="0.2">
      <c r="A144" s="34" t="s">
        <v>467</v>
      </c>
      <c r="B144" s="34" t="s">
        <v>762</v>
      </c>
      <c r="C144" s="34" t="s">
        <v>763</v>
      </c>
      <c r="D144" s="35" t="s">
        <v>764</v>
      </c>
      <c r="E144" s="36">
        <v>561.54</v>
      </c>
      <c r="F144" s="36">
        <v>1151.1600000000001</v>
      </c>
      <c r="G144" s="36">
        <v>319.8</v>
      </c>
      <c r="H144" s="37">
        <v>56.95</v>
      </c>
      <c r="I144" s="36">
        <v>1151.1600000000001</v>
      </c>
      <c r="J144" s="36">
        <v>0</v>
      </c>
    </row>
    <row r="145" spans="1:10" ht="15.75" customHeight="1" x14ac:dyDescent="0.2">
      <c r="A145" s="38" t="s">
        <v>467</v>
      </c>
      <c r="B145" s="38" t="s">
        <v>765</v>
      </c>
      <c r="C145" s="38" t="s">
        <v>766</v>
      </c>
      <c r="D145" s="39" t="s">
        <v>767</v>
      </c>
      <c r="E145" s="40">
        <v>561.54</v>
      </c>
      <c r="F145" s="40">
        <v>1151.1600000000001</v>
      </c>
      <c r="G145" s="40">
        <v>319.8</v>
      </c>
      <c r="H145" s="41">
        <v>56.95</v>
      </c>
      <c r="I145" s="40">
        <v>1151.1600000000001</v>
      </c>
      <c r="J145" s="40">
        <v>0</v>
      </c>
    </row>
    <row r="146" spans="1:10" ht="15.75" customHeight="1" x14ac:dyDescent="0.2">
      <c r="A146" s="34" t="s">
        <v>467</v>
      </c>
      <c r="B146" s="34" t="s">
        <v>768</v>
      </c>
      <c r="C146" s="34" t="s">
        <v>769</v>
      </c>
      <c r="D146" s="35" t="s">
        <v>767</v>
      </c>
      <c r="E146" s="36">
        <v>1019.5</v>
      </c>
      <c r="F146" s="36">
        <v>2089.98</v>
      </c>
      <c r="G146" s="36">
        <v>580.6</v>
      </c>
      <c r="H146" s="37">
        <v>56.95</v>
      </c>
      <c r="I146" s="36">
        <v>2089.98</v>
      </c>
      <c r="J146" s="36">
        <v>0</v>
      </c>
    </row>
    <row r="147" spans="1:10" ht="15.75" customHeight="1" x14ac:dyDescent="0.2">
      <c r="A147" s="38" t="s">
        <v>467</v>
      </c>
      <c r="B147" s="38" t="s">
        <v>770</v>
      </c>
      <c r="C147" s="38" t="s">
        <v>771</v>
      </c>
      <c r="D147" s="39" t="s">
        <v>772</v>
      </c>
      <c r="E147" s="40">
        <v>48.25</v>
      </c>
      <c r="F147" s="40">
        <v>98.91</v>
      </c>
      <c r="G147" s="40">
        <v>27.48</v>
      </c>
      <c r="H147" s="41">
        <v>56.95</v>
      </c>
      <c r="I147" s="40">
        <v>98.91</v>
      </c>
      <c r="J147" s="40">
        <v>0</v>
      </c>
    </row>
    <row r="148" spans="1:10" ht="15.75" customHeight="1" x14ac:dyDescent="0.2">
      <c r="A148" s="34" t="s">
        <v>467</v>
      </c>
      <c r="B148" s="34" t="s">
        <v>773</v>
      </c>
      <c r="C148" s="34" t="s">
        <v>774</v>
      </c>
      <c r="D148" s="35" t="s">
        <v>772</v>
      </c>
      <c r="E148" s="36">
        <v>82.22</v>
      </c>
      <c r="F148" s="36">
        <v>168.55</v>
      </c>
      <c r="G148" s="36">
        <v>46.82</v>
      </c>
      <c r="H148" s="37">
        <v>56.95</v>
      </c>
      <c r="I148" s="36">
        <v>168.55</v>
      </c>
      <c r="J148" s="36">
        <v>0</v>
      </c>
    </row>
    <row r="149" spans="1:10" ht="15.75" customHeight="1" x14ac:dyDescent="0.2">
      <c r="A149" s="38" t="s">
        <v>467</v>
      </c>
      <c r="B149" s="38" t="s">
        <v>775</v>
      </c>
      <c r="C149" s="38" t="s">
        <v>776</v>
      </c>
      <c r="D149" s="39" t="s">
        <v>777</v>
      </c>
      <c r="E149" s="40">
        <v>70.569999999999993</v>
      </c>
      <c r="F149" s="40">
        <v>144.66999999999999</v>
      </c>
      <c r="G149" s="40">
        <v>40.19</v>
      </c>
      <c r="H149" s="41">
        <v>56.95</v>
      </c>
      <c r="I149" s="40">
        <v>144.66999999999999</v>
      </c>
      <c r="J149" s="40">
        <v>0</v>
      </c>
    </row>
    <row r="150" spans="1:10" ht="15.75" customHeight="1" x14ac:dyDescent="0.2">
      <c r="A150" s="34" t="s">
        <v>467</v>
      </c>
      <c r="B150" s="34" t="s">
        <v>775</v>
      </c>
      <c r="C150" s="34" t="s">
        <v>778</v>
      </c>
      <c r="D150" s="35" t="s">
        <v>779</v>
      </c>
      <c r="E150" s="36">
        <v>62.07</v>
      </c>
      <c r="F150" s="36">
        <v>127.24</v>
      </c>
      <c r="G150" s="36">
        <v>35.35</v>
      </c>
      <c r="H150" s="37">
        <v>56.95</v>
      </c>
      <c r="I150" s="36">
        <v>127.24</v>
      </c>
      <c r="J150" s="36">
        <v>0</v>
      </c>
    </row>
    <row r="151" spans="1:10" ht="15.75" customHeight="1" x14ac:dyDescent="0.2">
      <c r="A151" s="38" t="s">
        <v>467</v>
      </c>
      <c r="B151" s="38" t="s">
        <v>775</v>
      </c>
      <c r="C151" s="38" t="s">
        <v>780</v>
      </c>
      <c r="D151" s="39" t="s">
        <v>779</v>
      </c>
      <c r="E151" s="40">
        <v>102.54</v>
      </c>
      <c r="F151" s="40">
        <v>210.21</v>
      </c>
      <c r="G151" s="40">
        <v>58.4</v>
      </c>
      <c r="H151" s="41">
        <v>56.95</v>
      </c>
      <c r="I151" s="40">
        <v>210.21</v>
      </c>
      <c r="J151" s="40">
        <v>0</v>
      </c>
    </row>
    <row r="152" spans="1:10" ht="15.75" customHeight="1" x14ac:dyDescent="0.2">
      <c r="A152" s="34" t="s">
        <v>467</v>
      </c>
      <c r="B152" s="34" t="s">
        <v>781</v>
      </c>
      <c r="C152" s="34" t="s">
        <v>782</v>
      </c>
      <c r="D152" s="35" t="s">
        <v>783</v>
      </c>
      <c r="E152" s="36">
        <v>34.61</v>
      </c>
      <c r="F152" s="36">
        <v>70.95</v>
      </c>
      <c r="G152" s="36">
        <v>19.71</v>
      </c>
      <c r="H152" s="37">
        <v>56.95</v>
      </c>
      <c r="I152" s="36">
        <v>70.95</v>
      </c>
      <c r="J152" s="36">
        <v>0</v>
      </c>
    </row>
    <row r="153" spans="1:10" ht="15.75" customHeight="1" x14ac:dyDescent="0.2">
      <c r="A153" s="38" t="s">
        <v>467</v>
      </c>
      <c r="B153" s="38" t="s">
        <v>784</v>
      </c>
      <c r="C153" s="38" t="s">
        <v>785</v>
      </c>
      <c r="D153" s="39" t="s">
        <v>786</v>
      </c>
      <c r="E153" s="40">
        <v>88.17</v>
      </c>
      <c r="F153" s="40">
        <v>180.75</v>
      </c>
      <c r="G153" s="40">
        <v>50.21</v>
      </c>
      <c r="H153" s="41">
        <v>56.95</v>
      </c>
      <c r="I153" s="40">
        <v>180.75</v>
      </c>
      <c r="J153" s="40">
        <v>0</v>
      </c>
    </row>
    <row r="154" spans="1:10" ht="15.75" customHeight="1" x14ac:dyDescent="0.2">
      <c r="A154" s="34" t="s">
        <v>467</v>
      </c>
      <c r="B154" s="34" t="s">
        <v>787</v>
      </c>
      <c r="C154" s="34" t="s">
        <v>788</v>
      </c>
      <c r="D154" s="35" t="s">
        <v>786</v>
      </c>
      <c r="E154" s="36">
        <v>68.16</v>
      </c>
      <c r="F154" s="36">
        <v>139.72999999999999</v>
      </c>
      <c r="G154" s="36">
        <v>38.82</v>
      </c>
      <c r="H154" s="37">
        <v>56.95</v>
      </c>
      <c r="I154" s="36">
        <v>139.72999999999999</v>
      </c>
      <c r="J154" s="36">
        <v>0</v>
      </c>
    </row>
    <row r="155" spans="1:10" ht="15.75" customHeight="1" x14ac:dyDescent="0.2">
      <c r="A155" s="38" t="s">
        <v>467</v>
      </c>
      <c r="B155" s="38" t="s">
        <v>789</v>
      </c>
      <c r="C155" s="38" t="s">
        <v>790</v>
      </c>
      <c r="D155" s="39" t="s">
        <v>791</v>
      </c>
      <c r="E155" s="40">
        <v>54.88</v>
      </c>
      <c r="F155" s="40">
        <v>112.5</v>
      </c>
      <c r="G155" s="40">
        <v>31.26</v>
      </c>
      <c r="H155" s="41">
        <v>56.95</v>
      </c>
      <c r="I155" s="40">
        <v>112.5</v>
      </c>
      <c r="J155" s="40">
        <v>0</v>
      </c>
    </row>
    <row r="156" spans="1:10" ht="15.75" customHeight="1" x14ac:dyDescent="0.2">
      <c r="A156" s="34" t="s">
        <v>467</v>
      </c>
      <c r="B156" s="34" t="s">
        <v>792</v>
      </c>
      <c r="C156" s="34" t="s">
        <v>793</v>
      </c>
      <c r="D156" s="35" t="s">
        <v>791</v>
      </c>
      <c r="E156" s="36">
        <v>27.52</v>
      </c>
      <c r="F156" s="36">
        <v>56.42</v>
      </c>
      <c r="G156" s="36">
        <v>15.67</v>
      </c>
      <c r="H156" s="37">
        <v>56.95</v>
      </c>
      <c r="I156" s="36">
        <v>56.42</v>
      </c>
      <c r="J156" s="36">
        <v>0</v>
      </c>
    </row>
    <row r="157" spans="1:10" ht="15.75" customHeight="1" x14ac:dyDescent="0.2">
      <c r="A157" s="38" t="s">
        <v>467</v>
      </c>
      <c r="B157" s="38" t="s">
        <v>794</v>
      </c>
      <c r="C157" s="38" t="s">
        <v>795</v>
      </c>
      <c r="D157" s="39" t="s">
        <v>796</v>
      </c>
      <c r="E157" s="40">
        <v>137.94</v>
      </c>
      <c r="F157" s="40">
        <v>282.77999999999997</v>
      </c>
      <c r="G157" s="40">
        <v>78.56</v>
      </c>
      <c r="H157" s="41">
        <v>56.95</v>
      </c>
      <c r="I157" s="40">
        <v>282.77999999999997</v>
      </c>
      <c r="J157" s="40">
        <v>0</v>
      </c>
    </row>
    <row r="158" spans="1:10" ht="15.75" customHeight="1" x14ac:dyDescent="0.2">
      <c r="A158" s="34" t="s">
        <v>467</v>
      </c>
      <c r="B158" s="34" t="s">
        <v>794</v>
      </c>
      <c r="C158" s="34" t="s">
        <v>797</v>
      </c>
      <c r="D158" s="35" t="s">
        <v>796</v>
      </c>
      <c r="E158" s="36">
        <v>176.97</v>
      </c>
      <c r="F158" s="36">
        <v>362.79</v>
      </c>
      <c r="G158" s="36">
        <v>100.78</v>
      </c>
      <c r="H158" s="37">
        <v>56.95</v>
      </c>
      <c r="I158" s="36">
        <v>362.79</v>
      </c>
      <c r="J158" s="36">
        <v>0</v>
      </c>
    </row>
    <row r="159" spans="1:10" ht="15.75" customHeight="1" x14ac:dyDescent="0.2">
      <c r="A159" s="38" t="s">
        <v>467</v>
      </c>
      <c r="B159" s="38" t="s">
        <v>794</v>
      </c>
      <c r="C159" s="38" t="s">
        <v>798</v>
      </c>
      <c r="D159" s="39" t="s">
        <v>796</v>
      </c>
      <c r="E159" s="40">
        <v>42.82</v>
      </c>
      <c r="F159" s="40">
        <v>87.78</v>
      </c>
      <c r="G159" s="40">
        <v>24.39</v>
      </c>
      <c r="H159" s="41">
        <v>56.95</v>
      </c>
      <c r="I159" s="40">
        <v>87.78</v>
      </c>
      <c r="J159" s="40">
        <v>0</v>
      </c>
    </row>
    <row r="160" spans="1:10" ht="15.75" customHeight="1" x14ac:dyDescent="0.2">
      <c r="A160" s="34" t="s">
        <v>467</v>
      </c>
      <c r="B160" s="34" t="s">
        <v>799</v>
      </c>
      <c r="C160" s="34" t="s">
        <v>800</v>
      </c>
      <c r="D160" s="35" t="s">
        <v>801</v>
      </c>
      <c r="E160" s="36">
        <v>19.68</v>
      </c>
      <c r="F160" s="36">
        <v>40.340000000000003</v>
      </c>
      <c r="G160" s="36">
        <v>11.21</v>
      </c>
      <c r="H160" s="37">
        <v>56.95</v>
      </c>
      <c r="I160" s="36">
        <v>40.340000000000003</v>
      </c>
      <c r="J160" s="36">
        <v>0</v>
      </c>
    </row>
    <row r="161" spans="1:10" ht="15.75" customHeight="1" x14ac:dyDescent="0.2">
      <c r="A161" s="38" t="s">
        <v>467</v>
      </c>
      <c r="B161" s="38" t="s">
        <v>802</v>
      </c>
      <c r="C161" s="38" t="s">
        <v>803</v>
      </c>
      <c r="D161" s="39" t="s">
        <v>796</v>
      </c>
      <c r="E161" s="40">
        <v>69.709999999999994</v>
      </c>
      <c r="F161" s="40">
        <v>142.91</v>
      </c>
      <c r="G161" s="40">
        <v>39.700000000000003</v>
      </c>
      <c r="H161" s="41">
        <v>56.95</v>
      </c>
      <c r="I161" s="40">
        <v>142.91</v>
      </c>
      <c r="J161" s="40">
        <v>0</v>
      </c>
    </row>
    <row r="162" spans="1:10" ht="15.75" customHeight="1" x14ac:dyDescent="0.2">
      <c r="A162" s="34" t="s">
        <v>467</v>
      </c>
      <c r="B162" s="34" t="s">
        <v>802</v>
      </c>
      <c r="C162" s="34" t="s">
        <v>804</v>
      </c>
      <c r="D162" s="35" t="s">
        <v>796</v>
      </c>
      <c r="E162" s="36">
        <v>99.95</v>
      </c>
      <c r="F162" s="36">
        <v>204.9</v>
      </c>
      <c r="G162" s="36">
        <v>56.92</v>
      </c>
      <c r="H162" s="37">
        <v>56.95</v>
      </c>
      <c r="I162" s="36">
        <v>204.9</v>
      </c>
      <c r="J162" s="36">
        <v>0</v>
      </c>
    </row>
    <row r="163" spans="1:10" ht="15.75" customHeight="1" x14ac:dyDescent="0.2">
      <c r="A163" s="38" t="s">
        <v>467</v>
      </c>
      <c r="B163" s="38" t="s">
        <v>802</v>
      </c>
      <c r="C163" s="38" t="s">
        <v>805</v>
      </c>
      <c r="D163" s="39" t="s">
        <v>796</v>
      </c>
      <c r="E163" s="40">
        <v>122.35</v>
      </c>
      <c r="F163" s="40">
        <v>250.82</v>
      </c>
      <c r="G163" s="40">
        <v>69.680000000000007</v>
      </c>
      <c r="H163" s="41">
        <v>56.95</v>
      </c>
      <c r="I163" s="40">
        <v>250.82</v>
      </c>
      <c r="J163" s="40">
        <v>0</v>
      </c>
    </row>
    <row r="164" spans="1:10" ht="15.75" customHeight="1" x14ac:dyDescent="0.2">
      <c r="A164" s="34" t="s">
        <v>467</v>
      </c>
      <c r="B164" s="34" t="s">
        <v>806</v>
      </c>
      <c r="C164" s="34" t="s">
        <v>807</v>
      </c>
      <c r="D164" s="35" t="s">
        <v>796</v>
      </c>
      <c r="E164" s="36">
        <v>45.21</v>
      </c>
      <c r="F164" s="36">
        <v>92.68</v>
      </c>
      <c r="G164" s="36">
        <v>25.75</v>
      </c>
      <c r="H164" s="37">
        <v>56.95</v>
      </c>
      <c r="I164" s="36">
        <v>92.68</v>
      </c>
      <c r="J164" s="36">
        <v>0</v>
      </c>
    </row>
    <row r="165" spans="1:10" ht="15.75" customHeight="1" x14ac:dyDescent="0.2">
      <c r="A165" s="38" t="s">
        <v>467</v>
      </c>
      <c r="B165" s="38" t="s">
        <v>808</v>
      </c>
      <c r="C165" s="38" t="s">
        <v>809</v>
      </c>
      <c r="D165" s="39" t="s">
        <v>810</v>
      </c>
      <c r="E165" s="40">
        <v>28.69</v>
      </c>
      <c r="F165" s="40">
        <v>58.81</v>
      </c>
      <c r="G165" s="40">
        <v>16.34</v>
      </c>
      <c r="H165" s="41">
        <v>56.95</v>
      </c>
      <c r="I165" s="40">
        <v>58.81</v>
      </c>
      <c r="J165" s="40">
        <v>0</v>
      </c>
    </row>
    <row r="166" spans="1:10" ht="15.75" customHeight="1" x14ac:dyDescent="0.2">
      <c r="A166" s="34" t="s">
        <v>467</v>
      </c>
      <c r="B166" s="34" t="s">
        <v>811</v>
      </c>
      <c r="C166" s="34" t="s">
        <v>812</v>
      </c>
      <c r="D166" s="35" t="s">
        <v>813</v>
      </c>
      <c r="E166" s="36">
        <v>12.41</v>
      </c>
      <c r="F166" s="36">
        <v>25.44</v>
      </c>
      <c r="G166" s="36">
        <v>7.07</v>
      </c>
      <c r="H166" s="37">
        <v>56.95</v>
      </c>
      <c r="I166" s="36">
        <v>25.44</v>
      </c>
      <c r="J166" s="36">
        <v>0</v>
      </c>
    </row>
    <row r="167" spans="1:10" ht="15.75" customHeight="1" x14ac:dyDescent="0.2">
      <c r="D167" s="18" t="s">
        <v>814</v>
      </c>
      <c r="E167" s="19">
        <f>SUM(E2:E166)</f>
        <v>38863.069999999992</v>
      </c>
      <c r="F167" s="19">
        <f>SUM(F2:F166)</f>
        <v>79669.359999999957</v>
      </c>
      <c r="G167" s="19">
        <f>SUM(G2:G166)</f>
        <v>22132.51</v>
      </c>
      <c r="H167" s="20">
        <f>AVERAGE(H2:H166)</f>
        <v>56.949999999999989</v>
      </c>
    </row>
    <row r="168" spans="1:10" ht="15.75" customHeight="1" x14ac:dyDescent="0.2"/>
    <row r="169" spans="1:10" ht="15.75" customHeight="1" x14ac:dyDescent="0.2"/>
    <row r="170" spans="1:10" ht="15.75" customHeight="1" x14ac:dyDescent="0.2"/>
    <row r="171" spans="1:10" ht="15.75" customHeight="1" x14ac:dyDescent="0.2"/>
    <row r="172" spans="1:10" ht="15.75" customHeight="1" x14ac:dyDescent="0.2"/>
    <row r="173" spans="1:10" ht="15.75" customHeight="1" x14ac:dyDescent="0.2"/>
    <row r="174" spans="1:10" ht="15.75" customHeight="1" x14ac:dyDescent="0.2"/>
    <row r="175" spans="1:10" ht="15.75" customHeight="1" x14ac:dyDescent="0.2"/>
    <row r="176" spans="1:10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4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4" customWidth="1"/>
    <col min="3" max="3" width="42" customWidth="1"/>
    <col min="4" max="4" width="12" customWidth="1"/>
    <col min="5" max="8" width="14" customWidth="1"/>
    <col min="9" max="10" width="13" customWidth="1"/>
    <col min="11" max="14" width="12" customWidth="1"/>
  </cols>
  <sheetData>
    <row r="1" spans="1:14" ht="30" customHeight="1" x14ac:dyDescent="0.2">
      <c r="A1" s="42" t="s">
        <v>111</v>
      </c>
      <c r="B1" s="42" t="s">
        <v>113</v>
      </c>
      <c r="C1" s="42" t="s">
        <v>114</v>
      </c>
      <c r="D1" s="42" t="s">
        <v>815</v>
      </c>
      <c r="E1" s="42" t="s">
        <v>816</v>
      </c>
      <c r="F1" s="42" t="s">
        <v>817</v>
      </c>
      <c r="G1" s="42" t="s">
        <v>818</v>
      </c>
      <c r="H1" s="42" t="s">
        <v>819</v>
      </c>
      <c r="I1" s="42" t="s">
        <v>820</v>
      </c>
      <c r="J1" s="42" t="s">
        <v>821</v>
      </c>
      <c r="K1" s="42" t="s">
        <v>822</v>
      </c>
      <c r="L1" s="42" t="s">
        <v>823</v>
      </c>
      <c r="M1" s="42" t="s">
        <v>824</v>
      </c>
      <c r="N1" s="42" t="s">
        <v>825</v>
      </c>
    </row>
    <row r="2" spans="1:14" x14ac:dyDescent="0.2">
      <c r="A2" s="43" t="s">
        <v>125</v>
      </c>
      <c r="B2" s="43" t="s">
        <v>426</v>
      </c>
      <c r="C2" s="43" t="s">
        <v>826</v>
      </c>
      <c r="D2" s="44" t="s">
        <v>827</v>
      </c>
      <c r="E2" s="45">
        <v>347</v>
      </c>
      <c r="F2" s="45">
        <v>145</v>
      </c>
      <c r="G2" s="45">
        <v>175.45</v>
      </c>
      <c r="H2" s="45">
        <v>-202</v>
      </c>
      <c r="I2" s="46">
        <v>-139.31034482758619</v>
      </c>
      <c r="J2" s="46">
        <v>-58.213256484149852</v>
      </c>
      <c r="K2" s="47"/>
      <c r="L2" s="48"/>
      <c r="M2" s="47"/>
      <c r="N2" s="48"/>
    </row>
    <row r="3" spans="1:14" x14ac:dyDescent="0.2">
      <c r="A3" s="49" t="s">
        <v>125</v>
      </c>
      <c r="B3" s="49" t="s">
        <v>426</v>
      </c>
      <c r="C3" s="49" t="s">
        <v>427</v>
      </c>
      <c r="D3" s="50" t="s">
        <v>828</v>
      </c>
      <c r="E3" s="51">
        <v>80</v>
      </c>
      <c r="F3" s="51">
        <v>145</v>
      </c>
      <c r="G3" s="51">
        <v>175.45</v>
      </c>
      <c r="H3" s="51">
        <v>65</v>
      </c>
      <c r="I3" s="52">
        <v>44.827586206896562</v>
      </c>
      <c r="J3" s="52">
        <v>81.25</v>
      </c>
      <c r="K3" s="53"/>
      <c r="L3" s="54"/>
      <c r="M3" s="53"/>
      <c r="N3" s="54"/>
    </row>
    <row r="4" spans="1:14" x14ac:dyDescent="0.2">
      <c r="A4" s="55" t="s">
        <v>125</v>
      </c>
      <c r="B4" s="55" t="s">
        <v>426</v>
      </c>
      <c r="C4" s="55" t="s">
        <v>427</v>
      </c>
      <c r="D4" s="56" t="s">
        <v>829</v>
      </c>
      <c r="E4" s="57">
        <v>92</v>
      </c>
      <c r="F4" s="57">
        <v>145</v>
      </c>
      <c r="G4" s="57">
        <v>175.45</v>
      </c>
      <c r="H4" s="57">
        <v>53</v>
      </c>
      <c r="I4" s="58">
        <v>36.551724137931032</v>
      </c>
      <c r="J4" s="58">
        <v>57.608695652173907</v>
      </c>
      <c r="K4" s="59">
        <v>12</v>
      </c>
      <c r="L4" s="60">
        <v>15</v>
      </c>
      <c r="M4" s="59">
        <v>0</v>
      </c>
      <c r="N4" s="60">
        <v>0</v>
      </c>
    </row>
    <row r="5" spans="1:14" x14ac:dyDescent="0.2">
      <c r="A5" s="43" t="s">
        <v>125</v>
      </c>
      <c r="B5" s="43" t="s">
        <v>423</v>
      </c>
      <c r="C5" s="43" t="s">
        <v>830</v>
      </c>
      <c r="D5" s="44" t="s">
        <v>827</v>
      </c>
      <c r="E5" s="45">
        <v>302</v>
      </c>
      <c r="F5" s="45">
        <v>165</v>
      </c>
      <c r="G5" s="45">
        <v>199.65</v>
      </c>
      <c r="H5" s="45">
        <v>-137</v>
      </c>
      <c r="I5" s="46">
        <v>-83.030303030303031</v>
      </c>
      <c r="J5" s="46">
        <v>-45.364238410596023</v>
      </c>
      <c r="K5" s="47"/>
      <c r="L5" s="48"/>
      <c r="M5" s="47"/>
      <c r="N5" s="48"/>
    </row>
    <row r="6" spans="1:14" x14ac:dyDescent="0.2">
      <c r="A6" s="49" t="s">
        <v>125</v>
      </c>
      <c r="B6" s="49" t="s">
        <v>423</v>
      </c>
      <c r="C6" s="49" t="s">
        <v>424</v>
      </c>
      <c r="D6" s="50" t="s">
        <v>828</v>
      </c>
      <c r="E6" s="51">
        <v>91</v>
      </c>
      <c r="F6" s="51">
        <v>165</v>
      </c>
      <c r="G6" s="51">
        <v>199.65</v>
      </c>
      <c r="H6" s="51">
        <v>74</v>
      </c>
      <c r="I6" s="52">
        <v>44.848484848484851</v>
      </c>
      <c r="J6" s="52">
        <v>81.318681318681314</v>
      </c>
      <c r="K6" s="53"/>
      <c r="L6" s="54"/>
      <c r="M6" s="53"/>
      <c r="N6" s="54"/>
    </row>
    <row r="7" spans="1:14" x14ac:dyDescent="0.2">
      <c r="A7" s="55" t="s">
        <v>125</v>
      </c>
      <c r="B7" s="55" t="s">
        <v>423</v>
      </c>
      <c r="C7" s="55" t="s">
        <v>424</v>
      </c>
      <c r="D7" s="56" t="s">
        <v>829</v>
      </c>
      <c r="E7" s="57">
        <v>104</v>
      </c>
      <c r="F7" s="57">
        <v>165</v>
      </c>
      <c r="G7" s="57">
        <v>199.65</v>
      </c>
      <c r="H7" s="57">
        <v>61</v>
      </c>
      <c r="I7" s="58">
        <v>36.969696969696969</v>
      </c>
      <c r="J7" s="58">
        <v>58.653846153846153</v>
      </c>
      <c r="K7" s="59">
        <v>13</v>
      </c>
      <c r="L7" s="60">
        <v>14.285714285714279</v>
      </c>
      <c r="M7" s="59">
        <v>0</v>
      </c>
      <c r="N7" s="60">
        <v>0</v>
      </c>
    </row>
    <row r="8" spans="1:14" x14ac:dyDescent="0.2">
      <c r="A8" s="43" t="s">
        <v>125</v>
      </c>
      <c r="B8" s="43" t="s">
        <v>435</v>
      </c>
      <c r="C8" s="43" t="s">
        <v>831</v>
      </c>
      <c r="D8" s="44" t="s">
        <v>827</v>
      </c>
      <c r="E8" s="45">
        <v>189</v>
      </c>
      <c r="F8" s="45">
        <v>95</v>
      </c>
      <c r="G8" s="45">
        <v>114.95</v>
      </c>
      <c r="H8" s="45">
        <v>-94</v>
      </c>
      <c r="I8" s="46">
        <v>-98.94736842105263</v>
      </c>
      <c r="J8" s="46">
        <v>-49.735449735449727</v>
      </c>
      <c r="K8" s="47"/>
      <c r="L8" s="48"/>
      <c r="M8" s="47"/>
      <c r="N8" s="48"/>
    </row>
    <row r="9" spans="1:14" x14ac:dyDescent="0.2">
      <c r="A9" s="49" t="s">
        <v>125</v>
      </c>
      <c r="B9" s="49" t="s">
        <v>435</v>
      </c>
      <c r="C9" s="49" t="s">
        <v>436</v>
      </c>
      <c r="D9" s="50" t="s">
        <v>828</v>
      </c>
      <c r="E9" s="51">
        <v>53</v>
      </c>
      <c r="F9" s="51">
        <v>95</v>
      </c>
      <c r="G9" s="51">
        <v>114.95</v>
      </c>
      <c r="H9" s="51">
        <v>42</v>
      </c>
      <c r="I9" s="52">
        <v>44.210526315789473</v>
      </c>
      <c r="J9" s="52">
        <v>79.245283018867923</v>
      </c>
      <c r="K9" s="53"/>
      <c r="L9" s="54"/>
      <c r="M9" s="53"/>
      <c r="N9" s="54"/>
    </row>
    <row r="10" spans="1:14" x14ac:dyDescent="0.2">
      <c r="A10" s="55" t="s">
        <v>125</v>
      </c>
      <c r="B10" s="55" t="s">
        <v>435</v>
      </c>
      <c r="C10" s="55" t="s">
        <v>436</v>
      </c>
      <c r="D10" s="56" t="s">
        <v>829</v>
      </c>
      <c r="E10" s="57">
        <v>60</v>
      </c>
      <c r="F10" s="57">
        <v>95</v>
      </c>
      <c r="G10" s="57">
        <v>114.95</v>
      </c>
      <c r="H10" s="57">
        <v>35</v>
      </c>
      <c r="I10" s="58">
        <v>36.84210526315789</v>
      </c>
      <c r="J10" s="58">
        <v>58.333333333333343</v>
      </c>
      <c r="K10" s="59">
        <v>7</v>
      </c>
      <c r="L10" s="60">
        <v>13.20754716981132</v>
      </c>
      <c r="M10" s="59">
        <v>0</v>
      </c>
      <c r="N10" s="60">
        <v>0</v>
      </c>
    </row>
    <row r="11" spans="1:14" x14ac:dyDescent="0.2">
      <c r="A11" s="43" t="s">
        <v>125</v>
      </c>
      <c r="B11" s="43" t="s">
        <v>429</v>
      </c>
      <c r="C11" s="43" t="s">
        <v>832</v>
      </c>
      <c r="D11" s="44" t="s">
        <v>827</v>
      </c>
      <c r="E11" s="45">
        <v>60</v>
      </c>
      <c r="F11" s="45">
        <v>480</v>
      </c>
      <c r="G11" s="45">
        <v>580.79999999999995</v>
      </c>
      <c r="H11" s="45">
        <v>420</v>
      </c>
      <c r="I11" s="46">
        <v>87.5</v>
      </c>
      <c r="J11" s="46">
        <v>700</v>
      </c>
      <c r="K11" s="47"/>
      <c r="L11" s="48"/>
      <c r="M11" s="47"/>
      <c r="N11" s="48"/>
    </row>
    <row r="12" spans="1:14" x14ac:dyDescent="0.2">
      <c r="A12" s="49" t="s">
        <v>125</v>
      </c>
      <c r="B12" s="49" t="s">
        <v>429</v>
      </c>
      <c r="C12" s="49" t="s">
        <v>430</v>
      </c>
      <c r="D12" s="50" t="s">
        <v>828</v>
      </c>
      <c r="E12" s="51">
        <v>264</v>
      </c>
      <c r="F12" s="51">
        <v>480</v>
      </c>
      <c r="G12" s="51">
        <v>580.79999999999995</v>
      </c>
      <c r="H12" s="51">
        <v>216</v>
      </c>
      <c r="I12" s="52">
        <v>45</v>
      </c>
      <c r="J12" s="52">
        <v>81.818181818181827</v>
      </c>
      <c r="K12" s="53"/>
      <c r="L12" s="54"/>
      <c r="M12" s="53"/>
      <c r="N12" s="54"/>
    </row>
    <row r="13" spans="1:14" x14ac:dyDescent="0.2">
      <c r="A13" s="55" t="s">
        <v>125</v>
      </c>
      <c r="B13" s="55" t="s">
        <v>429</v>
      </c>
      <c r="C13" s="55" t="s">
        <v>430</v>
      </c>
      <c r="D13" s="56" t="s">
        <v>829</v>
      </c>
      <c r="E13" s="57">
        <v>303</v>
      </c>
      <c r="F13" s="57">
        <v>480</v>
      </c>
      <c r="G13" s="57">
        <v>580.79999999999995</v>
      </c>
      <c r="H13" s="57">
        <v>177</v>
      </c>
      <c r="I13" s="58">
        <v>36.875</v>
      </c>
      <c r="J13" s="58">
        <v>58.415841584158407</v>
      </c>
      <c r="K13" s="59">
        <v>39</v>
      </c>
      <c r="L13" s="60">
        <v>14.77272727272727</v>
      </c>
      <c r="M13" s="59">
        <v>0</v>
      </c>
      <c r="N13" s="60">
        <v>0</v>
      </c>
    </row>
    <row r="14" spans="1:14" x14ac:dyDescent="0.2">
      <c r="A14" s="43" t="s">
        <v>125</v>
      </c>
      <c r="B14" s="43" t="s">
        <v>420</v>
      </c>
      <c r="C14" s="43" t="s">
        <v>421</v>
      </c>
      <c r="D14" s="44" t="s">
        <v>828</v>
      </c>
      <c r="E14" s="45">
        <v>328</v>
      </c>
      <c r="F14" s="45">
        <v>595</v>
      </c>
      <c r="G14" s="45">
        <v>719.95</v>
      </c>
      <c r="H14" s="45">
        <v>267</v>
      </c>
      <c r="I14" s="46">
        <v>44.873949579831937</v>
      </c>
      <c r="J14" s="46">
        <v>81.402439024390233</v>
      </c>
      <c r="K14" s="47"/>
      <c r="L14" s="48"/>
      <c r="M14" s="47"/>
      <c r="N14" s="48"/>
    </row>
    <row r="15" spans="1:14" x14ac:dyDescent="0.2">
      <c r="A15" s="61" t="s">
        <v>125</v>
      </c>
      <c r="B15" s="61" t="s">
        <v>420</v>
      </c>
      <c r="C15" s="61" t="s">
        <v>421</v>
      </c>
      <c r="D15" s="62" t="s">
        <v>829</v>
      </c>
      <c r="E15" s="63">
        <v>375</v>
      </c>
      <c r="F15" s="63">
        <v>595</v>
      </c>
      <c r="G15" s="63">
        <v>719.95</v>
      </c>
      <c r="H15" s="63">
        <v>220</v>
      </c>
      <c r="I15" s="64">
        <v>36.97478991596639</v>
      </c>
      <c r="J15" s="64">
        <v>58.666666666666657</v>
      </c>
      <c r="K15" s="65">
        <v>47</v>
      </c>
      <c r="L15" s="66">
        <v>14.329268292682929</v>
      </c>
      <c r="M15" s="65">
        <v>0</v>
      </c>
      <c r="N15" s="66">
        <v>0</v>
      </c>
    </row>
    <row r="16" spans="1:14" x14ac:dyDescent="0.2">
      <c r="A16" s="49" t="s">
        <v>125</v>
      </c>
      <c r="B16" s="49" t="s">
        <v>420</v>
      </c>
      <c r="C16" s="49" t="s">
        <v>833</v>
      </c>
      <c r="D16" s="50" t="s">
        <v>827</v>
      </c>
      <c r="E16" s="51">
        <v>91</v>
      </c>
      <c r="F16" s="51">
        <v>595</v>
      </c>
      <c r="G16" s="51">
        <v>719.95</v>
      </c>
      <c r="H16" s="51">
        <v>504</v>
      </c>
      <c r="I16" s="52">
        <v>84.705882352941174</v>
      </c>
      <c r="J16" s="52">
        <v>553.84615384615381</v>
      </c>
      <c r="K16" s="53"/>
      <c r="L16" s="54"/>
      <c r="M16" s="53"/>
      <c r="N16" s="54"/>
    </row>
    <row r="17" spans="1:14" x14ac:dyDescent="0.2">
      <c r="A17" s="43" t="s">
        <v>125</v>
      </c>
      <c r="B17" s="43" t="s">
        <v>438</v>
      </c>
      <c r="C17" s="43" t="s">
        <v>439</v>
      </c>
      <c r="D17" s="44" t="s">
        <v>828</v>
      </c>
      <c r="E17" s="45">
        <v>88</v>
      </c>
      <c r="F17" s="45">
        <v>160</v>
      </c>
      <c r="G17" s="45">
        <v>193.6</v>
      </c>
      <c r="H17" s="45">
        <v>72</v>
      </c>
      <c r="I17" s="46">
        <v>45</v>
      </c>
      <c r="J17" s="46">
        <v>81.818181818181827</v>
      </c>
      <c r="K17" s="47"/>
      <c r="L17" s="48"/>
      <c r="M17" s="47"/>
      <c r="N17" s="48"/>
    </row>
    <row r="18" spans="1:14" x14ac:dyDescent="0.2">
      <c r="A18" s="61" t="s">
        <v>125</v>
      </c>
      <c r="B18" s="61" t="s">
        <v>438</v>
      </c>
      <c r="C18" s="61" t="s">
        <v>439</v>
      </c>
      <c r="D18" s="62" t="s">
        <v>829</v>
      </c>
      <c r="E18" s="63">
        <v>101</v>
      </c>
      <c r="F18" s="63">
        <v>160</v>
      </c>
      <c r="G18" s="63">
        <v>193.6</v>
      </c>
      <c r="H18" s="63">
        <v>59</v>
      </c>
      <c r="I18" s="64">
        <v>36.875</v>
      </c>
      <c r="J18" s="64">
        <v>58.415841584158407</v>
      </c>
      <c r="K18" s="65">
        <v>13</v>
      </c>
      <c r="L18" s="66">
        <v>14.77272727272727</v>
      </c>
      <c r="M18" s="65">
        <v>0</v>
      </c>
      <c r="N18" s="66">
        <v>0</v>
      </c>
    </row>
    <row r="19" spans="1:14" x14ac:dyDescent="0.2">
      <c r="A19" s="49" t="s">
        <v>125</v>
      </c>
      <c r="B19" s="49" t="s">
        <v>438</v>
      </c>
      <c r="C19" s="49" t="s">
        <v>834</v>
      </c>
      <c r="D19" s="50" t="s">
        <v>827</v>
      </c>
      <c r="E19" s="51">
        <v>561</v>
      </c>
      <c r="F19" s="51">
        <v>160</v>
      </c>
      <c r="G19" s="51">
        <v>193.6</v>
      </c>
      <c r="H19" s="51">
        <v>-401</v>
      </c>
      <c r="I19" s="52">
        <v>-250.625</v>
      </c>
      <c r="J19" s="52">
        <v>-71.479500891265602</v>
      </c>
      <c r="K19" s="53"/>
      <c r="L19" s="54"/>
      <c r="M19" s="53"/>
      <c r="N19" s="54"/>
    </row>
    <row r="20" spans="1:14" x14ac:dyDescent="0.2">
      <c r="A20" s="43" t="s">
        <v>125</v>
      </c>
      <c r="B20" s="43" t="s">
        <v>281</v>
      </c>
      <c r="C20" s="43" t="s">
        <v>282</v>
      </c>
      <c r="D20" s="44" t="s">
        <v>828</v>
      </c>
      <c r="E20" s="45">
        <v>259</v>
      </c>
      <c r="F20" s="45">
        <v>470</v>
      </c>
      <c r="G20" s="45">
        <v>568.70000000000005</v>
      </c>
      <c r="H20" s="45">
        <v>211</v>
      </c>
      <c r="I20" s="46">
        <v>44.893617021276597</v>
      </c>
      <c r="J20" s="46">
        <v>81.467181467181476</v>
      </c>
      <c r="K20" s="47"/>
      <c r="L20" s="48"/>
      <c r="M20" s="47"/>
      <c r="N20" s="48"/>
    </row>
    <row r="21" spans="1:14" x14ac:dyDescent="0.2">
      <c r="A21" s="61" t="s">
        <v>125</v>
      </c>
      <c r="B21" s="61" t="s">
        <v>281</v>
      </c>
      <c r="C21" s="61" t="s">
        <v>282</v>
      </c>
      <c r="D21" s="62" t="s">
        <v>827</v>
      </c>
      <c r="E21" s="63">
        <v>296</v>
      </c>
      <c r="F21" s="63">
        <v>470</v>
      </c>
      <c r="G21" s="63">
        <v>568.70000000000005</v>
      </c>
      <c r="H21" s="63">
        <v>174</v>
      </c>
      <c r="I21" s="64">
        <v>37.021276595744681</v>
      </c>
      <c r="J21" s="64">
        <v>58.783783783783782</v>
      </c>
      <c r="K21" s="65">
        <v>37</v>
      </c>
      <c r="L21" s="66">
        <v>14.285714285714279</v>
      </c>
      <c r="M21" s="65">
        <v>0</v>
      </c>
      <c r="N21" s="66">
        <v>0</v>
      </c>
    </row>
    <row r="22" spans="1:14" x14ac:dyDescent="0.2">
      <c r="A22" s="61" t="s">
        <v>125</v>
      </c>
      <c r="B22" s="61" t="s">
        <v>281</v>
      </c>
      <c r="C22" s="61" t="s">
        <v>282</v>
      </c>
      <c r="D22" s="62" t="s">
        <v>829</v>
      </c>
      <c r="E22" s="63">
        <v>297</v>
      </c>
      <c r="F22" s="63">
        <v>470</v>
      </c>
      <c r="G22" s="63">
        <v>568.70000000000005</v>
      </c>
      <c r="H22" s="63">
        <v>173</v>
      </c>
      <c r="I22" s="64">
        <v>36.808510638297868</v>
      </c>
      <c r="J22" s="64">
        <v>58.249158249158249</v>
      </c>
      <c r="K22" s="65">
        <v>1</v>
      </c>
      <c r="L22" s="66">
        <v>0.33783783783783777</v>
      </c>
      <c r="M22" s="65">
        <v>0</v>
      </c>
      <c r="N22" s="66">
        <v>0</v>
      </c>
    </row>
    <row r="23" spans="1:14" x14ac:dyDescent="0.2">
      <c r="A23" s="49" t="s">
        <v>125</v>
      </c>
      <c r="B23" s="49" t="s">
        <v>462</v>
      </c>
      <c r="C23" s="49" t="s">
        <v>463</v>
      </c>
      <c r="D23" s="50" t="s">
        <v>828</v>
      </c>
      <c r="E23" s="51">
        <v>193</v>
      </c>
      <c r="F23" s="51">
        <v>350</v>
      </c>
      <c r="G23" s="51">
        <v>423.5</v>
      </c>
      <c r="H23" s="51">
        <v>157</v>
      </c>
      <c r="I23" s="52">
        <v>44.857142857142847</v>
      </c>
      <c r="J23" s="52">
        <v>81.347150259067362</v>
      </c>
      <c r="K23" s="53"/>
      <c r="L23" s="54"/>
      <c r="M23" s="53"/>
      <c r="N23" s="54"/>
    </row>
    <row r="24" spans="1:14" x14ac:dyDescent="0.2">
      <c r="A24" s="55" t="s">
        <v>125</v>
      </c>
      <c r="B24" s="55" t="s">
        <v>462</v>
      </c>
      <c r="C24" s="55" t="s">
        <v>463</v>
      </c>
      <c r="D24" s="56" t="s">
        <v>829</v>
      </c>
      <c r="E24" s="57">
        <v>221</v>
      </c>
      <c r="F24" s="57">
        <v>350</v>
      </c>
      <c r="G24" s="57">
        <v>423.5</v>
      </c>
      <c r="H24" s="57">
        <v>129</v>
      </c>
      <c r="I24" s="58">
        <v>36.857142857142847</v>
      </c>
      <c r="J24" s="58">
        <v>58.371040723981913</v>
      </c>
      <c r="K24" s="59">
        <v>28</v>
      </c>
      <c r="L24" s="60">
        <v>14.50777202072539</v>
      </c>
      <c r="M24" s="59">
        <v>0</v>
      </c>
      <c r="N24" s="60">
        <v>0</v>
      </c>
    </row>
    <row r="25" spans="1:14" x14ac:dyDescent="0.2">
      <c r="A25" s="43" t="s">
        <v>125</v>
      </c>
      <c r="B25" s="43" t="s">
        <v>462</v>
      </c>
      <c r="C25" s="43" t="s">
        <v>835</v>
      </c>
      <c r="D25" s="44" t="s">
        <v>827</v>
      </c>
      <c r="E25" s="45">
        <v>198</v>
      </c>
      <c r="F25" s="45">
        <v>350</v>
      </c>
      <c r="G25" s="45">
        <v>423.5</v>
      </c>
      <c r="H25" s="45">
        <v>152</v>
      </c>
      <c r="I25" s="46">
        <v>43.428571428571431</v>
      </c>
      <c r="J25" s="46">
        <v>76.767676767676761</v>
      </c>
      <c r="K25" s="47"/>
      <c r="L25" s="48"/>
      <c r="M25" s="47"/>
      <c r="N25" s="48"/>
    </row>
    <row r="26" spans="1:14" x14ac:dyDescent="0.2">
      <c r="A26" s="49" t="s">
        <v>125</v>
      </c>
      <c r="B26" s="49" t="s">
        <v>406</v>
      </c>
      <c r="C26" s="49" t="s">
        <v>836</v>
      </c>
      <c r="D26" s="50" t="s">
        <v>827</v>
      </c>
      <c r="E26" s="51">
        <v>1342</v>
      </c>
      <c r="F26" s="51">
        <v>3135</v>
      </c>
      <c r="G26" s="51">
        <v>3793.35</v>
      </c>
      <c r="H26" s="51">
        <v>1793</v>
      </c>
      <c r="I26" s="52">
        <v>57.192982456140349</v>
      </c>
      <c r="J26" s="52">
        <v>133.6065573770492</v>
      </c>
      <c r="K26" s="53"/>
      <c r="L26" s="54"/>
      <c r="M26" s="53"/>
      <c r="N26" s="54"/>
    </row>
    <row r="27" spans="1:14" x14ac:dyDescent="0.2">
      <c r="A27" s="43" t="s">
        <v>125</v>
      </c>
      <c r="B27" s="43" t="s">
        <v>406</v>
      </c>
      <c r="C27" s="43" t="s">
        <v>407</v>
      </c>
      <c r="D27" s="44" t="s">
        <v>828</v>
      </c>
      <c r="E27" s="45">
        <v>1725</v>
      </c>
      <c r="F27" s="45">
        <v>3135</v>
      </c>
      <c r="G27" s="45">
        <v>3793.35</v>
      </c>
      <c r="H27" s="45">
        <v>1410</v>
      </c>
      <c r="I27" s="46">
        <v>44.976076555023923</v>
      </c>
      <c r="J27" s="46">
        <v>81.739130434782609</v>
      </c>
      <c r="K27" s="47"/>
      <c r="L27" s="48"/>
      <c r="M27" s="47"/>
      <c r="N27" s="48"/>
    </row>
    <row r="28" spans="1:14" x14ac:dyDescent="0.2">
      <c r="A28" s="61" t="s">
        <v>125</v>
      </c>
      <c r="B28" s="61" t="s">
        <v>406</v>
      </c>
      <c r="C28" s="61" t="s">
        <v>407</v>
      </c>
      <c r="D28" s="62" t="s">
        <v>829</v>
      </c>
      <c r="E28" s="63">
        <v>1976</v>
      </c>
      <c r="F28" s="63">
        <v>3135</v>
      </c>
      <c r="G28" s="63">
        <v>3793.35</v>
      </c>
      <c r="H28" s="63">
        <v>1159</v>
      </c>
      <c r="I28" s="64">
        <v>36.969696969696969</v>
      </c>
      <c r="J28" s="64">
        <v>58.653846153846153</v>
      </c>
      <c r="K28" s="65">
        <v>251</v>
      </c>
      <c r="L28" s="66">
        <v>14.55072463768116</v>
      </c>
      <c r="M28" s="65">
        <v>0</v>
      </c>
      <c r="N28" s="66">
        <v>0</v>
      </c>
    </row>
    <row r="29" spans="1:14" x14ac:dyDescent="0.2">
      <c r="A29" s="49" t="s">
        <v>125</v>
      </c>
      <c r="B29" s="49" t="s">
        <v>415</v>
      </c>
      <c r="C29" s="49" t="s">
        <v>416</v>
      </c>
      <c r="D29" s="50" t="s">
        <v>828</v>
      </c>
      <c r="E29" s="51">
        <v>1736</v>
      </c>
      <c r="F29" s="51">
        <v>3155</v>
      </c>
      <c r="G29" s="51">
        <v>3817.55</v>
      </c>
      <c r="H29" s="51">
        <v>1419</v>
      </c>
      <c r="I29" s="52">
        <v>44.97622820919176</v>
      </c>
      <c r="J29" s="52">
        <v>81.739631336405523</v>
      </c>
      <c r="K29" s="53"/>
      <c r="L29" s="54"/>
      <c r="M29" s="53"/>
      <c r="N29" s="54"/>
    </row>
    <row r="30" spans="1:14" x14ac:dyDescent="0.2">
      <c r="A30" s="55" t="s">
        <v>125</v>
      </c>
      <c r="B30" s="55" t="s">
        <v>415</v>
      </c>
      <c r="C30" s="55" t="s">
        <v>416</v>
      </c>
      <c r="D30" s="56" t="s">
        <v>829</v>
      </c>
      <c r="E30" s="57">
        <v>1988</v>
      </c>
      <c r="F30" s="57">
        <v>3155</v>
      </c>
      <c r="G30" s="57">
        <v>3817.55</v>
      </c>
      <c r="H30" s="57">
        <v>1167</v>
      </c>
      <c r="I30" s="58">
        <v>36.988906497622821</v>
      </c>
      <c r="J30" s="58">
        <v>58.70221327967807</v>
      </c>
      <c r="K30" s="59">
        <v>252</v>
      </c>
      <c r="L30" s="60">
        <v>14.516129032258069</v>
      </c>
      <c r="M30" s="59">
        <v>0</v>
      </c>
      <c r="N30" s="60">
        <v>0</v>
      </c>
    </row>
    <row r="31" spans="1:14" x14ac:dyDescent="0.2">
      <c r="A31" s="43" t="s">
        <v>125</v>
      </c>
      <c r="B31" s="43" t="s">
        <v>415</v>
      </c>
      <c r="C31" s="43" t="s">
        <v>837</v>
      </c>
      <c r="D31" s="44" t="s">
        <v>827</v>
      </c>
      <c r="E31" s="45">
        <v>375</v>
      </c>
      <c r="F31" s="45">
        <v>3155</v>
      </c>
      <c r="G31" s="45">
        <v>3817.55</v>
      </c>
      <c r="H31" s="45">
        <v>2780</v>
      </c>
      <c r="I31" s="46">
        <v>88.114104595879567</v>
      </c>
      <c r="J31" s="46">
        <v>741.33333333333326</v>
      </c>
      <c r="K31" s="47"/>
      <c r="L31" s="48"/>
      <c r="M31" s="47"/>
      <c r="N31" s="48"/>
    </row>
    <row r="32" spans="1:14" x14ac:dyDescent="0.2">
      <c r="A32" s="49" t="s">
        <v>125</v>
      </c>
      <c r="B32" s="49" t="s">
        <v>332</v>
      </c>
      <c r="C32" s="49" t="s">
        <v>333</v>
      </c>
      <c r="D32" s="50" t="s">
        <v>828</v>
      </c>
      <c r="E32" s="51">
        <v>264</v>
      </c>
      <c r="F32" s="51">
        <v>480</v>
      </c>
      <c r="G32" s="51">
        <v>580.79999999999995</v>
      </c>
      <c r="H32" s="51">
        <v>216</v>
      </c>
      <c r="I32" s="52">
        <v>45</v>
      </c>
      <c r="J32" s="52">
        <v>81.818181818181827</v>
      </c>
      <c r="K32" s="53"/>
      <c r="L32" s="54"/>
      <c r="M32" s="53"/>
      <c r="N32" s="54"/>
    </row>
    <row r="33" spans="1:14" x14ac:dyDescent="0.2">
      <c r="A33" s="55" t="s">
        <v>125</v>
      </c>
      <c r="B33" s="55" t="s">
        <v>332</v>
      </c>
      <c r="C33" s="55" t="s">
        <v>838</v>
      </c>
      <c r="D33" s="56" t="s">
        <v>827</v>
      </c>
      <c r="E33" s="57">
        <v>302</v>
      </c>
      <c r="F33" s="57">
        <v>480</v>
      </c>
      <c r="G33" s="57">
        <v>580.79999999999995</v>
      </c>
      <c r="H33" s="57">
        <v>178</v>
      </c>
      <c r="I33" s="58">
        <v>37.083333333333343</v>
      </c>
      <c r="J33" s="58">
        <v>58.940397350993379</v>
      </c>
      <c r="K33" s="59">
        <v>38</v>
      </c>
      <c r="L33" s="60">
        <v>14.393939393939389</v>
      </c>
      <c r="M33" s="59">
        <v>0</v>
      </c>
      <c r="N33" s="60">
        <v>0</v>
      </c>
    </row>
    <row r="34" spans="1:14" x14ac:dyDescent="0.2">
      <c r="A34" s="55" t="s">
        <v>125</v>
      </c>
      <c r="B34" s="55" t="s">
        <v>332</v>
      </c>
      <c r="C34" s="55" t="s">
        <v>333</v>
      </c>
      <c r="D34" s="56" t="s">
        <v>829</v>
      </c>
      <c r="E34" s="57">
        <v>303</v>
      </c>
      <c r="F34" s="57">
        <v>480</v>
      </c>
      <c r="G34" s="57">
        <v>580.79999999999995</v>
      </c>
      <c r="H34" s="57">
        <v>177</v>
      </c>
      <c r="I34" s="58">
        <v>36.875</v>
      </c>
      <c r="J34" s="58">
        <v>58.415841584158407</v>
      </c>
      <c r="K34" s="59">
        <v>1</v>
      </c>
      <c r="L34" s="60">
        <v>0.33112582781456962</v>
      </c>
      <c r="M34" s="59">
        <v>0</v>
      </c>
      <c r="N34" s="60">
        <v>0</v>
      </c>
    </row>
    <row r="35" spans="1:14" x14ac:dyDescent="0.2">
      <c r="A35" s="43" t="s">
        <v>125</v>
      </c>
      <c r="B35" s="43" t="s">
        <v>335</v>
      </c>
      <c r="C35" s="43" t="s">
        <v>336</v>
      </c>
      <c r="D35" s="44" t="s">
        <v>828</v>
      </c>
      <c r="E35" s="45">
        <v>413</v>
      </c>
      <c r="F35" s="45">
        <v>750</v>
      </c>
      <c r="G35" s="45">
        <v>907.5</v>
      </c>
      <c r="H35" s="45">
        <v>337</v>
      </c>
      <c r="I35" s="46">
        <v>44.93333333333333</v>
      </c>
      <c r="J35" s="46">
        <v>81.598062953995154</v>
      </c>
      <c r="K35" s="47"/>
      <c r="L35" s="48"/>
      <c r="M35" s="47"/>
      <c r="N35" s="48"/>
    </row>
    <row r="36" spans="1:14" x14ac:dyDescent="0.2">
      <c r="A36" s="61" t="s">
        <v>125</v>
      </c>
      <c r="B36" s="61" t="s">
        <v>335</v>
      </c>
      <c r="C36" s="61" t="s">
        <v>839</v>
      </c>
      <c r="D36" s="62" t="s">
        <v>827</v>
      </c>
      <c r="E36" s="63">
        <v>473</v>
      </c>
      <c r="F36" s="63">
        <v>750</v>
      </c>
      <c r="G36" s="63">
        <v>907.5</v>
      </c>
      <c r="H36" s="63">
        <v>277</v>
      </c>
      <c r="I36" s="64">
        <v>36.933333333333337</v>
      </c>
      <c r="J36" s="64">
        <v>58.562367864693442</v>
      </c>
      <c r="K36" s="65">
        <v>60</v>
      </c>
      <c r="L36" s="66">
        <v>14.52784503631961</v>
      </c>
      <c r="M36" s="65">
        <v>0</v>
      </c>
      <c r="N36" s="66">
        <v>0</v>
      </c>
    </row>
    <row r="37" spans="1:14" x14ac:dyDescent="0.2">
      <c r="A37" s="61" t="s">
        <v>125</v>
      </c>
      <c r="B37" s="61" t="s">
        <v>335</v>
      </c>
      <c r="C37" s="61" t="s">
        <v>336</v>
      </c>
      <c r="D37" s="62" t="s">
        <v>829</v>
      </c>
      <c r="E37" s="63">
        <v>473</v>
      </c>
      <c r="F37" s="63">
        <v>750</v>
      </c>
      <c r="G37" s="63">
        <v>907.5</v>
      </c>
      <c r="H37" s="63">
        <v>277</v>
      </c>
      <c r="I37" s="64">
        <v>36.933333333333337</v>
      </c>
      <c r="J37" s="64">
        <v>58.562367864693442</v>
      </c>
      <c r="K37" s="65">
        <v>0</v>
      </c>
      <c r="L37" s="66">
        <v>0</v>
      </c>
      <c r="M37" s="65">
        <v>0</v>
      </c>
      <c r="N37" s="66">
        <v>0</v>
      </c>
    </row>
    <row r="38" spans="1:14" x14ac:dyDescent="0.2">
      <c r="A38" s="49" t="s">
        <v>125</v>
      </c>
      <c r="B38" s="49" t="s">
        <v>338</v>
      </c>
      <c r="C38" s="49" t="s">
        <v>339</v>
      </c>
      <c r="D38" s="50" t="s">
        <v>828</v>
      </c>
      <c r="E38" s="51">
        <v>534</v>
      </c>
      <c r="F38" s="51">
        <v>970</v>
      </c>
      <c r="G38" s="51">
        <v>1173.7</v>
      </c>
      <c r="H38" s="51">
        <v>436</v>
      </c>
      <c r="I38" s="52">
        <v>44.948453608247434</v>
      </c>
      <c r="J38" s="52">
        <v>81.647940074906373</v>
      </c>
      <c r="K38" s="53"/>
      <c r="L38" s="54"/>
      <c r="M38" s="53"/>
      <c r="N38" s="54"/>
    </row>
    <row r="39" spans="1:14" x14ac:dyDescent="0.2">
      <c r="A39" s="55" t="s">
        <v>125</v>
      </c>
      <c r="B39" s="55" t="s">
        <v>338</v>
      </c>
      <c r="C39" s="55" t="s">
        <v>840</v>
      </c>
      <c r="D39" s="56" t="s">
        <v>827</v>
      </c>
      <c r="E39" s="57">
        <v>611</v>
      </c>
      <c r="F39" s="57">
        <v>970</v>
      </c>
      <c r="G39" s="57">
        <v>1173.7</v>
      </c>
      <c r="H39" s="57">
        <v>359</v>
      </c>
      <c r="I39" s="58">
        <v>37.010309278350519</v>
      </c>
      <c r="J39" s="58">
        <v>58.756137479541742</v>
      </c>
      <c r="K39" s="59">
        <v>77</v>
      </c>
      <c r="L39" s="60">
        <v>14.419475655430711</v>
      </c>
      <c r="M39" s="59">
        <v>0</v>
      </c>
      <c r="N39" s="60">
        <v>0</v>
      </c>
    </row>
    <row r="40" spans="1:14" x14ac:dyDescent="0.2">
      <c r="A40" s="55" t="s">
        <v>125</v>
      </c>
      <c r="B40" s="55" t="s">
        <v>338</v>
      </c>
      <c r="C40" s="55" t="s">
        <v>339</v>
      </c>
      <c r="D40" s="56" t="s">
        <v>829</v>
      </c>
      <c r="E40" s="57">
        <v>612</v>
      </c>
      <c r="F40" s="57">
        <v>970</v>
      </c>
      <c r="G40" s="57">
        <v>1173.7</v>
      </c>
      <c r="H40" s="57">
        <v>358</v>
      </c>
      <c r="I40" s="58">
        <v>36.907216494845358</v>
      </c>
      <c r="J40" s="58">
        <v>58.496732026143803</v>
      </c>
      <c r="K40" s="59">
        <v>1</v>
      </c>
      <c r="L40" s="60">
        <v>0.16366612111292961</v>
      </c>
      <c r="M40" s="59">
        <v>0</v>
      </c>
      <c r="N40" s="60">
        <v>0</v>
      </c>
    </row>
    <row r="41" spans="1:14" x14ac:dyDescent="0.2">
      <c r="A41" s="43" t="s">
        <v>125</v>
      </c>
      <c r="B41" s="43" t="s">
        <v>341</v>
      </c>
      <c r="C41" s="43" t="s">
        <v>342</v>
      </c>
      <c r="D41" s="44" t="s">
        <v>828</v>
      </c>
      <c r="E41" s="45">
        <v>1092</v>
      </c>
      <c r="F41" s="45">
        <v>1985</v>
      </c>
      <c r="G41" s="45">
        <v>2401.85</v>
      </c>
      <c r="H41" s="45">
        <v>893</v>
      </c>
      <c r="I41" s="46">
        <v>44.987405541561706</v>
      </c>
      <c r="J41" s="46">
        <v>81.776556776556774</v>
      </c>
      <c r="K41" s="47"/>
      <c r="L41" s="48"/>
      <c r="M41" s="47"/>
      <c r="N41" s="48"/>
    </row>
    <row r="42" spans="1:14" x14ac:dyDescent="0.2">
      <c r="A42" s="61" t="s">
        <v>125</v>
      </c>
      <c r="B42" s="61" t="s">
        <v>341</v>
      </c>
      <c r="C42" s="61" t="s">
        <v>841</v>
      </c>
      <c r="D42" s="62" t="s">
        <v>827</v>
      </c>
      <c r="E42" s="63">
        <v>1251</v>
      </c>
      <c r="F42" s="63">
        <v>1985</v>
      </c>
      <c r="G42" s="63">
        <v>2401.85</v>
      </c>
      <c r="H42" s="63">
        <v>734</v>
      </c>
      <c r="I42" s="64">
        <v>36.977329974811077</v>
      </c>
      <c r="J42" s="64">
        <v>58.6730615507594</v>
      </c>
      <c r="K42" s="65">
        <v>159</v>
      </c>
      <c r="L42" s="66">
        <v>14.56043956043956</v>
      </c>
      <c r="M42" s="65">
        <v>0</v>
      </c>
      <c r="N42" s="66">
        <v>0</v>
      </c>
    </row>
    <row r="43" spans="1:14" x14ac:dyDescent="0.2">
      <c r="A43" s="61" t="s">
        <v>125</v>
      </c>
      <c r="B43" s="61" t="s">
        <v>341</v>
      </c>
      <c r="C43" s="61" t="s">
        <v>342</v>
      </c>
      <c r="D43" s="62" t="s">
        <v>829</v>
      </c>
      <c r="E43" s="63">
        <v>1251</v>
      </c>
      <c r="F43" s="63">
        <v>1985</v>
      </c>
      <c r="G43" s="63">
        <v>2401.85</v>
      </c>
      <c r="H43" s="63">
        <v>734</v>
      </c>
      <c r="I43" s="64">
        <v>36.977329974811077</v>
      </c>
      <c r="J43" s="64">
        <v>58.6730615507594</v>
      </c>
      <c r="K43" s="65">
        <v>0</v>
      </c>
      <c r="L43" s="66">
        <v>0</v>
      </c>
      <c r="M43" s="65">
        <v>0</v>
      </c>
      <c r="N43" s="66">
        <v>0</v>
      </c>
    </row>
    <row r="44" spans="1:14" x14ac:dyDescent="0.2">
      <c r="A44" s="49" t="s">
        <v>125</v>
      </c>
      <c r="B44" s="49" t="s">
        <v>344</v>
      </c>
      <c r="C44" s="49" t="s">
        <v>345</v>
      </c>
      <c r="D44" s="50" t="s">
        <v>828</v>
      </c>
      <c r="E44" s="51">
        <v>1263</v>
      </c>
      <c r="F44" s="51">
        <v>2295</v>
      </c>
      <c r="G44" s="51">
        <v>2776.95</v>
      </c>
      <c r="H44" s="51">
        <v>1032</v>
      </c>
      <c r="I44" s="52">
        <v>44.967320261437912</v>
      </c>
      <c r="J44" s="52">
        <v>81.710213776722085</v>
      </c>
      <c r="K44" s="53"/>
      <c r="L44" s="54"/>
      <c r="M44" s="53"/>
      <c r="N44" s="54"/>
    </row>
    <row r="45" spans="1:14" x14ac:dyDescent="0.2">
      <c r="A45" s="55" t="s">
        <v>125</v>
      </c>
      <c r="B45" s="55" t="s">
        <v>344</v>
      </c>
      <c r="C45" s="55" t="s">
        <v>842</v>
      </c>
      <c r="D45" s="56" t="s">
        <v>827</v>
      </c>
      <c r="E45" s="57">
        <v>1446</v>
      </c>
      <c r="F45" s="57">
        <v>2295</v>
      </c>
      <c r="G45" s="57">
        <v>2776.95</v>
      </c>
      <c r="H45" s="57">
        <v>849</v>
      </c>
      <c r="I45" s="58">
        <v>36.993464052287592</v>
      </c>
      <c r="J45" s="58">
        <v>58.713692946058103</v>
      </c>
      <c r="K45" s="59">
        <v>183</v>
      </c>
      <c r="L45" s="60">
        <v>14.48931116389549</v>
      </c>
      <c r="M45" s="59">
        <v>0</v>
      </c>
      <c r="N45" s="60">
        <v>0</v>
      </c>
    </row>
    <row r="46" spans="1:14" x14ac:dyDescent="0.2">
      <c r="A46" s="55" t="s">
        <v>125</v>
      </c>
      <c r="B46" s="55" t="s">
        <v>344</v>
      </c>
      <c r="C46" s="55" t="s">
        <v>345</v>
      </c>
      <c r="D46" s="56" t="s">
        <v>829</v>
      </c>
      <c r="E46" s="57">
        <v>1446</v>
      </c>
      <c r="F46" s="57">
        <v>2295</v>
      </c>
      <c r="G46" s="57">
        <v>2776.95</v>
      </c>
      <c r="H46" s="57">
        <v>849</v>
      </c>
      <c r="I46" s="58">
        <v>36.993464052287592</v>
      </c>
      <c r="J46" s="58">
        <v>58.713692946058103</v>
      </c>
      <c r="K46" s="59">
        <v>0</v>
      </c>
      <c r="L46" s="60">
        <v>0</v>
      </c>
      <c r="M46" s="59">
        <v>0</v>
      </c>
      <c r="N46" s="60">
        <v>0</v>
      </c>
    </row>
    <row r="47" spans="1:14" x14ac:dyDescent="0.2">
      <c r="A47" s="43" t="s">
        <v>125</v>
      </c>
      <c r="B47" s="43" t="s">
        <v>409</v>
      </c>
      <c r="C47" s="43" t="s">
        <v>843</v>
      </c>
      <c r="D47" s="44" t="s">
        <v>827</v>
      </c>
      <c r="E47" s="45">
        <v>1988</v>
      </c>
      <c r="F47" s="45">
        <v>3490</v>
      </c>
      <c r="G47" s="45">
        <v>4222.8999999999996</v>
      </c>
      <c r="H47" s="45">
        <v>1502</v>
      </c>
      <c r="I47" s="46">
        <v>43.03724928366762</v>
      </c>
      <c r="J47" s="46">
        <v>75.553319919517108</v>
      </c>
      <c r="K47" s="47"/>
      <c r="L47" s="48"/>
      <c r="M47" s="47"/>
      <c r="N47" s="48"/>
    </row>
    <row r="48" spans="1:14" x14ac:dyDescent="0.2">
      <c r="A48" s="49" t="s">
        <v>125</v>
      </c>
      <c r="B48" s="49" t="s">
        <v>409</v>
      </c>
      <c r="C48" s="49" t="s">
        <v>410</v>
      </c>
      <c r="D48" s="50" t="s">
        <v>828</v>
      </c>
      <c r="E48" s="51">
        <v>1920</v>
      </c>
      <c r="F48" s="51">
        <v>3490</v>
      </c>
      <c r="G48" s="51">
        <v>4222.8999999999996</v>
      </c>
      <c r="H48" s="51">
        <v>1570</v>
      </c>
      <c r="I48" s="52">
        <v>44.985673352435533</v>
      </c>
      <c r="J48" s="52">
        <v>81.770833333333343</v>
      </c>
      <c r="K48" s="53"/>
      <c r="L48" s="54"/>
      <c r="M48" s="53"/>
      <c r="N48" s="54"/>
    </row>
    <row r="49" spans="1:14" x14ac:dyDescent="0.2">
      <c r="A49" s="55" t="s">
        <v>125</v>
      </c>
      <c r="B49" s="55" t="s">
        <v>409</v>
      </c>
      <c r="C49" s="55" t="s">
        <v>410</v>
      </c>
      <c r="D49" s="56" t="s">
        <v>829</v>
      </c>
      <c r="E49" s="57">
        <v>2199</v>
      </c>
      <c r="F49" s="57">
        <v>3490</v>
      </c>
      <c r="G49" s="57">
        <v>4222.8999999999996</v>
      </c>
      <c r="H49" s="57">
        <v>1291</v>
      </c>
      <c r="I49" s="58">
        <v>36.99140401146132</v>
      </c>
      <c r="J49" s="58">
        <v>58.708503865393361</v>
      </c>
      <c r="K49" s="59">
        <v>279</v>
      </c>
      <c r="L49" s="60">
        <v>14.53125</v>
      </c>
      <c r="M49" s="59">
        <v>0</v>
      </c>
      <c r="N49" s="60">
        <v>0</v>
      </c>
    </row>
    <row r="50" spans="1:14" x14ac:dyDescent="0.2">
      <c r="A50" s="43" t="s">
        <v>125</v>
      </c>
      <c r="B50" s="43" t="s">
        <v>456</v>
      </c>
      <c r="C50" s="43" t="s">
        <v>457</v>
      </c>
      <c r="D50" s="44" t="s">
        <v>828</v>
      </c>
      <c r="E50" s="45">
        <v>820</v>
      </c>
      <c r="F50" s="45">
        <v>1490</v>
      </c>
      <c r="G50" s="45">
        <v>1802.9</v>
      </c>
      <c r="H50" s="45">
        <v>670</v>
      </c>
      <c r="I50" s="46">
        <v>44.966442953020128</v>
      </c>
      <c r="J50" s="46">
        <v>81.707317073170728</v>
      </c>
      <c r="K50" s="47"/>
      <c r="L50" s="48"/>
      <c r="M50" s="47"/>
      <c r="N50" s="48"/>
    </row>
    <row r="51" spans="1:14" x14ac:dyDescent="0.2">
      <c r="A51" s="61" t="s">
        <v>125</v>
      </c>
      <c r="B51" s="61" t="s">
        <v>456</v>
      </c>
      <c r="C51" s="61" t="s">
        <v>457</v>
      </c>
      <c r="D51" s="62" t="s">
        <v>829</v>
      </c>
      <c r="E51" s="63">
        <v>939</v>
      </c>
      <c r="F51" s="63">
        <v>1490</v>
      </c>
      <c r="G51" s="63">
        <v>1802.9</v>
      </c>
      <c r="H51" s="63">
        <v>551</v>
      </c>
      <c r="I51" s="64">
        <v>36.979865771812079</v>
      </c>
      <c r="J51" s="64">
        <v>58.679446219382328</v>
      </c>
      <c r="K51" s="65">
        <v>119</v>
      </c>
      <c r="L51" s="66">
        <v>14.512195121951221</v>
      </c>
      <c r="M51" s="65">
        <v>0</v>
      </c>
      <c r="N51" s="66">
        <v>0</v>
      </c>
    </row>
    <row r="52" spans="1:14" x14ac:dyDescent="0.2">
      <c r="A52" s="49" t="s">
        <v>125</v>
      </c>
      <c r="B52" s="49" t="s">
        <v>456</v>
      </c>
      <c r="C52" s="49" t="s">
        <v>844</v>
      </c>
      <c r="D52" s="50" t="s">
        <v>827</v>
      </c>
      <c r="E52" s="51">
        <v>221</v>
      </c>
      <c r="F52" s="51">
        <v>1490</v>
      </c>
      <c r="G52" s="51">
        <v>1802.9</v>
      </c>
      <c r="H52" s="51">
        <v>1269</v>
      </c>
      <c r="I52" s="52">
        <v>85.167785234899327</v>
      </c>
      <c r="J52" s="52">
        <v>574.20814479638011</v>
      </c>
      <c r="K52" s="53"/>
      <c r="L52" s="54"/>
      <c r="M52" s="53"/>
      <c r="N52" s="54"/>
    </row>
    <row r="53" spans="1:14" x14ac:dyDescent="0.2">
      <c r="A53" s="43" t="s">
        <v>125</v>
      </c>
      <c r="B53" s="43" t="s">
        <v>366</v>
      </c>
      <c r="C53" s="43" t="s">
        <v>367</v>
      </c>
      <c r="D53" s="44" t="s">
        <v>828</v>
      </c>
      <c r="E53" s="45">
        <v>267</v>
      </c>
      <c r="F53" s="45">
        <v>485</v>
      </c>
      <c r="G53" s="45">
        <v>586.85</v>
      </c>
      <c r="H53" s="45">
        <v>218</v>
      </c>
      <c r="I53" s="46">
        <v>44.948453608247434</v>
      </c>
      <c r="J53" s="46">
        <v>81.647940074906373</v>
      </c>
      <c r="K53" s="47"/>
      <c r="L53" s="48"/>
      <c r="M53" s="47"/>
      <c r="N53" s="48"/>
    </row>
    <row r="54" spans="1:14" x14ac:dyDescent="0.2">
      <c r="A54" s="61" t="s">
        <v>125</v>
      </c>
      <c r="B54" s="61" t="s">
        <v>366</v>
      </c>
      <c r="C54" s="61" t="s">
        <v>845</v>
      </c>
      <c r="D54" s="62" t="s">
        <v>827</v>
      </c>
      <c r="E54" s="63">
        <v>306</v>
      </c>
      <c r="F54" s="63">
        <v>485</v>
      </c>
      <c r="G54" s="63">
        <v>586.85</v>
      </c>
      <c r="H54" s="63">
        <v>179</v>
      </c>
      <c r="I54" s="64">
        <v>36.907216494845358</v>
      </c>
      <c r="J54" s="64">
        <v>58.496732026143803</v>
      </c>
      <c r="K54" s="65">
        <v>39</v>
      </c>
      <c r="L54" s="66">
        <v>14.606741573033711</v>
      </c>
      <c r="M54" s="65">
        <v>0</v>
      </c>
      <c r="N54" s="66">
        <v>0</v>
      </c>
    </row>
    <row r="55" spans="1:14" x14ac:dyDescent="0.2">
      <c r="A55" s="61" t="s">
        <v>125</v>
      </c>
      <c r="B55" s="61" t="s">
        <v>366</v>
      </c>
      <c r="C55" s="61" t="s">
        <v>367</v>
      </c>
      <c r="D55" s="62" t="s">
        <v>829</v>
      </c>
      <c r="E55" s="63">
        <v>306</v>
      </c>
      <c r="F55" s="63">
        <v>485</v>
      </c>
      <c r="G55" s="63">
        <v>586.85</v>
      </c>
      <c r="H55" s="63">
        <v>179</v>
      </c>
      <c r="I55" s="64">
        <v>36.907216494845358</v>
      </c>
      <c r="J55" s="64">
        <v>58.496732026143803</v>
      </c>
      <c r="K55" s="65">
        <v>0</v>
      </c>
      <c r="L55" s="66">
        <v>0</v>
      </c>
      <c r="M55" s="65">
        <v>0</v>
      </c>
      <c r="N55" s="66">
        <v>0</v>
      </c>
    </row>
    <row r="56" spans="1:14" x14ac:dyDescent="0.2">
      <c r="A56" s="49" t="s">
        <v>125</v>
      </c>
      <c r="B56" s="49" t="s">
        <v>372</v>
      </c>
      <c r="C56" s="49" t="s">
        <v>373</v>
      </c>
      <c r="D56" s="50" t="s">
        <v>828</v>
      </c>
      <c r="E56" s="51">
        <v>523</v>
      </c>
      <c r="F56" s="51">
        <v>950</v>
      </c>
      <c r="G56" s="51">
        <v>1149.5</v>
      </c>
      <c r="H56" s="51">
        <v>427</v>
      </c>
      <c r="I56" s="52">
        <v>44.94736842105263</v>
      </c>
      <c r="J56" s="52">
        <v>81.644359464627144</v>
      </c>
      <c r="K56" s="53"/>
      <c r="L56" s="54"/>
      <c r="M56" s="53"/>
      <c r="N56" s="54"/>
    </row>
    <row r="57" spans="1:14" x14ac:dyDescent="0.2">
      <c r="A57" s="55" t="s">
        <v>125</v>
      </c>
      <c r="B57" s="55" t="s">
        <v>372</v>
      </c>
      <c r="C57" s="55" t="s">
        <v>846</v>
      </c>
      <c r="D57" s="56" t="s">
        <v>827</v>
      </c>
      <c r="E57" s="57">
        <v>599</v>
      </c>
      <c r="F57" s="57">
        <v>950</v>
      </c>
      <c r="G57" s="57">
        <v>1149.5</v>
      </c>
      <c r="H57" s="57">
        <v>351</v>
      </c>
      <c r="I57" s="58">
        <v>36.947368421052637</v>
      </c>
      <c r="J57" s="58">
        <v>58.597662771285478</v>
      </c>
      <c r="K57" s="59">
        <v>76</v>
      </c>
      <c r="L57" s="60">
        <v>14.531548757170169</v>
      </c>
      <c r="M57" s="59">
        <v>0</v>
      </c>
      <c r="N57" s="60">
        <v>0</v>
      </c>
    </row>
    <row r="58" spans="1:14" x14ac:dyDescent="0.2">
      <c r="A58" s="55" t="s">
        <v>125</v>
      </c>
      <c r="B58" s="55" t="s">
        <v>372</v>
      </c>
      <c r="C58" s="55" t="s">
        <v>373</v>
      </c>
      <c r="D58" s="56" t="s">
        <v>829</v>
      </c>
      <c r="E58" s="57">
        <v>599</v>
      </c>
      <c r="F58" s="57">
        <v>950</v>
      </c>
      <c r="G58" s="57">
        <v>1149.5</v>
      </c>
      <c r="H58" s="57">
        <v>351</v>
      </c>
      <c r="I58" s="58">
        <v>36.947368421052637</v>
      </c>
      <c r="J58" s="58">
        <v>58.597662771285478</v>
      </c>
      <c r="K58" s="59">
        <v>0</v>
      </c>
      <c r="L58" s="60">
        <v>0</v>
      </c>
      <c r="M58" s="59">
        <v>0</v>
      </c>
      <c r="N58" s="60">
        <v>0</v>
      </c>
    </row>
    <row r="59" spans="1:14" x14ac:dyDescent="0.2">
      <c r="A59" s="43" t="s">
        <v>125</v>
      </c>
      <c r="B59" s="43" t="s">
        <v>372</v>
      </c>
      <c r="C59" s="43" t="s">
        <v>383</v>
      </c>
      <c r="D59" s="44" t="s">
        <v>828</v>
      </c>
      <c r="E59" s="45">
        <v>1257</v>
      </c>
      <c r="F59" s="45">
        <v>2285</v>
      </c>
      <c r="G59" s="45">
        <v>2764.85</v>
      </c>
      <c r="H59" s="45">
        <v>1028</v>
      </c>
      <c r="I59" s="46">
        <v>44.989059080962797</v>
      </c>
      <c r="J59" s="46">
        <v>81.782020684168657</v>
      </c>
      <c r="K59" s="47"/>
      <c r="L59" s="48"/>
      <c r="M59" s="47"/>
      <c r="N59" s="48"/>
    </row>
    <row r="60" spans="1:14" x14ac:dyDescent="0.2">
      <c r="A60" s="61" t="s">
        <v>125</v>
      </c>
      <c r="B60" s="61" t="s">
        <v>372</v>
      </c>
      <c r="C60" s="61" t="s">
        <v>383</v>
      </c>
      <c r="D60" s="62" t="s">
        <v>829</v>
      </c>
      <c r="E60" s="63">
        <v>1440</v>
      </c>
      <c r="F60" s="63">
        <v>2285</v>
      </c>
      <c r="G60" s="63">
        <v>2764.85</v>
      </c>
      <c r="H60" s="63">
        <v>845</v>
      </c>
      <c r="I60" s="64">
        <v>36.980306345733041</v>
      </c>
      <c r="J60" s="64">
        <v>58.680555555555557</v>
      </c>
      <c r="K60" s="65">
        <v>183</v>
      </c>
      <c r="L60" s="66">
        <v>14.55847255369928</v>
      </c>
      <c r="M60" s="65">
        <v>0</v>
      </c>
      <c r="N60" s="66">
        <v>0</v>
      </c>
    </row>
    <row r="61" spans="1:14" x14ac:dyDescent="0.2">
      <c r="A61" s="49" t="s">
        <v>125</v>
      </c>
      <c r="B61" s="49" t="s">
        <v>372</v>
      </c>
      <c r="C61" s="49" t="s">
        <v>847</v>
      </c>
      <c r="D61" s="50" t="s">
        <v>827</v>
      </c>
      <c r="E61" s="51">
        <v>243</v>
      </c>
      <c r="F61" s="51">
        <v>2285</v>
      </c>
      <c r="G61" s="51">
        <v>2764.85</v>
      </c>
      <c r="H61" s="51">
        <v>2042</v>
      </c>
      <c r="I61" s="52">
        <v>89.365426695842459</v>
      </c>
      <c r="J61" s="52">
        <v>840.329218106996</v>
      </c>
      <c r="K61" s="53"/>
      <c r="L61" s="54"/>
      <c r="M61" s="53"/>
      <c r="N61" s="54"/>
    </row>
    <row r="62" spans="1:14" x14ac:dyDescent="0.2">
      <c r="A62" s="43" t="s">
        <v>125</v>
      </c>
      <c r="B62" s="43" t="s">
        <v>369</v>
      </c>
      <c r="C62" s="43" t="s">
        <v>370</v>
      </c>
      <c r="D62" s="44" t="s">
        <v>828</v>
      </c>
      <c r="E62" s="45">
        <v>383</v>
      </c>
      <c r="F62" s="45">
        <v>695</v>
      </c>
      <c r="G62" s="45">
        <v>840.95</v>
      </c>
      <c r="H62" s="45">
        <v>312</v>
      </c>
      <c r="I62" s="46">
        <v>44.89208633093525</v>
      </c>
      <c r="J62" s="46">
        <v>81.462140992167093</v>
      </c>
      <c r="K62" s="47"/>
      <c r="L62" s="48"/>
      <c r="M62" s="47"/>
      <c r="N62" s="48"/>
    </row>
    <row r="63" spans="1:14" x14ac:dyDescent="0.2">
      <c r="A63" s="61" t="s">
        <v>125</v>
      </c>
      <c r="B63" s="61" t="s">
        <v>369</v>
      </c>
      <c r="C63" s="61" t="s">
        <v>848</v>
      </c>
      <c r="D63" s="62" t="s">
        <v>827</v>
      </c>
      <c r="E63" s="63">
        <v>438</v>
      </c>
      <c r="F63" s="63">
        <v>695</v>
      </c>
      <c r="G63" s="63">
        <v>840.95</v>
      </c>
      <c r="H63" s="63">
        <v>257</v>
      </c>
      <c r="I63" s="64">
        <v>36.978417266187051</v>
      </c>
      <c r="J63" s="64">
        <v>58.675799086757998</v>
      </c>
      <c r="K63" s="65">
        <v>55</v>
      </c>
      <c r="L63" s="66">
        <v>14.36031331592689</v>
      </c>
      <c r="M63" s="65">
        <v>0</v>
      </c>
      <c r="N63" s="66">
        <v>0</v>
      </c>
    </row>
    <row r="64" spans="1:14" x14ac:dyDescent="0.2">
      <c r="A64" s="61" t="s">
        <v>125</v>
      </c>
      <c r="B64" s="61" t="s">
        <v>369</v>
      </c>
      <c r="C64" s="61" t="s">
        <v>370</v>
      </c>
      <c r="D64" s="62" t="s">
        <v>829</v>
      </c>
      <c r="E64" s="63">
        <v>438</v>
      </c>
      <c r="F64" s="63">
        <v>695</v>
      </c>
      <c r="G64" s="63">
        <v>840.95</v>
      </c>
      <c r="H64" s="63">
        <v>257</v>
      </c>
      <c r="I64" s="64">
        <v>36.978417266187051</v>
      </c>
      <c r="J64" s="64">
        <v>58.675799086757998</v>
      </c>
      <c r="K64" s="65">
        <v>0</v>
      </c>
      <c r="L64" s="66">
        <v>0</v>
      </c>
      <c r="M64" s="65">
        <v>0</v>
      </c>
      <c r="N64" s="66">
        <v>0</v>
      </c>
    </row>
    <row r="65" spans="1:14" x14ac:dyDescent="0.2">
      <c r="A65" s="49" t="s">
        <v>125</v>
      </c>
      <c r="B65" s="49" t="s">
        <v>381</v>
      </c>
      <c r="C65" s="49" t="s">
        <v>382</v>
      </c>
      <c r="D65" s="50" t="s">
        <v>828</v>
      </c>
      <c r="E65" s="51">
        <v>1067</v>
      </c>
      <c r="F65" s="51">
        <v>1940</v>
      </c>
      <c r="G65" s="51">
        <v>2347.4</v>
      </c>
      <c r="H65" s="51">
        <v>873</v>
      </c>
      <c r="I65" s="52">
        <v>45</v>
      </c>
      <c r="J65" s="52">
        <v>81.818181818181827</v>
      </c>
      <c r="K65" s="53"/>
      <c r="L65" s="54"/>
      <c r="M65" s="53"/>
      <c r="N65" s="54"/>
    </row>
    <row r="66" spans="1:14" x14ac:dyDescent="0.2">
      <c r="A66" s="55" t="s">
        <v>125</v>
      </c>
      <c r="B66" s="55" t="s">
        <v>381</v>
      </c>
      <c r="C66" s="55" t="s">
        <v>382</v>
      </c>
      <c r="D66" s="56" t="s">
        <v>829</v>
      </c>
      <c r="E66" s="57">
        <v>1223</v>
      </c>
      <c r="F66" s="57">
        <v>1940</v>
      </c>
      <c r="G66" s="57">
        <v>2347.4</v>
      </c>
      <c r="H66" s="57">
        <v>717</v>
      </c>
      <c r="I66" s="58">
        <v>36.958762886597938</v>
      </c>
      <c r="J66" s="58">
        <v>58.626328699918233</v>
      </c>
      <c r="K66" s="59">
        <v>156</v>
      </c>
      <c r="L66" s="60">
        <v>14.620431115276469</v>
      </c>
      <c r="M66" s="59">
        <v>0</v>
      </c>
      <c r="N66" s="60">
        <v>0</v>
      </c>
    </row>
    <row r="67" spans="1:14" x14ac:dyDescent="0.2">
      <c r="A67" s="43" t="s">
        <v>125</v>
      </c>
      <c r="B67" s="43" t="s">
        <v>381</v>
      </c>
      <c r="C67" s="43" t="s">
        <v>849</v>
      </c>
      <c r="D67" s="44" t="s">
        <v>827</v>
      </c>
      <c r="E67" s="45">
        <v>1065</v>
      </c>
      <c r="F67" s="45">
        <v>1940</v>
      </c>
      <c r="G67" s="45">
        <v>2347.4</v>
      </c>
      <c r="H67" s="45">
        <v>875</v>
      </c>
      <c r="I67" s="46">
        <v>45.103092783505147</v>
      </c>
      <c r="J67" s="46">
        <v>82.159624413145536</v>
      </c>
      <c r="K67" s="47"/>
      <c r="L67" s="48"/>
      <c r="M67" s="47"/>
      <c r="N67" s="48"/>
    </row>
    <row r="68" spans="1:14" x14ac:dyDescent="0.2">
      <c r="A68" s="49" t="s">
        <v>125</v>
      </c>
      <c r="B68" s="49" t="s">
        <v>375</v>
      </c>
      <c r="C68" s="49" t="s">
        <v>850</v>
      </c>
      <c r="D68" s="50" t="s">
        <v>827</v>
      </c>
      <c r="E68" s="51">
        <v>1222</v>
      </c>
      <c r="F68" s="51">
        <v>275</v>
      </c>
      <c r="G68" s="51">
        <v>332.75</v>
      </c>
      <c r="H68" s="51">
        <v>-947</v>
      </c>
      <c r="I68" s="52">
        <v>-344.36363636363637</v>
      </c>
      <c r="J68" s="52">
        <v>-77.495908346972172</v>
      </c>
      <c r="K68" s="53"/>
      <c r="L68" s="54"/>
      <c r="M68" s="53"/>
      <c r="N68" s="54"/>
    </row>
    <row r="69" spans="1:14" x14ac:dyDescent="0.2">
      <c r="A69" s="43" t="s">
        <v>125</v>
      </c>
      <c r="B69" s="43" t="s">
        <v>375</v>
      </c>
      <c r="C69" s="43" t="s">
        <v>376</v>
      </c>
      <c r="D69" s="44" t="s">
        <v>828</v>
      </c>
      <c r="E69" s="45">
        <v>152</v>
      </c>
      <c r="F69" s="45">
        <v>275</v>
      </c>
      <c r="G69" s="45">
        <v>332.75</v>
      </c>
      <c r="H69" s="45">
        <v>123</v>
      </c>
      <c r="I69" s="46">
        <v>44.727272727272727</v>
      </c>
      <c r="J69" s="46">
        <v>80.921052631578945</v>
      </c>
      <c r="K69" s="47"/>
      <c r="L69" s="48"/>
      <c r="M69" s="47"/>
      <c r="N69" s="48"/>
    </row>
    <row r="70" spans="1:14" x14ac:dyDescent="0.2">
      <c r="A70" s="61" t="s">
        <v>125</v>
      </c>
      <c r="B70" s="61" t="s">
        <v>375</v>
      </c>
      <c r="C70" s="61" t="s">
        <v>376</v>
      </c>
      <c r="D70" s="62" t="s">
        <v>829</v>
      </c>
      <c r="E70" s="63">
        <v>174</v>
      </c>
      <c r="F70" s="63">
        <v>275</v>
      </c>
      <c r="G70" s="63">
        <v>332.75</v>
      </c>
      <c r="H70" s="63">
        <v>101</v>
      </c>
      <c r="I70" s="64">
        <v>36.727272727272727</v>
      </c>
      <c r="J70" s="64">
        <v>58.045977011494251</v>
      </c>
      <c r="K70" s="65">
        <v>22</v>
      </c>
      <c r="L70" s="66">
        <v>14.47368421052632</v>
      </c>
      <c r="M70" s="65">
        <v>0</v>
      </c>
      <c r="N70" s="66">
        <v>0</v>
      </c>
    </row>
    <row r="71" spans="1:14" x14ac:dyDescent="0.2">
      <c r="A71" s="49" t="s">
        <v>125</v>
      </c>
      <c r="B71" s="49" t="s">
        <v>378</v>
      </c>
      <c r="C71" s="49" t="s">
        <v>851</v>
      </c>
      <c r="D71" s="50" t="s">
        <v>827</v>
      </c>
      <c r="E71" s="51">
        <v>1440</v>
      </c>
      <c r="F71" s="51">
        <v>365</v>
      </c>
      <c r="G71" s="51">
        <v>441.65</v>
      </c>
      <c r="H71" s="51">
        <v>-1075</v>
      </c>
      <c r="I71" s="52">
        <v>-294.52054794520552</v>
      </c>
      <c r="J71" s="52">
        <v>-74.652777777777786</v>
      </c>
      <c r="K71" s="53"/>
      <c r="L71" s="54"/>
      <c r="M71" s="53"/>
      <c r="N71" s="54"/>
    </row>
    <row r="72" spans="1:14" x14ac:dyDescent="0.2">
      <c r="A72" s="43" t="s">
        <v>125</v>
      </c>
      <c r="B72" s="43" t="s">
        <v>378</v>
      </c>
      <c r="C72" s="43" t="s">
        <v>379</v>
      </c>
      <c r="D72" s="44" t="s">
        <v>828</v>
      </c>
      <c r="E72" s="45">
        <v>201</v>
      </c>
      <c r="F72" s="45">
        <v>365</v>
      </c>
      <c r="G72" s="45">
        <v>441.65</v>
      </c>
      <c r="H72" s="45">
        <v>164</v>
      </c>
      <c r="I72" s="46">
        <v>44.93150684931507</v>
      </c>
      <c r="J72" s="46">
        <v>81.592039800995025</v>
      </c>
      <c r="K72" s="47"/>
      <c r="L72" s="48"/>
      <c r="M72" s="47"/>
      <c r="N72" s="48"/>
    </row>
    <row r="73" spans="1:14" x14ac:dyDescent="0.2">
      <c r="A73" s="61" t="s">
        <v>125</v>
      </c>
      <c r="B73" s="61" t="s">
        <v>378</v>
      </c>
      <c r="C73" s="61" t="s">
        <v>379</v>
      </c>
      <c r="D73" s="62" t="s">
        <v>829</v>
      </c>
      <c r="E73" s="63">
        <v>230</v>
      </c>
      <c r="F73" s="63">
        <v>365</v>
      </c>
      <c r="G73" s="63">
        <v>441.65</v>
      </c>
      <c r="H73" s="63">
        <v>135</v>
      </c>
      <c r="I73" s="64">
        <v>36.986301369863007</v>
      </c>
      <c r="J73" s="64">
        <v>58.695652173913047</v>
      </c>
      <c r="K73" s="65">
        <v>29</v>
      </c>
      <c r="L73" s="66">
        <v>14.42786069651741</v>
      </c>
      <c r="M73" s="65">
        <v>0</v>
      </c>
      <c r="N73" s="66">
        <v>0</v>
      </c>
    </row>
    <row r="74" spans="1:14" x14ac:dyDescent="0.2">
      <c r="A74" s="49" t="s">
        <v>125</v>
      </c>
      <c r="B74" s="49" t="s">
        <v>418</v>
      </c>
      <c r="C74" s="49" t="s">
        <v>419</v>
      </c>
      <c r="D74" s="50" t="s">
        <v>828</v>
      </c>
      <c r="E74" s="51">
        <v>300</v>
      </c>
      <c r="F74" s="51">
        <v>545</v>
      </c>
      <c r="G74" s="51">
        <v>659.45</v>
      </c>
      <c r="H74" s="51">
        <v>245</v>
      </c>
      <c r="I74" s="52">
        <v>44.954128440366972</v>
      </c>
      <c r="J74" s="52">
        <v>81.666666666666671</v>
      </c>
      <c r="K74" s="53"/>
      <c r="L74" s="54"/>
      <c r="M74" s="53"/>
      <c r="N74" s="54"/>
    </row>
    <row r="75" spans="1:14" x14ac:dyDescent="0.2">
      <c r="A75" s="55" t="s">
        <v>125</v>
      </c>
      <c r="B75" s="55" t="s">
        <v>418</v>
      </c>
      <c r="C75" s="55" t="s">
        <v>419</v>
      </c>
      <c r="D75" s="56" t="s">
        <v>829</v>
      </c>
      <c r="E75" s="57">
        <v>344</v>
      </c>
      <c r="F75" s="57">
        <v>545</v>
      </c>
      <c r="G75" s="57">
        <v>659.45</v>
      </c>
      <c r="H75" s="57">
        <v>201</v>
      </c>
      <c r="I75" s="58">
        <v>36.88073394495413</v>
      </c>
      <c r="J75" s="58">
        <v>58.430232558139537</v>
      </c>
      <c r="K75" s="59">
        <v>44</v>
      </c>
      <c r="L75" s="60">
        <v>14.66666666666667</v>
      </c>
      <c r="M75" s="59">
        <v>0</v>
      </c>
      <c r="N75" s="60">
        <v>0</v>
      </c>
    </row>
    <row r="76" spans="1:14" x14ac:dyDescent="0.2">
      <c r="A76" s="43" t="s">
        <v>125</v>
      </c>
      <c r="B76" s="43" t="s">
        <v>418</v>
      </c>
      <c r="C76" s="43" t="s">
        <v>852</v>
      </c>
      <c r="D76" s="44" t="s">
        <v>827</v>
      </c>
      <c r="E76" s="45">
        <v>104</v>
      </c>
      <c r="F76" s="45">
        <v>545</v>
      </c>
      <c r="G76" s="45">
        <v>659.45</v>
      </c>
      <c r="H76" s="45">
        <v>441</v>
      </c>
      <c r="I76" s="46">
        <v>80.917431192660544</v>
      </c>
      <c r="J76" s="46">
        <v>424.03846153846149</v>
      </c>
      <c r="K76" s="47"/>
      <c r="L76" s="48"/>
      <c r="M76" s="47"/>
      <c r="N76" s="48"/>
    </row>
    <row r="77" spans="1:14" x14ac:dyDescent="0.2">
      <c r="A77" s="49" t="s">
        <v>125</v>
      </c>
      <c r="B77" s="49" t="s">
        <v>272</v>
      </c>
      <c r="C77" s="49" t="s">
        <v>273</v>
      </c>
      <c r="D77" s="50" t="s">
        <v>828</v>
      </c>
      <c r="E77" s="51">
        <v>462</v>
      </c>
      <c r="F77" s="51">
        <v>840</v>
      </c>
      <c r="G77" s="51">
        <v>1016.4</v>
      </c>
      <c r="H77" s="51">
        <v>378</v>
      </c>
      <c r="I77" s="52">
        <v>45</v>
      </c>
      <c r="J77" s="52">
        <v>81.818181818181827</v>
      </c>
      <c r="K77" s="53"/>
      <c r="L77" s="54"/>
      <c r="M77" s="53"/>
      <c r="N77" s="54"/>
    </row>
    <row r="78" spans="1:14" x14ac:dyDescent="0.2">
      <c r="A78" s="55" t="s">
        <v>125</v>
      </c>
      <c r="B78" s="55" t="s">
        <v>272</v>
      </c>
      <c r="C78" s="55" t="s">
        <v>273</v>
      </c>
      <c r="D78" s="56" t="s">
        <v>827</v>
      </c>
      <c r="E78" s="57">
        <v>529</v>
      </c>
      <c r="F78" s="57">
        <v>840</v>
      </c>
      <c r="G78" s="57">
        <v>1016.4</v>
      </c>
      <c r="H78" s="57">
        <v>311</v>
      </c>
      <c r="I78" s="58">
        <v>37.023809523809533</v>
      </c>
      <c r="J78" s="58">
        <v>58.790170132325137</v>
      </c>
      <c r="K78" s="59">
        <v>67</v>
      </c>
      <c r="L78" s="60">
        <v>14.502164502164501</v>
      </c>
      <c r="M78" s="59">
        <v>0</v>
      </c>
      <c r="N78" s="60">
        <v>0</v>
      </c>
    </row>
    <row r="79" spans="1:14" x14ac:dyDescent="0.2">
      <c r="A79" s="55" t="s">
        <v>125</v>
      </c>
      <c r="B79" s="55" t="s">
        <v>272</v>
      </c>
      <c r="C79" s="55" t="s">
        <v>273</v>
      </c>
      <c r="D79" s="56" t="s">
        <v>829</v>
      </c>
      <c r="E79" s="57">
        <v>530</v>
      </c>
      <c r="F79" s="57">
        <v>840</v>
      </c>
      <c r="G79" s="57">
        <v>1016.4</v>
      </c>
      <c r="H79" s="57">
        <v>310</v>
      </c>
      <c r="I79" s="58">
        <v>36.904761904761912</v>
      </c>
      <c r="J79" s="58">
        <v>58.490566037735853</v>
      </c>
      <c r="K79" s="59">
        <v>1</v>
      </c>
      <c r="L79" s="60">
        <v>0.1890359168241966</v>
      </c>
      <c r="M79" s="59">
        <v>0</v>
      </c>
      <c r="N79" s="60">
        <v>0</v>
      </c>
    </row>
    <row r="80" spans="1:14" x14ac:dyDescent="0.2">
      <c r="A80" s="43" t="s">
        <v>125</v>
      </c>
      <c r="B80" s="43" t="s">
        <v>275</v>
      </c>
      <c r="C80" s="43" t="s">
        <v>276</v>
      </c>
      <c r="D80" s="44" t="s">
        <v>828</v>
      </c>
      <c r="E80" s="45">
        <v>718</v>
      </c>
      <c r="F80" s="45">
        <v>1305</v>
      </c>
      <c r="G80" s="45">
        <v>1579.05</v>
      </c>
      <c r="H80" s="45">
        <v>587</v>
      </c>
      <c r="I80" s="46">
        <v>44.980842911877403</v>
      </c>
      <c r="J80" s="46">
        <v>81.754874651810582</v>
      </c>
      <c r="K80" s="47"/>
      <c r="L80" s="48"/>
      <c r="M80" s="47"/>
      <c r="N80" s="48"/>
    </row>
    <row r="81" spans="1:14" x14ac:dyDescent="0.2">
      <c r="A81" s="61" t="s">
        <v>125</v>
      </c>
      <c r="B81" s="61" t="s">
        <v>275</v>
      </c>
      <c r="C81" s="61" t="s">
        <v>276</v>
      </c>
      <c r="D81" s="62" t="s">
        <v>827</v>
      </c>
      <c r="E81" s="63">
        <v>822</v>
      </c>
      <c r="F81" s="63">
        <v>1305</v>
      </c>
      <c r="G81" s="63">
        <v>1579.05</v>
      </c>
      <c r="H81" s="63">
        <v>483</v>
      </c>
      <c r="I81" s="64">
        <v>37.011494252873561</v>
      </c>
      <c r="J81" s="64">
        <v>58.759124087591239</v>
      </c>
      <c r="K81" s="65">
        <v>104</v>
      </c>
      <c r="L81" s="66">
        <v>14.48467966573816</v>
      </c>
      <c r="M81" s="65">
        <v>0</v>
      </c>
      <c r="N81" s="66">
        <v>0</v>
      </c>
    </row>
    <row r="82" spans="1:14" x14ac:dyDescent="0.2">
      <c r="A82" s="61" t="s">
        <v>125</v>
      </c>
      <c r="B82" s="61" t="s">
        <v>275</v>
      </c>
      <c r="C82" s="61" t="s">
        <v>276</v>
      </c>
      <c r="D82" s="62" t="s">
        <v>829</v>
      </c>
      <c r="E82" s="63">
        <v>823</v>
      </c>
      <c r="F82" s="63">
        <v>1305</v>
      </c>
      <c r="G82" s="63">
        <v>1579.05</v>
      </c>
      <c r="H82" s="63">
        <v>482</v>
      </c>
      <c r="I82" s="64">
        <v>36.934865900383137</v>
      </c>
      <c r="J82" s="64">
        <v>58.566221142162817</v>
      </c>
      <c r="K82" s="65">
        <v>1</v>
      </c>
      <c r="L82" s="66">
        <v>0.121654501216545</v>
      </c>
      <c r="M82" s="65">
        <v>0</v>
      </c>
      <c r="N82" s="66">
        <v>0</v>
      </c>
    </row>
    <row r="83" spans="1:14" x14ac:dyDescent="0.2">
      <c r="A83" s="49" t="s">
        <v>125</v>
      </c>
      <c r="B83" s="49" t="s">
        <v>278</v>
      </c>
      <c r="C83" s="49" t="s">
        <v>279</v>
      </c>
      <c r="D83" s="50" t="s">
        <v>828</v>
      </c>
      <c r="E83" s="51">
        <v>957</v>
      </c>
      <c r="F83" s="51">
        <v>1740</v>
      </c>
      <c r="G83" s="51">
        <v>2105.4</v>
      </c>
      <c r="H83" s="51">
        <v>783</v>
      </c>
      <c r="I83" s="52">
        <v>45</v>
      </c>
      <c r="J83" s="52">
        <v>81.818181818181827</v>
      </c>
      <c r="K83" s="53"/>
      <c r="L83" s="54"/>
      <c r="M83" s="53"/>
      <c r="N83" s="54"/>
    </row>
    <row r="84" spans="1:14" x14ac:dyDescent="0.2">
      <c r="A84" s="55" t="s">
        <v>125</v>
      </c>
      <c r="B84" s="55" t="s">
        <v>278</v>
      </c>
      <c r="C84" s="55" t="s">
        <v>279</v>
      </c>
      <c r="D84" s="56" t="s">
        <v>827</v>
      </c>
      <c r="E84" s="57">
        <v>1096</v>
      </c>
      <c r="F84" s="57">
        <v>1740</v>
      </c>
      <c r="G84" s="57">
        <v>2105.4</v>
      </c>
      <c r="H84" s="57">
        <v>644</v>
      </c>
      <c r="I84" s="58">
        <v>37.011494252873561</v>
      </c>
      <c r="J84" s="58">
        <v>58.759124087591239</v>
      </c>
      <c r="K84" s="59">
        <v>139</v>
      </c>
      <c r="L84" s="60">
        <v>14.524555903866251</v>
      </c>
      <c r="M84" s="59">
        <v>0</v>
      </c>
      <c r="N84" s="60">
        <v>0</v>
      </c>
    </row>
    <row r="85" spans="1:14" x14ac:dyDescent="0.2">
      <c r="A85" s="55" t="s">
        <v>125</v>
      </c>
      <c r="B85" s="55" t="s">
        <v>278</v>
      </c>
      <c r="C85" s="55" t="s">
        <v>279</v>
      </c>
      <c r="D85" s="56" t="s">
        <v>829</v>
      </c>
      <c r="E85" s="57">
        <v>1097</v>
      </c>
      <c r="F85" s="57">
        <v>1740</v>
      </c>
      <c r="G85" s="57">
        <v>2105.4</v>
      </c>
      <c r="H85" s="57">
        <v>643</v>
      </c>
      <c r="I85" s="58">
        <v>36.954022988505749</v>
      </c>
      <c r="J85" s="58">
        <v>58.61440291704649</v>
      </c>
      <c r="K85" s="59">
        <v>1</v>
      </c>
      <c r="L85" s="60">
        <v>9.1240875912408759E-2</v>
      </c>
      <c r="M85" s="59">
        <v>0</v>
      </c>
      <c r="N85" s="60">
        <v>0</v>
      </c>
    </row>
    <row r="86" spans="1:14" x14ac:dyDescent="0.2">
      <c r="A86" s="43" t="s">
        <v>125</v>
      </c>
      <c r="B86" s="43" t="s">
        <v>284</v>
      </c>
      <c r="C86" s="43" t="s">
        <v>285</v>
      </c>
      <c r="D86" s="44" t="s">
        <v>828</v>
      </c>
      <c r="E86" s="45">
        <v>187</v>
      </c>
      <c r="F86" s="45">
        <v>340</v>
      </c>
      <c r="G86" s="45">
        <v>411.4</v>
      </c>
      <c r="H86" s="45">
        <v>153</v>
      </c>
      <c r="I86" s="46">
        <v>45</v>
      </c>
      <c r="J86" s="46">
        <v>81.818181818181827</v>
      </c>
      <c r="K86" s="47"/>
      <c r="L86" s="48"/>
      <c r="M86" s="47"/>
      <c r="N86" s="48"/>
    </row>
    <row r="87" spans="1:14" x14ac:dyDescent="0.2">
      <c r="A87" s="61" t="s">
        <v>125</v>
      </c>
      <c r="B87" s="61" t="s">
        <v>284</v>
      </c>
      <c r="C87" s="61" t="s">
        <v>285</v>
      </c>
      <c r="D87" s="62" t="s">
        <v>827</v>
      </c>
      <c r="E87" s="63">
        <v>214</v>
      </c>
      <c r="F87" s="63">
        <v>340</v>
      </c>
      <c r="G87" s="63">
        <v>411.4</v>
      </c>
      <c r="H87" s="63">
        <v>126</v>
      </c>
      <c r="I87" s="64">
        <v>37.058823529411768</v>
      </c>
      <c r="J87" s="64">
        <v>58.878504672897193</v>
      </c>
      <c r="K87" s="65">
        <v>27</v>
      </c>
      <c r="L87" s="66">
        <v>14.438502673796791</v>
      </c>
      <c r="M87" s="65">
        <v>0</v>
      </c>
      <c r="N87" s="66">
        <v>0</v>
      </c>
    </row>
    <row r="88" spans="1:14" x14ac:dyDescent="0.2">
      <c r="A88" s="61" t="s">
        <v>125</v>
      </c>
      <c r="B88" s="61" t="s">
        <v>284</v>
      </c>
      <c r="C88" s="61" t="s">
        <v>285</v>
      </c>
      <c r="D88" s="62" t="s">
        <v>829</v>
      </c>
      <c r="E88" s="63">
        <v>215</v>
      </c>
      <c r="F88" s="63">
        <v>340</v>
      </c>
      <c r="G88" s="63">
        <v>411.4</v>
      </c>
      <c r="H88" s="63">
        <v>125</v>
      </c>
      <c r="I88" s="64">
        <v>36.764705882352942</v>
      </c>
      <c r="J88" s="64">
        <v>58.139534883720927</v>
      </c>
      <c r="K88" s="65">
        <v>1</v>
      </c>
      <c r="L88" s="66">
        <v>0.46728971962616822</v>
      </c>
      <c r="M88" s="65">
        <v>0</v>
      </c>
      <c r="N88" s="66">
        <v>0</v>
      </c>
    </row>
    <row r="89" spans="1:14" x14ac:dyDescent="0.2">
      <c r="A89" s="49" t="s">
        <v>125</v>
      </c>
      <c r="B89" s="49" t="s">
        <v>290</v>
      </c>
      <c r="C89" s="49" t="s">
        <v>291</v>
      </c>
      <c r="D89" s="50" t="s">
        <v>828</v>
      </c>
      <c r="E89" s="51">
        <v>2140</v>
      </c>
      <c r="F89" s="51">
        <v>3890</v>
      </c>
      <c r="G89" s="51">
        <v>4706.8999999999996</v>
      </c>
      <c r="H89" s="51">
        <v>1750</v>
      </c>
      <c r="I89" s="52">
        <v>44.987146529562978</v>
      </c>
      <c r="J89" s="52">
        <v>81.775700934579447</v>
      </c>
      <c r="K89" s="53"/>
      <c r="L89" s="54"/>
      <c r="M89" s="53"/>
      <c r="N89" s="54"/>
    </row>
    <row r="90" spans="1:14" x14ac:dyDescent="0.2">
      <c r="A90" s="55" t="s">
        <v>125</v>
      </c>
      <c r="B90" s="55" t="s">
        <v>290</v>
      </c>
      <c r="C90" s="55" t="s">
        <v>291</v>
      </c>
      <c r="D90" s="56" t="s">
        <v>827</v>
      </c>
      <c r="E90" s="57">
        <v>2451</v>
      </c>
      <c r="F90" s="57">
        <v>3890</v>
      </c>
      <c r="G90" s="57">
        <v>4706.8999999999996</v>
      </c>
      <c r="H90" s="57">
        <v>1439</v>
      </c>
      <c r="I90" s="58">
        <v>36.992287917737777</v>
      </c>
      <c r="J90" s="58">
        <v>58.710730314157487</v>
      </c>
      <c r="K90" s="59">
        <v>311</v>
      </c>
      <c r="L90" s="60">
        <v>14.532710280373831</v>
      </c>
      <c r="M90" s="59">
        <v>0</v>
      </c>
      <c r="N90" s="60">
        <v>0</v>
      </c>
    </row>
    <row r="91" spans="1:14" x14ac:dyDescent="0.2">
      <c r="A91" s="55" t="s">
        <v>125</v>
      </c>
      <c r="B91" s="55" t="s">
        <v>290</v>
      </c>
      <c r="C91" s="55" t="s">
        <v>291</v>
      </c>
      <c r="D91" s="56" t="s">
        <v>829</v>
      </c>
      <c r="E91" s="57">
        <v>2451</v>
      </c>
      <c r="F91" s="57">
        <v>3890</v>
      </c>
      <c r="G91" s="57">
        <v>4706.8999999999996</v>
      </c>
      <c r="H91" s="57">
        <v>1439</v>
      </c>
      <c r="I91" s="58">
        <v>36.992287917737777</v>
      </c>
      <c r="J91" s="58">
        <v>58.710730314157487</v>
      </c>
      <c r="K91" s="59">
        <v>0</v>
      </c>
      <c r="L91" s="60">
        <v>0</v>
      </c>
      <c r="M91" s="59">
        <v>0</v>
      </c>
      <c r="N91" s="60">
        <v>0</v>
      </c>
    </row>
    <row r="92" spans="1:14" x14ac:dyDescent="0.2">
      <c r="A92" s="43" t="s">
        <v>125</v>
      </c>
      <c r="B92" s="43" t="s">
        <v>403</v>
      </c>
      <c r="C92" s="43" t="s">
        <v>853</v>
      </c>
      <c r="D92" s="44" t="s">
        <v>827</v>
      </c>
      <c r="E92" s="45">
        <v>2199</v>
      </c>
      <c r="F92" s="45">
        <v>2395</v>
      </c>
      <c r="G92" s="45">
        <v>2897.95</v>
      </c>
      <c r="H92" s="45">
        <v>196</v>
      </c>
      <c r="I92" s="46">
        <v>8.1837160751565765</v>
      </c>
      <c r="J92" s="46">
        <v>8.9131423374261018</v>
      </c>
      <c r="K92" s="47"/>
      <c r="L92" s="48"/>
      <c r="M92" s="47"/>
      <c r="N92" s="48"/>
    </row>
    <row r="93" spans="1:14" x14ac:dyDescent="0.2">
      <c r="A93" s="49" t="s">
        <v>125</v>
      </c>
      <c r="B93" s="49" t="s">
        <v>403</v>
      </c>
      <c r="C93" s="49" t="s">
        <v>404</v>
      </c>
      <c r="D93" s="50" t="s">
        <v>828</v>
      </c>
      <c r="E93" s="51">
        <v>1318</v>
      </c>
      <c r="F93" s="51">
        <v>2395</v>
      </c>
      <c r="G93" s="51">
        <v>2897.95</v>
      </c>
      <c r="H93" s="51">
        <v>1077</v>
      </c>
      <c r="I93" s="52">
        <v>44.968684759916492</v>
      </c>
      <c r="J93" s="52">
        <v>81.714719271623665</v>
      </c>
      <c r="K93" s="53"/>
      <c r="L93" s="54"/>
      <c r="M93" s="53"/>
      <c r="N93" s="54"/>
    </row>
    <row r="94" spans="1:14" x14ac:dyDescent="0.2">
      <c r="A94" s="55" t="s">
        <v>125</v>
      </c>
      <c r="B94" s="55" t="s">
        <v>403</v>
      </c>
      <c r="C94" s="55" t="s">
        <v>404</v>
      </c>
      <c r="D94" s="56" t="s">
        <v>829</v>
      </c>
      <c r="E94" s="57">
        <v>1509</v>
      </c>
      <c r="F94" s="57">
        <v>2395</v>
      </c>
      <c r="G94" s="57">
        <v>2897.95</v>
      </c>
      <c r="H94" s="57">
        <v>886</v>
      </c>
      <c r="I94" s="58">
        <v>36.993736951983287</v>
      </c>
      <c r="J94" s="58">
        <v>58.714380384360503</v>
      </c>
      <c r="K94" s="59">
        <v>191</v>
      </c>
      <c r="L94" s="60">
        <v>14.49165402124431</v>
      </c>
      <c r="M94" s="59">
        <v>0</v>
      </c>
      <c r="N94" s="60">
        <v>0</v>
      </c>
    </row>
    <row r="95" spans="1:14" x14ac:dyDescent="0.2">
      <c r="A95" s="43" t="s">
        <v>125</v>
      </c>
      <c r="B95" s="43" t="s">
        <v>317</v>
      </c>
      <c r="C95" s="43" t="s">
        <v>318</v>
      </c>
      <c r="D95" s="44" t="s">
        <v>828</v>
      </c>
      <c r="E95" s="45">
        <v>292</v>
      </c>
      <c r="F95" s="45">
        <v>530</v>
      </c>
      <c r="G95" s="45">
        <v>641.29999999999995</v>
      </c>
      <c r="H95" s="45">
        <v>238</v>
      </c>
      <c r="I95" s="46">
        <v>44.905660377358487</v>
      </c>
      <c r="J95" s="46">
        <v>81.506849315068493</v>
      </c>
      <c r="K95" s="47"/>
      <c r="L95" s="48"/>
      <c r="M95" s="47"/>
      <c r="N95" s="48"/>
    </row>
    <row r="96" spans="1:14" x14ac:dyDescent="0.2">
      <c r="A96" s="61" t="s">
        <v>125</v>
      </c>
      <c r="B96" s="61" t="s">
        <v>317</v>
      </c>
      <c r="C96" s="61" t="s">
        <v>854</v>
      </c>
      <c r="D96" s="62" t="s">
        <v>827</v>
      </c>
      <c r="E96" s="63">
        <v>334</v>
      </c>
      <c r="F96" s="63">
        <v>530</v>
      </c>
      <c r="G96" s="63">
        <v>641.29999999999995</v>
      </c>
      <c r="H96" s="63">
        <v>196</v>
      </c>
      <c r="I96" s="64">
        <v>36.981132075471699</v>
      </c>
      <c r="J96" s="64">
        <v>58.682634730538922</v>
      </c>
      <c r="K96" s="65">
        <v>42</v>
      </c>
      <c r="L96" s="66">
        <v>14.38356164383562</v>
      </c>
      <c r="M96" s="65">
        <v>0</v>
      </c>
      <c r="N96" s="66">
        <v>0</v>
      </c>
    </row>
    <row r="97" spans="1:14" x14ac:dyDescent="0.2">
      <c r="A97" s="61" t="s">
        <v>125</v>
      </c>
      <c r="B97" s="61" t="s">
        <v>317</v>
      </c>
      <c r="C97" s="61" t="s">
        <v>318</v>
      </c>
      <c r="D97" s="62" t="s">
        <v>829</v>
      </c>
      <c r="E97" s="63">
        <v>334</v>
      </c>
      <c r="F97" s="63">
        <v>530</v>
      </c>
      <c r="G97" s="63">
        <v>641.29999999999995</v>
      </c>
      <c r="H97" s="63">
        <v>196</v>
      </c>
      <c r="I97" s="64">
        <v>36.981132075471699</v>
      </c>
      <c r="J97" s="64">
        <v>58.682634730538922</v>
      </c>
      <c r="K97" s="65">
        <v>0</v>
      </c>
      <c r="L97" s="66">
        <v>0</v>
      </c>
      <c r="M97" s="65">
        <v>0</v>
      </c>
      <c r="N97" s="66">
        <v>0</v>
      </c>
    </row>
    <row r="98" spans="1:14" x14ac:dyDescent="0.2">
      <c r="A98" s="49" t="s">
        <v>125</v>
      </c>
      <c r="B98" s="49" t="s">
        <v>320</v>
      </c>
      <c r="C98" s="49" t="s">
        <v>321</v>
      </c>
      <c r="D98" s="50" t="s">
        <v>828</v>
      </c>
      <c r="E98" s="51">
        <v>413</v>
      </c>
      <c r="F98" s="51">
        <v>750</v>
      </c>
      <c r="G98" s="51">
        <v>907.5</v>
      </c>
      <c r="H98" s="51">
        <v>337</v>
      </c>
      <c r="I98" s="52">
        <v>44.93333333333333</v>
      </c>
      <c r="J98" s="52">
        <v>81.598062953995154</v>
      </c>
      <c r="K98" s="53"/>
      <c r="L98" s="54"/>
      <c r="M98" s="53"/>
      <c r="N98" s="54"/>
    </row>
    <row r="99" spans="1:14" x14ac:dyDescent="0.2">
      <c r="A99" s="55" t="s">
        <v>125</v>
      </c>
      <c r="B99" s="55" t="s">
        <v>320</v>
      </c>
      <c r="C99" s="55" t="s">
        <v>855</v>
      </c>
      <c r="D99" s="56" t="s">
        <v>827</v>
      </c>
      <c r="E99" s="57">
        <v>473</v>
      </c>
      <c r="F99" s="57">
        <v>750</v>
      </c>
      <c r="G99" s="57">
        <v>907.5</v>
      </c>
      <c r="H99" s="57">
        <v>277</v>
      </c>
      <c r="I99" s="58">
        <v>36.933333333333337</v>
      </c>
      <c r="J99" s="58">
        <v>58.562367864693442</v>
      </c>
      <c r="K99" s="59">
        <v>60</v>
      </c>
      <c r="L99" s="60">
        <v>14.52784503631961</v>
      </c>
      <c r="M99" s="59">
        <v>0</v>
      </c>
      <c r="N99" s="60">
        <v>0</v>
      </c>
    </row>
    <row r="100" spans="1:14" x14ac:dyDescent="0.2">
      <c r="A100" s="55" t="s">
        <v>125</v>
      </c>
      <c r="B100" s="55" t="s">
        <v>320</v>
      </c>
      <c r="C100" s="55" t="s">
        <v>321</v>
      </c>
      <c r="D100" s="56" t="s">
        <v>829</v>
      </c>
      <c r="E100" s="57">
        <v>473</v>
      </c>
      <c r="F100" s="57">
        <v>750</v>
      </c>
      <c r="G100" s="57">
        <v>907.5</v>
      </c>
      <c r="H100" s="57">
        <v>277</v>
      </c>
      <c r="I100" s="58">
        <v>36.933333333333337</v>
      </c>
      <c r="J100" s="58">
        <v>58.562367864693442</v>
      </c>
      <c r="K100" s="59">
        <v>0</v>
      </c>
      <c r="L100" s="60">
        <v>0</v>
      </c>
      <c r="M100" s="59">
        <v>0</v>
      </c>
      <c r="N100" s="60">
        <v>0</v>
      </c>
    </row>
    <row r="101" spans="1:14" x14ac:dyDescent="0.2">
      <c r="A101" s="43" t="s">
        <v>125</v>
      </c>
      <c r="B101" s="43" t="s">
        <v>323</v>
      </c>
      <c r="C101" s="43" t="s">
        <v>324</v>
      </c>
      <c r="D101" s="44" t="s">
        <v>828</v>
      </c>
      <c r="E101" s="45">
        <v>534</v>
      </c>
      <c r="F101" s="45">
        <v>970</v>
      </c>
      <c r="G101" s="45">
        <v>1173.7</v>
      </c>
      <c r="H101" s="45">
        <v>436</v>
      </c>
      <c r="I101" s="46">
        <v>44.948453608247434</v>
      </c>
      <c r="J101" s="46">
        <v>81.647940074906373</v>
      </c>
      <c r="K101" s="47"/>
      <c r="L101" s="48"/>
      <c r="M101" s="47"/>
      <c r="N101" s="48"/>
    </row>
    <row r="102" spans="1:14" x14ac:dyDescent="0.2">
      <c r="A102" s="61" t="s">
        <v>125</v>
      </c>
      <c r="B102" s="61" t="s">
        <v>323</v>
      </c>
      <c r="C102" s="61" t="s">
        <v>856</v>
      </c>
      <c r="D102" s="62" t="s">
        <v>827</v>
      </c>
      <c r="E102" s="63">
        <v>611</v>
      </c>
      <c r="F102" s="63">
        <v>970</v>
      </c>
      <c r="G102" s="63">
        <v>1173.7</v>
      </c>
      <c r="H102" s="63">
        <v>359</v>
      </c>
      <c r="I102" s="64">
        <v>37.010309278350519</v>
      </c>
      <c r="J102" s="64">
        <v>58.756137479541742</v>
      </c>
      <c r="K102" s="65">
        <v>77</v>
      </c>
      <c r="L102" s="66">
        <v>14.419475655430711</v>
      </c>
      <c r="M102" s="65">
        <v>0</v>
      </c>
      <c r="N102" s="66">
        <v>0</v>
      </c>
    </row>
    <row r="103" spans="1:14" x14ac:dyDescent="0.2">
      <c r="A103" s="61" t="s">
        <v>125</v>
      </c>
      <c r="B103" s="61" t="s">
        <v>323</v>
      </c>
      <c r="C103" s="61" t="s">
        <v>324</v>
      </c>
      <c r="D103" s="62" t="s">
        <v>829</v>
      </c>
      <c r="E103" s="63">
        <v>612</v>
      </c>
      <c r="F103" s="63">
        <v>970</v>
      </c>
      <c r="G103" s="63">
        <v>1173.7</v>
      </c>
      <c r="H103" s="63">
        <v>358</v>
      </c>
      <c r="I103" s="64">
        <v>36.907216494845358</v>
      </c>
      <c r="J103" s="64">
        <v>58.496732026143803</v>
      </c>
      <c r="K103" s="65">
        <v>1</v>
      </c>
      <c r="L103" s="66">
        <v>0.16366612111292961</v>
      </c>
      <c r="M103" s="65">
        <v>0</v>
      </c>
      <c r="N103" s="66">
        <v>0</v>
      </c>
    </row>
    <row r="104" spans="1:14" x14ac:dyDescent="0.2">
      <c r="A104" s="49" t="s">
        <v>125</v>
      </c>
      <c r="B104" s="49" t="s">
        <v>326</v>
      </c>
      <c r="C104" s="49" t="s">
        <v>327</v>
      </c>
      <c r="D104" s="50" t="s">
        <v>828</v>
      </c>
      <c r="E104" s="51">
        <v>1153</v>
      </c>
      <c r="F104" s="51">
        <v>2095</v>
      </c>
      <c r="G104" s="51">
        <v>2534.9499999999998</v>
      </c>
      <c r="H104" s="51">
        <v>942</v>
      </c>
      <c r="I104" s="52">
        <v>44.964200477326969</v>
      </c>
      <c r="J104" s="52">
        <v>81.699913269731141</v>
      </c>
      <c r="K104" s="53"/>
      <c r="L104" s="54"/>
      <c r="M104" s="53"/>
      <c r="N104" s="54"/>
    </row>
    <row r="105" spans="1:14" x14ac:dyDescent="0.2">
      <c r="A105" s="55" t="s">
        <v>125</v>
      </c>
      <c r="B105" s="55" t="s">
        <v>326</v>
      </c>
      <c r="C105" s="55" t="s">
        <v>857</v>
      </c>
      <c r="D105" s="56" t="s">
        <v>827</v>
      </c>
      <c r="E105" s="57">
        <v>1320</v>
      </c>
      <c r="F105" s="57">
        <v>2095</v>
      </c>
      <c r="G105" s="57">
        <v>2534.9499999999998</v>
      </c>
      <c r="H105" s="57">
        <v>775</v>
      </c>
      <c r="I105" s="58">
        <v>36.992840095465397</v>
      </c>
      <c r="J105" s="58">
        <v>58.712121212121218</v>
      </c>
      <c r="K105" s="59">
        <v>167</v>
      </c>
      <c r="L105" s="60">
        <v>14.483954900260191</v>
      </c>
      <c r="M105" s="59">
        <v>0</v>
      </c>
      <c r="N105" s="60">
        <v>0</v>
      </c>
    </row>
    <row r="106" spans="1:14" x14ac:dyDescent="0.2">
      <c r="A106" s="55" t="s">
        <v>125</v>
      </c>
      <c r="B106" s="55" t="s">
        <v>326</v>
      </c>
      <c r="C106" s="55" t="s">
        <v>327</v>
      </c>
      <c r="D106" s="56" t="s">
        <v>829</v>
      </c>
      <c r="E106" s="57">
        <v>1320</v>
      </c>
      <c r="F106" s="57">
        <v>2095</v>
      </c>
      <c r="G106" s="57">
        <v>2534.9499999999998</v>
      </c>
      <c r="H106" s="57">
        <v>775</v>
      </c>
      <c r="I106" s="58">
        <v>36.992840095465397</v>
      </c>
      <c r="J106" s="58">
        <v>58.712121212121218</v>
      </c>
      <c r="K106" s="59">
        <v>0</v>
      </c>
      <c r="L106" s="60">
        <v>0</v>
      </c>
      <c r="M106" s="59">
        <v>0</v>
      </c>
      <c r="N106" s="60">
        <v>0</v>
      </c>
    </row>
    <row r="107" spans="1:14" x14ac:dyDescent="0.2">
      <c r="A107" s="43" t="s">
        <v>125</v>
      </c>
      <c r="B107" s="43" t="s">
        <v>329</v>
      </c>
      <c r="C107" s="43" t="s">
        <v>330</v>
      </c>
      <c r="D107" s="44" t="s">
        <v>828</v>
      </c>
      <c r="E107" s="45">
        <v>1318</v>
      </c>
      <c r="F107" s="45">
        <v>2395</v>
      </c>
      <c r="G107" s="45">
        <v>2897.95</v>
      </c>
      <c r="H107" s="45">
        <v>1077</v>
      </c>
      <c r="I107" s="46">
        <v>44.968684759916492</v>
      </c>
      <c r="J107" s="46">
        <v>81.714719271623665</v>
      </c>
      <c r="K107" s="47"/>
      <c r="L107" s="48"/>
      <c r="M107" s="47"/>
      <c r="N107" s="48"/>
    </row>
    <row r="108" spans="1:14" x14ac:dyDescent="0.2">
      <c r="A108" s="61" t="s">
        <v>125</v>
      </c>
      <c r="B108" s="61" t="s">
        <v>329</v>
      </c>
      <c r="C108" s="61" t="s">
        <v>858</v>
      </c>
      <c r="D108" s="62" t="s">
        <v>827</v>
      </c>
      <c r="E108" s="63">
        <v>1509</v>
      </c>
      <c r="F108" s="63">
        <v>2395</v>
      </c>
      <c r="G108" s="63">
        <v>2897.95</v>
      </c>
      <c r="H108" s="63">
        <v>886</v>
      </c>
      <c r="I108" s="64">
        <v>36.993736951983287</v>
      </c>
      <c r="J108" s="64">
        <v>58.714380384360503</v>
      </c>
      <c r="K108" s="65">
        <v>191</v>
      </c>
      <c r="L108" s="66">
        <v>14.49165402124431</v>
      </c>
      <c r="M108" s="65">
        <v>0</v>
      </c>
      <c r="N108" s="66">
        <v>0</v>
      </c>
    </row>
    <row r="109" spans="1:14" x14ac:dyDescent="0.2">
      <c r="A109" s="61" t="s">
        <v>125</v>
      </c>
      <c r="B109" s="61" t="s">
        <v>329</v>
      </c>
      <c r="C109" s="61" t="s">
        <v>330</v>
      </c>
      <c r="D109" s="62" t="s">
        <v>829</v>
      </c>
      <c r="E109" s="63">
        <v>1509</v>
      </c>
      <c r="F109" s="63">
        <v>2395</v>
      </c>
      <c r="G109" s="63">
        <v>2897.95</v>
      </c>
      <c r="H109" s="63">
        <v>886</v>
      </c>
      <c r="I109" s="64">
        <v>36.993736951983287</v>
      </c>
      <c r="J109" s="64">
        <v>58.714380384360503</v>
      </c>
      <c r="K109" s="65">
        <v>0</v>
      </c>
      <c r="L109" s="66">
        <v>0</v>
      </c>
      <c r="M109" s="65">
        <v>0</v>
      </c>
      <c r="N109" s="66">
        <v>0</v>
      </c>
    </row>
    <row r="110" spans="1:14" x14ac:dyDescent="0.2">
      <c r="A110" s="49" t="s">
        <v>125</v>
      </c>
      <c r="B110" s="49" t="s">
        <v>254</v>
      </c>
      <c r="C110" s="49" t="s">
        <v>255</v>
      </c>
      <c r="D110" s="50" t="s">
        <v>828</v>
      </c>
      <c r="E110" s="51">
        <v>273</v>
      </c>
      <c r="F110" s="51">
        <v>495</v>
      </c>
      <c r="G110" s="51">
        <v>598.95000000000005</v>
      </c>
      <c r="H110" s="51">
        <v>222</v>
      </c>
      <c r="I110" s="52">
        <v>44.848484848484851</v>
      </c>
      <c r="J110" s="52">
        <v>81.318681318681314</v>
      </c>
      <c r="K110" s="53"/>
      <c r="L110" s="54"/>
      <c r="M110" s="53"/>
      <c r="N110" s="54"/>
    </row>
    <row r="111" spans="1:14" x14ac:dyDescent="0.2">
      <c r="A111" s="55" t="s">
        <v>125</v>
      </c>
      <c r="B111" s="55" t="s">
        <v>254</v>
      </c>
      <c r="C111" s="55" t="s">
        <v>255</v>
      </c>
      <c r="D111" s="56" t="s">
        <v>827</v>
      </c>
      <c r="E111" s="57">
        <v>312</v>
      </c>
      <c r="F111" s="57">
        <v>495</v>
      </c>
      <c r="G111" s="57">
        <v>598.95000000000005</v>
      </c>
      <c r="H111" s="57">
        <v>183</v>
      </c>
      <c r="I111" s="58">
        <v>36.969696969696969</v>
      </c>
      <c r="J111" s="58">
        <v>58.653846153846153</v>
      </c>
      <c r="K111" s="59">
        <v>39</v>
      </c>
      <c r="L111" s="60">
        <v>14.285714285714279</v>
      </c>
      <c r="M111" s="59">
        <v>0</v>
      </c>
      <c r="N111" s="60">
        <v>0</v>
      </c>
    </row>
    <row r="112" spans="1:14" x14ac:dyDescent="0.2">
      <c r="A112" s="55" t="s">
        <v>125</v>
      </c>
      <c r="B112" s="55" t="s">
        <v>254</v>
      </c>
      <c r="C112" s="55" t="s">
        <v>255</v>
      </c>
      <c r="D112" s="56" t="s">
        <v>829</v>
      </c>
      <c r="E112" s="57">
        <v>312</v>
      </c>
      <c r="F112" s="57">
        <v>495</v>
      </c>
      <c r="G112" s="57">
        <v>598.95000000000005</v>
      </c>
      <c r="H112" s="57">
        <v>183</v>
      </c>
      <c r="I112" s="58">
        <v>36.969696969696969</v>
      </c>
      <c r="J112" s="58">
        <v>58.653846153846153</v>
      </c>
      <c r="K112" s="59">
        <v>0</v>
      </c>
      <c r="L112" s="60">
        <v>0</v>
      </c>
      <c r="M112" s="59">
        <v>0</v>
      </c>
      <c r="N112" s="60">
        <v>0</v>
      </c>
    </row>
    <row r="113" spans="1:14" x14ac:dyDescent="0.2">
      <c r="A113" s="43" t="s">
        <v>125</v>
      </c>
      <c r="B113" s="43" t="s">
        <v>257</v>
      </c>
      <c r="C113" s="43" t="s">
        <v>258</v>
      </c>
      <c r="D113" s="44" t="s">
        <v>828</v>
      </c>
      <c r="E113" s="45">
        <v>432</v>
      </c>
      <c r="F113" s="45">
        <v>785</v>
      </c>
      <c r="G113" s="45">
        <v>949.85</v>
      </c>
      <c r="H113" s="45">
        <v>353</v>
      </c>
      <c r="I113" s="46">
        <v>44.968152866242043</v>
      </c>
      <c r="J113" s="46">
        <v>81.712962962962962</v>
      </c>
      <c r="K113" s="47"/>
      <c r="L113" s="48"/>
      <c r="M113" s="47"/>
      <c r="N113" s="48"/>
    </row>
    <row r="114" spans="1:14" x14ac:dyDescent="0.2">
      <c r="A114" s="61" t="s">
        <v>125</v>
      </c>
      <c r="B114" s="61" t="s">
        <v>257</v>
      </c>
      <c r="C114" s="61" t="s">
        <v>258</v>
      </c>
      <c r="D114" s="62" t="s">
        <v>827</v>
      </c>
      <c r="E114" s="63">
        <v>495</v>
      </c>
      <c r="F114" s="63">
        <v>785</v>
      </c>
      <c r="G114" s="63">
        <v>949.85</v>
      </c>
      <c r="H114" s="63">
        <v>290</v>
      </c>
      <c r="I114" s="64">
        <v>36.942675159235669</v>
      </c>
      <c r="J114" s="64">
        <v>58.585858585858588</v>
      </c>
      <c r="K114" s="65">
        <v>63</v>
      </c>
      <c r="L114" s="66">
        <v>14.58333333333333</v>
      </c>
      <c r="M114" s="65">
        <v>0</v>
      </c>
      <c r="N114" s="66">
        <v>0</v>
      </c>
    </row>
    <row r="115" spans="1:14" x14ac:dyDescent="0.2">
      <c r="A115" s="61" t="s">
        <v>125</v>
      </c>
      <c r="B115" s="61" t="s">
        <v>257</v>
      </c>
      <c r="C115" s="61" t="s">
        <v>258</v>
      </c>
      <c r="D115" s="62" t="s">
        <v>829</v>
      </c>
      <c r="E115" s="63">
        <v>495</v>
      </c>
      <c r="F115" s="63">
        <v>785</v>
      </c>
      <c r="G115" s="63">
        <v>949.85</v>
      </c>
      <c r="H115" s="63">
        <v>290</v>
      </c>
      <c r="I115" s="64">
        <v>36.942675159235669</v>
      </c>
      <c r="J115" s="64">
        <v>58.585858585858588</v>
      </c>
      <c r="K115" s="65">
        <v>0</v>
      </c>
      <c r="L115" s="66">
        <v>0</v>
      </c>
      <c r="M115" s="65">
        <v>0</v>
      </c>
      <c r="N115" s="66">
        <v>0</v>
      </c>
    </row>
    <row r="116" spans="1:14" x14ac:dyDescent="0.2">
      <c r="A116" s="49" t="s">
        <v>125</v>
      </c>
      <c r="B116" s="49" t="s">
        <v>260</v>
      </c>
      <c r="C116" s="49" t="s">
        <v>261</v>
      </c>
      <c r="D116" s="50" t="s">
        <v>828</v>
      </c>
      <c r="E116" s="51">
        <v>548</v>
      </c>
      <c r="F116" s="51">
        <v>995</v>
      </c>
      <c r="G116" s="51">
        <v>1203.95</v>
      </c>
      <c r="H116" s="51">
        <v>447</v>
      </c>
      <c r="I116" s="52">
        <v>44.924623115577887</v>
      </c>
      <c r="J116" s="52">
        <v>81.569343065693431</v>
      </c>
      <c r="K116" s="53"/>
      <c r="L116" s="54"/>
      <c r="M116" s="53"/>
      <c r="N116" s="54"/>
    </row>
    <row r="117" spans="1:14" x14ac:dyDescent="0.2">
      <c r="A117" s="55" t="s">
        <v>125</v>
      </c>
      <c r="B117" s="55" t="s">
        <v>260</v>
      </c>
      <c r="C117" s="55" t="s">
        <v>261</v>
      </c>
      <c r="D117" s="56" t="s">
        <v>827</v>
      </c>
      <c r="E117" s="57">
        <v>627</v>
      </c>
      <c r="F117" s="57">
        <v>995</v>
      </c>
      <c r="G117" s="57">
        <v>1203.95</v>
      </c>
      <c r="H117" s="57">
        <v>368</v>
      </c>
      <c r="I117" s="58">
        <v>36.984924623115567</v>
      </c>
      <c r="J117" s="58">
        <v>58.692185007974487</v>
      </c>
      <c r="K117" s="59">
        <v>79</v>
      </c>
      <c r="L117" s="60">
        <v>14.416058394160579</v>
      </c>
      <c r="M117" s="59">
        <v>0</v>
      </c>
      <c r="N117" s="60">
        <v>0</v>
      </c>
    </row>
    <row r="118" spans="1:14" x14ac:dyDescent="0.2">
      <c r="A118" s="55" t="s">
        <v>125</v>
      </c>
      <c r="B118" s="55" t="s">
        <v>260</v>
      </c>
      <c r="C118" s="55" t="s">
        <v>261</v>
      </c>
      <c r="D118" s="56" t="s">
        <v>829</v>
      </c>
      <c r="E118" s="57">
        <v>627</v>
      </c>
      <c r="F118" s="57">
        <v>995</v>
      </c>
      <c r="G118" s="57">
        <v>1203.95</v>
      </c>
      <c r="H118" s="57">
        <v>368</v>
      </c>
      <c r="I118" s="58">
        <v>36.984924623115567</v>
      </c>
      <c r="J118" s="58">
        <v>58.692185007974487</v>
      </c>
      <c r="K118" s="59">
        <v>0</v>
      </c>
      <c r="L118" s="60">
        <v>0</v>
      </c>
      <c r="M118" s="59">
        <v>0</v>
      </c>
      <c r="N118" s="60">
        <v>0</v>
      </c>
    </row>
    <row r="119" spans="1:14" x14ac:dyDescent="0.2">
      <c r="A119" s="43" t="s">
        <v>125</v>
      </c>
      <c r="B119" s="43" t="s">
        <v>263</v>
      </c>
      <c r="C119" s="43" t="s">
        <v>264</v>
      </c>
      <c r="D119" s="44" t="s">
        <v>828</v>
      </c>
      <c r="E119" s="45">
        <v>1279</v>
      </c>
      <c r="F119" s="45">
        <v>2325</v>
      </c>
      <c r="G119" s="45">
        <v>2813.25</v>
      </c>
      <c r="H119" s="45">
        <v>1046</v>
      </c>
      <c r="I119" s="46">
        <v>44.98924731182796</v>
      </c>
      <c r="J119" s="46">
        <v>81.782642689601246</v>
      </c>
      <c r="K119" s="47"/>
      <c r="L119" s="48"/>
      <c r="M119" s="47"/>
      <c r="N119" s="48"/>
    </row>
    <row r="120" spans="1:14" x14ac:dyDescent="0.2">
      <c r="A120" s="61" t="s">
        <v>125</v>
      </c>
      <c r="B120" s="61" t="s">
        <v>263</v>
      </c>
      <c r="C120" s="61" t="s">
        <v>264</v>
      </c>
      <c r="D120" s="62" t="s">
        <v>827</v>
      </c>
      <c r="E120" s="63">
        <v>1465</v>
      </c>
      <c r="F120" s="63">
        <v>2325</v>
      </c>
      <c r="G120" s="63">
        <v>2813.25</v>
      </c>
      <c r="H120" s="63">
        <v>860</v>
      </c>
      <c r="I120" s="64">
        <v>36.989247311827953</v>
      </c>
      <c r="J120" s="64">
        <v>58.703071672354938</v>
      </c>
      <c r="K120" s="65">
        <v>186</v>
      </c>
      <c r="L120" s="66">
        <v>14.5426114151681</v>
      </c>
      <c r="M120" s="65">
        <v>0</v>
      </c>
      <c r="N120" s="66">
        <v>0</v>
      </c>
    </row>
    <row r="121" spans="1:14" x14ac:dyDescent="0.2">
      <c r="A121" s="61" t="s">
        <v>125</v>
      </c>
      <c r="B121" s="61" t="s">
        <v>263</v>
      </c>
      <c r="C121" s="61" t="s">
        <v>264</v>
      </c>
      <c r="D121" s="62" t="s">
        <v>829</v>
      </c>
      <c r="E121" s="63">
        <v>1465</v>
      </c>
      <c r="F121" s="63">
        <v>2325</v>
      </c>
      <c r="G121" s="63">
        <v>2813.25</v>
      </c>
      <c r="H121" s="63">
        <v>860</v>
      </c>
      <c r="I121" s="64">
        <v>36.989247311827953</v>
      </c>
      <c r="J121" s="64">
        <v>58.703071672354938</v>
      </c>
      <c r="K121" s="65">
        <v>0</v>
      </c>
      <c r="L121" s="66">
        <v>0</v>
      </c>
      <c r="M121" s="65">
        <v>0</v>
      </c>
      <c r="N121" s="66">
        <v>0</v>
      </c>
    </row>
    <row r="122" spans="1:14" x14ac:dyDescent="0.2">
      <c r="A122" s="49" t="s">
        <v>125</v>
      </c>
      <c r="B122" s="49" t="s">
        <v>266</v>
      </c>
      <c r="C122" s="49" t="s">
        <v>267</v>
      </c>
      <c r="D122" s="50" t="s">
        <v>828</v>
      </c>
      <c r="E122" s="51">
        <v>1428</v>
      </c>
      <c r="F122" s="51">
        <v>2595</v>
      </c>
      <c r="G122" s="51">
        <v>3139.95</v>
      </c>
      <c r="H122" s="51">
        <v>1167</v>
      </c>
      <c r="I122" s="52">
        <v>44.971098265895947</v>
      </c>
      <c r="J122" s="52">
        <v>81.722689075630257</v>
      </c>
      <c r="K122" s="53"/>
      <c r="L122" s="54"/>
      <c r="M122" s="53"/>
      <c r="N122" s="54"/>
    </row>
    <row r="123" spans="1:14" x14ac:dyDescent="0.2">
      <c r="A123" s="55" t="s">
        <v>125</v>
      </c>
      <c r="B123" s="55" t="s">
        <v>266</v>
      </c>
      <c r="C123" s="55" t="s">
        <v>267</v>
      </c>
      <c r="D123" s="56" t="s">
        <v>827</v>
      </c>
      <c r="E123" s="57">
        <v>1635</v>
      </c>
      <c r="F123" s="57">
        <v>2595</v>
      </c>
      <c r="G123" s="57">
        <v>3139.95</v>
      </c>
      <c r="H123" s="57">
        <v>960</v>
      </c>
      <c r="I123" s="58">
        <v>36.994219653179186</v>
      </c>
      <c r="J123" s="58">
        <v>58.715596330275233</v>
      </c>
      <c r="K123" s="59">
        <v>207</v>
      </c>
      <c r="L123" s="60">
        <v>14.495798319327729</v>
      </c>
      <c r="M123" s="59">
        <v>0</v>
      </c>
      <c r="N123" s="60">
        <v>0</v>
      </c>
    </row>
    <row r="124" spans="1:14" x14ac:dyDescent="0.2">
      <c r="A124" s="55" t="s">
        <v>125</v>
      </c>
      <c r="B124" s="55" t="s">
        <v>266</v>
      </c>
      <c r="C124" s="55" t="s">
        <v>267</v>
      </c>
      <c r="D124" s="56" t="s">
        <v>829</v>
      </c>
      <c r="E124" s="57">
        <v>1635</v>
      </c>
      <c r="F124" s="57">
        <v>2595</v>
      </c>
      <c r="G124" s="57">
        <v>3139.95</v>
      </c>
      <c r="H124" s="57">
        <v>960</v>
      </c>
      <c r="I124" s="58">
        <v>36.994219653179186</v>
      </c>
      <c r="J124" s="58">
        <v>58.715596330275233</v>
      </c>
      <c r="K124" s="59">
        <v>0</v>
      </c>
      <c r="L124" s="60">
        <v>0</v>
      </c>
      <c r="M124" s="59">
        <v>0</v>
      </c>
      <c r="N124" s="60">
        <v>0</v>
      </c>
    </row>
    <row r="125" spans="1:14" x14ac:dyDescent="0.2">
      <c r="A125" s="43" t="s">
        <v>125</v>
      </c>
      <c r="B125" s="43" t="s">
        <v>194</v>
      </c>
      <c r="C125" s="43" t="s">
        <v>195</v>
      </c>
      <c r="D125" s="44" t="s">
        <v>828</v>
      </c>
      <c r="E125" s="45">
        <v>149</v>
      </c>
      <c r="F125" s="45">
        <v>270</v>
      </c>
      <c r="G125" s="45">
        <v>326.7</v>
      </c>
      <c r="H125" s="45">
        <v>121</v>
      </c>
      <c r="I125" s="46">
        <v>44.81481481481481</v>
      </c>
      <c r="J125" s="46">
        <v>81.208053691275168</v>
      </c>
      <c r="K125" s="47"/>
      <c r="L125" s="48"/>
      <c r="M125" s="47"/>
      <c r="N125" s="48"/>
    </row>
    <row r="126" spans="1:14" x14ac:dyDescent="0.2">
      <c r="A126" s="61" t="s">
        <v>125</v>
      </c>
      <c r="B126" s="61" t="s">
        <v>194</v>
      </c>
      <c r="C126" s="61" t="s">
        <v>195</v>
      </c>
      <c r="D126" s="62" t="s">
        <v>827</v>
      </c>
      <c r="E126" s="63">
        <v>170</v>
      </c>
      <c r="F126" s="63">
        <v>270</v>
      </c>
      <c r="G126" s="63">
        <v>326.7</v>
      </c>
      <c r="H126" s="63">
        <v>100</v>
      </c>
      <c r="I126" s="64">
        <v>37.037037037037038</v>
      </c>
      <c r="J126" s="64">
        <v>58.82352941176471</v>
      </c>
      <c r="K126" s="65">
        <v>21</v>
      </c>
      <c r="L126" s="66">
        <v>14.09395973154362</v>
      </c>
      <c r="M126" s="65">
        <v>0</v>
      </c>
      <c r="N126" s="66">
        <v>0</v>
      </c>
    </row>
    <row r="127" spans="1:14" x14ac:dyDescent="0.2">
      <c r="A127" s="61" t="s">
        <v>125</v>
      </c>
      <c r="B127" s="61" t="s">
        <v>194</v>
      </c>
      <c r="C127" s="61" t="s">
        <v>195</v>
      </c>
      <c r="D127" s="62" t="s">
        <v>829</v>
      </c>
      <c r="E127" s="63">
        <v>171</v>
      </c>
      <c r="F127" s="63">
        <v>270</v>
      </c>
      <c r="G127" s="63">
        <v>326.7</v>
      </c>
      <c r="H127" s="63">
        <v>99</v>
      </c>
      <c r="I127" s="64">
        <v>36.666666666666657</v>
      </c>
      <c r="J127" s="64">
        <v>57.894736842105267</v>
      </c>
      <c r="K127" s="65">
        <v>1</v>
      </c>
      <c r="L127" s="66">
        <v>0.58823529411764708</v>
      </c>
      <c r="M127" s="65">
        <v>0</v>
      </c>
      <c r="N127" s="66">
        <v>0</v>
      </c>
    </row>
    <row r="128" spans="1:14" x14ac:dyDescent="0.2">
      <c r="A128" s="49" t="s">
        <v>125</v>
      </c>
      <c r="B128" s="49" t="s">
        <v>185</v>
      </c>
      <c r="C128" s="49" t="s">
        <v>186</v>
      </c>
      <c r="D128" s="50" t="s">
        <v>828</v>
      </c>
      <c r="E128" s="51">
        <v>462</v>
      </c>
      <c r="F128" s="51">
        <v>840</v>
      </c>
      <c r="G128" s="51">
        <v>1016.4</v>
      </c>
      <c r="H128" s="51">
        <v>378</v>
      </c>
      <c r="I128" s="52">
        <v>45</v>
      </c>
      <c r="J128" s="52">
        <v>81.818181818181827</v>
      </c>
      <c r="K128" s="53"/>
      <c r="L128" s="54"/>
      <c r="M128" s="53"/>
      <c r="N128" s="54"/>
    </row>
    <row r="129" spans="1:14" x14ac:dyDescent="0.2">
      <c r="A129" s="55" t="s">
        <v>125</v>
      </c>
      <c r="B129" s="55" t="s">
        <v>185</v>
      </c>
      <c r="C129" s="55" t="s">
        <v>186</v>
      </c>
      <c r="D129" s="56" t="s">
        <v>827</v>
      </c>
      <c r="E129" s="57">
        <v>529</v>
      </c>
      <c r="F129" s="57">
        <v>840</v>
      </c>
      <c r="G129" s="57">
        <v>1016.4</v>
      </c>
      <c r="H129" s="57">
        <v>311</v>
      </c>
      <c r="I129" s="58">
        <v>37.023809523809533</v>
      </c>
      <c r="J129" s="58">
        <v>58.790170132325137</v>
      </c>
      <c r="K129" s="59">
        <v>67</v>
      </c>
      <c r="L129" s="60">
        <v>14.502164502164501</v>
      </c>
      <c r="M129" s="59">
        <v>0</v>
      </c>
      <c r="N129" s="60">
        <v>0</v>
      </c>
    </row>
    <row r="130" spans="1:14" x14ac:dyDescent="0.2">
      <c r="A130" s="55" t="s">
        <v>125</v>
      </c>
      <c r="B130" s="55" t="s">
        <v>185</v>
      </c>
      <c r="C130" s="55" t="s">
        <v>186</v>
      </c>
      <c r="D130" s="56" t="s">
        <v>829</v>
      </c>
      <c r="E130" s="57">
        <v>530</v>
      </c>
      <c r="F130" s="57">
        <v>840</v>
      </c>
      <c r="G130" s="57">
        <v>1016.4</v>
      </c>
      <c r="H130" s="57">
        <v>310</v>
      </c>
      <c r="I130" s="58">
        <v>36.904761904761912</v>
      </c>
      <c r="J130" s="58">
        <v>58.490566037735853</v>
      </c>
      <c r="K130" s="59">
        <v>1</v>
      </c>
      <c r="L130" s="60">
        <v>0.1890359168241966</v>
      </c>
      <c r="M130" s="59">
        <v>0</v>
      </c>
      <c r="N130" s="60">
        <v>0</v>
      </c>
    </row>
    <row r="131" spans="1:14" x14ac:dyDescent="0.2">
      <c r="A131" s="43" t="s">
        <v>125</v>
      </c>
      <c r="B131" s="43" t="s">
        <v>188</v>
      </c>
      <c r="C131" s="43" t="s">
        <v>189</v>
      </c>
      <c r="D131" s="44" t="s">
        <v>828</v>
      </c>
      <c r="E131" s="45">
        <v>660</v>
      </c>
      <c r="F131" s="45">
        <v>1200</v>
      </c>
      <c r="G131" s="45">
        <v>1452</v>
      </c>
      <c r="H131" s="45">
        <v>540</v>
      </c>
      <c r="I131" s="46">
        <v>45</v>
      </c>
      <c r="J131" s="46">
        <v>81.818181818181827</v>
      </c>
      <c r="K131" s="47"/>
      <c r="L131" s="48"/>
      <c r="M131" s="47"/>
      <c r="N131" s="48"/>
    </row>
    <row r="132" spans="1:14" x14ac:dyDescent="0.2">
      <c r="A132" s="61" t="s">
        <v>125</v>
      </c>
      <c r="B132" s="61" t="s">
        <v>188</v>
      </c>
      <c r="C132" s="61" t="s">
        <v>189</v>
      </c>
      <c r="D132" s="62" t="s">
        <v>827</v>
      </c>
      <c r="E132" s="63">
        <v>756</v>
      </c>
      <c r="F132" s="63">
        <v>1200</v>
      </c>
      <c r="G132" s="63">
        <v>1452</v>
      </c>
      <c r="H132" s="63">
        <v>444</v>
      </c>
      <c r="I132" s="64">
        <v>37</v>
      </c>
      <c r="J132" s="64">
        <v>58.730158730158728</v>
      </c>
      <c r="K132" s="65">
        <v>96</v>
      </c>
      <c r="L132" s="66">
        <v>14.54545454545454</v>
      </c>
      <c r="M132" s="65">
        <v>0</v>
      </c>
      <c r="N132" s="66">
        <v>0</v>
      </c>
    </row>
    <row r="133" spans="1:14" x14ac:dyDescent="0.2">
      <c r="A133" s="61" t="s">
        <v>125</v>
      </c>
      <c r="B133" s="61" t="s">
        <v>188</v>
      </c>
      <c r="C133" s="61" t="s">
        <v>189</v>
      </c>
      <c r="D133" s="62" t="s">
        <v>829</v>
      </c>
      <c r="E133" s="63">
        <v>756</v>
      </c>
      <c r="F133" s="63">
        <v>1200</v>
      </c>
      <c r="G133" s="63">
        <v>1452</v>
      </c>
      <c r="H133" s="63">
        <v>444</v>
      </c>
      <c r="I133" s="64">
        <v>37</v>
      </c>
      <c r="J133" s="64">
        <v>58.730158730158728</v>
      </c>
      <c r="K133" s="65">
        <v>0</v>
      </c>
      <c r="L133" s="66">
        <v>0</v>
      </c>
      <c r="M133" s="65">
        <v>0</v>
      </c>
      <c r="N133" s="66">
        <v>0</v>
      </c>
    </row>
    <row r="134" spans="1:14" x14ac:dyDescent="0.2">
      <c r="A134" s="49" t="s">
        <v>125</v>
      </c>
      <c r="B134" s="49" t="s">
        <v>191</v>
      </c>
      <c r="C134" s="49" t="s">
        <v>192</v>
      </c>
      <c r="D134" s="50" t="s">
        <v>828</v>
      </c>
      <c r="E134" s="51">
        <v>836</v>
      </c>
      <c r="F134" s="51">
        <v>1520</v>
      </c>
      <c r="G134" s="51">
        <v>1839.2</v>
      </c>
      <c r="H134" s="51">
        <v>684</v>
      </c>
      <c r="I134" s="52">
        <v>45</v>
      </c>
      <c r="J134" s="52">
        <v>81.818181818181827</v>
      </c>
      <c r="K134" s="53"/>
      <c r="L134" s="54"/>
      <c r="M134" s="53"/>
      <c r="N134" s="54"/>
    </row>
    <row r="135" spans="1:14" x14ac:dyDescent="0.2">
      <c r="A135" s="55" t="s">
        <v>125</v>
      </c>
      <c r="B135" s="55" t="s">
        <v>191</v>
      </c>
      <c r="C135" s="55" t="s">
        <v>192</v>
      </c>
      <c r="D135" s="56" t="s">
        <v>827</v>
      </c>
      <c r="E135" s="57">
        <v>958</v>
      </c>
      <c r="F135" s="57">
        <v>1520</v>
      </c>
      <c r="G135" s="57">
        <v>1839.2</v>
      </c>
      <c r="H135" s="57">
        <v>562</v>
      </c>
      <c r="I135" s="58">
        <v>36.973684210526322</v>
      </c>
      <c r="J135" s="58">
        <v>58.663883089770351</v>
      </c>
      <c r="K135" s="59">
        <v>122</v>
      </c>
      <c r="L135" s="60">
        <v>14.593301435406699</v>
      </c>
      <c r="M135" s="59">
        <v>0</v>
      </c>
      <c r="N135" s="60">
        <v>0</v>
      </c>
    </row>
    <row r="136" spans="1:14" x14ac:dyDescent="0.2">
      <c r="A136" s="55" t="s">
        <v>125</v>
      </c>
      <c r="B136" s="55" t="s">
        <v>191</v>
      </c>
      <c r="C136" s="55" t="s">
        <v>192</v>
      </c>
      <c r="D136" s="56" t="s">
        <v>829</v>
      </c>
      <c r="E136" s="57">
        <v>958</v>
      </c>
      <c r="F136" s="57">
        <v>1520</v>
      </c>
      <c r="G136" s="57">
        <v>1839.2</v>
      </c>
      <c r="H136" s="57">
        <v>562</v>
      </c>
      <c r="I136" s="58">
        <v>36.973684210526322</v>
      </c>
      <c r="J136" s="58">
        <v>58.663883089770351</v>
      </c>
      <c r="K136" s="59">
        <v>0</v>
      </c>
      <c r="L136" s="60">
        <v>0</v>
      </c>
      <c r="M136" s="59">
        <v>0</v>
      </c>
      <c r="N136" s="60">
        <v>0</v>
      </c>
    </row>
    <row r="137" spans="1:14" x14ac:dyDescent="0.2">
      <c r="A137" s="43" t="s">
        <v>125</v>
      </c>
      <c r="B137" s="43" t="s">
        <v>197</v>
      </c>
      <c r="C137" s="43" t="s">
        <v>198</v>
      </c>
      <c r="D137" s="44" t="s">
        <v>828</v>
      </c>
      <c r="E137" s="45">
        <v>1738</v>
      </c>
      <c r="F137" s="45">
        <v>3160</v>
      </c>
      <c r="G137" s="45">
        <v>3823.6</v>
      </c>
      <c r="H137" s="45">
        <v>1422</v>
      </c>
      <c r="I137" s="46">
        <v>45</v>
      </c>
      <c r="J137" s="46">
        <v>81.818181818181827</v>
      </c>
      <c r="K137" s="47"/>
      <c r="L137" s="48"/>
      <c r="M137" s="47"/>
      <c r="N137" s="48"/>
    </row>
    <row r="138" spans="1:14" x14ac:dyDescent="0.2">
      <c r="A138" s="61" t="s">
        <v>125</v>
      </c>
      <c r="B138" s="61" t="s">
        <v>197</v>
      </c>
      <c r="C138" s="61" t="s">
        <v>198</v>
      </c>
      <c r="D138" s="62" t="s">
        <v>827</v>
      </c>
      <c r="E138" s="63">
        <v>1991</v>
      </c>
      <c r="F138" s="63">
        <v>3160</v>
      </c>
      <c r="G138" s="63">
        <v>3823.6</v>
      </c>
      <c r="H138" s="63">
        <v>1169</v>
      </c>
      <c r="I138" s="64">
        <v>36.993670886075947</v>
      </c>
      <c r="J138" s="64">
        <v>58.714213962832751</v>
      </c>
      <c r="K138" s="65">
        <v>253</v>
      </c>
      <c r="L138" s="66">
        <v>14.55696202531646</v>
      </c>
      <c r="M138" s="65">
        <v>0</v>
      </c>
      <c r="N138" s="66">
        <v>0</v>
      </c>
    </row>
    <row r="139" spans="1:14" x14ac:dyDescent="0.2">
      <c r="A139" s="61" t="s">
        <v>125</v>
      </c>
      <c r="B139" s="61" t="s">
        <v>197</v>
      </c>
      <c r="C139" s="61" t="s">
        <v>198</v>
      </c>
      <c r="D139" s="62" t="s">
        <v>829</v>
      </c>
      <c r="E139" s="63">
        <v>1991</v>
      </c>
      <c r="F139" s="63">
        <v>3160</v>
      </c>
      <c r="G139" s="63">
        <v>3823.6</v>
      </c>
      <c r="H139" s="63">
        <v>1169</v>
      </c>
      <c r="I139" s="64">
        <v>36.993670886075947</v>
      </c>
      <c r="J139" s="64">
        <v>58.714213962832751</v>
      </c>
      <c r="K139" s="65">
        <v>0</v>
      </c>
      <c r="L139" s="66">
        <v>0</v>
      </c>
      <c r="M139" s="65">
        <v>0</v>
      </c>
      <c r="N139" s="66">
        <v>0</v>
      </c>
    </row>
    <row r="140" spans="1:14" x14ac:dyDescent="0.2">
      <c r="A140" s="49" t="s">
        <v>125</v>
      </c>
      <c r="B140" s="49" t="s">
        <v>200</v>
      </c>
      <c r="C140" s="49" t="s">
        <v>201</v>
      </c>
      <c r="D140" s="50" t="s">
        <v>828</v>
      </c>
      <c r="E140" s="51">
        <v>1975</v>
      </c>
      <c r="F140" s="51">
        <v>3590</v>
      </c>
      <c r="G140" s="51">
        <v>4343.8999999999996</v>
      </c>
      <c r="H140" s="51">
        <v>1615</v>
      </c>
      <c r="I140" s="52">
        <v>44.986072423398333</v>
      </c>
      <c r="J140" s="52">
        <v>81.77215189873418</v>
      </c>
      <c r="K140" s="53"/>
      <c r="L140" s="54"/>
      <c r="M140" s="53"/>
      <c r="N140" s="54"/>
    </row>
    <row r="141" spans="1:14" x14ac:dyDescent="0.2">
      <c r="A141" s="55" t="s">
        <v>125</v>
      </c>
      <c r="B141" s="55" t="s">
        <v>200</v>
      </c>
      <c r="C141" s="55" t="s">
        <v>201</v>
      </c>
      <c r="D141" s="56" t="s">
        <v>827</v>
      </c>
      <c r="E141" s="57">
        <v>2262</v>
      </c>
      <c r="F141" s="57">
        <v>3590</v>
      </c>
      <c r="G141" s="57">
        <v>4343.8999999999996</v>
      </c>
      <c r="H141" s="57">
        <v>1328</v>
      </c>
      <c r="I141" s="58">
        <v>36.991643454039</v>
      </c>
      <c r="J141" s="58">
        <v>58.709106984969047</v>
      </c>
      <c r="K141" s="59">
        <v>287</v>
      </c>
      <c r="L141" s="60">
        <v>14.531645569620251</v>
      </c>
      <c r="M141" s="59">
        <v>0</v>
      </c>
      <c r="N141" s="60">
        <v>0</v>
      </c>
    </row>
    <row r="142" spans="1:14" x14ac:dyDescent="0.2">
      <c r="A142" s="55" t="s">
        <v>125</v>
      </c>
      <c r="B142" s="55" t="s">
        <v>200</v>
      </c>
      <c r="C142" s="55" t="s">
        <v>201</v>
      </c>
      <c r="D142" s="56" t="s">
        <v>829</v>
      </c>
      <c r="E142" s="57">
        <v>2262</v>
      </c>
      <c r="F142" s="57">
        <v>3590</v>
      </c>
      <c r="G142" s="57">
        <v>4343.8999999999996</v>
      </c>
      <c r="H142" s="57">
        <v>1328</v>
      </c>
      <c r="I142" s="58">
        <v>36.991643454039</v>
      </c>
      <c r="J142" s="58">
        <v>58.709106984969047</v>
      </c>
      <c r="K142" s="59">
        <v>0</v>
      </c>
      <c r="L142" s="60">
        <v>0</v>
      </c>
      <c r="M142" s="59">
        <v>0</v>
      </c>
      <c r="N142" s="60">
        <v>0</v>
      </c>
    </row>
    <row r="143" spans="1:14" x14ac:dyDescent="0.2">
      <c r="A143" s="43" t="s">
        <v>125</v>
      </c>
      <c r="B143" s="43" t="s">
        <v>133</v>
      </c>
      <c r="C143" s="43" t="s">
        <v>134</v>
      </c>
      <c r="D143" s="44" t="s">
        <v>828</v>
      </c>
      <c r="E143" s="45">
        <v>1067</v>
      </c>
      <c r="F143" s="45">
        <v>1940</v>
      </c>
      <c r="G143" s="45">
        <v>2347.4</v>
      </c>
      <c r="H143" s="45">
        <v>873</v>
      </c>
      <c r="I143" s="46">
        <v>45</v>
      </c>
      <c r="J143" s="46">
        <v>81.818181818181827</v>
      </c>
      <c r="K143" s="47"/>
      <c r="L143" s="48"/>
      <c r="M143" s="47"/>
      <c r="N143" s="48"/>
    </row>
    <row r="144" spans="1:14" x14ac:dyDescent="0.2">
      <c r="A144" s="61" t="s">
        <v>125</v>
      </c>
      <c r="B144" s="61" t="s">
        <v>133</v>
      </c>
      <c r="C144" s="61" t="s">
        <v>134</v>
      </c>
      <c r="D144" s="62" t="s">
        <v>827</v>
      </c>
      <c r="E144" s="63">
        <v>1222</v>
      </c>
      <c r="F144" s="63">
        <v>1940</v>
      </c>
      <c r="G144" s="63">
        <v>2347.4</v>
      </c>
      <c r="H144" s="63">
        <v>718</v>
      </c>
      <c r="I144" s="64">
        <v>37.010309278350519</v>
      </c>
      <c r="J144" s="64">
        <v>58.756137479541742</v>
      </c>
      <c r="K144" s="65">
        <v>155</v>
      </c>
      <c r="L144" s="66">
        <v>14.526710402999059</v>
      </c>
      <c r="M144" s="65">
        <v>0</v>
      </c>
      <c r="N144" s="66">
        <v>0</v>
      </c>
    </row>
    <row r="145" spans="1:14" x14ac:dyDescent="0.2">
      <c r="A145" s="61" t="s">
        <v>125</v>
      </c>
      <c r="B145" s="61" t="s">
        <v>133</v>
      </c>
      <c r="C145" s="61" t="s">
        <v>134</v>
      </c>
      <c r="D145" s="62" t="s">
        <v>829</v>
      </c>
      <c r="E145" s="63">
        <v>1223</v>
      </c>
      <c r="F145" s="63">
        <v>1940</v>
      </c>
      <c r="G145" s="63">
        <v>2347.4</v>
      </c>
      <c r="H145" s="63">
        <v>717</v>
      </c>
      <c r="I145" s="64">
        <v>36.958762886597938</v>
      </c>
      <c r="J145" s="64">
        <v>58.626328699918233</v>
      </c>
      <c r="K145" s="65">
        <v>1</v>
      </c>
      <c r="L145" s="66">
        <v>8.1833060556464818E-2</v>
      </c>
      <c r="M145" s="65">
        <v>0</v>
      </c>
      <c r="N145" s="66">
        <v>0</v>
      </c>
    </row>
    <row r="146" spans="1:14" x14ac:dyDescent="0.2">
      <c r="A146" s="49" t="s">
        <v>125</v>
      </c>
      <c r="B146" s="49" t="s">
        <v>127</v>
      </c>
      <c r="C146" s="49" t="s">
        <v>128</v>
      </c>
      <c r="D146" s="50" t="s">
        <v>828</v>
      </c>
      <c r="E146" s="51">
        <v>539</v>
      </c>
      <c r="F146" s="51">
        <v>980</v>
      </c>
      <c r="G146" s="51">
        <v>1185.8</v>
      </c>
      <c r="H146" s="51">
        <v>441</v>
      </c>
      <c r="I146" s="52">
        <v>45</v>
      </c>
      <c r="J146" s="52">
        <v>81.818181818181827</v>
      </c>
      <c r="K146" s="53"/>
      <c r="L146" s="54"/>
      <c r="M146" s="53"/>
      <c r="N146" s="54"/>
    </row>
    <row r="147" spans="1:14" x14ac:dyDescent="0.2">
      <c r="A147" s="55" t="s">
        <v>125</v>
      </c>
      <c r="B147" s="55" t="s">
        <v>127</v>
      </c>
      <c r="C147" s="55" t="s">
        <v>128</v>
      </c>
      <c r="D147" s="56" t="s">
        <v>827</v>
      </c>
      <c r="E147" s="57">
        <v>617</v>
      </c>
      <c r="F147" s="57">
        <v>980</v>
      </c>
      <c r="G147" s="57">
        <v>1185.8</v>
      </c>
      <c r="H147" s="57">
        <v>363</v>
      </c>
      <c r="I147" s="58">
        <v>37.04081632653061</v>
      </c>
      <c r="J147" s="58">
        <v>58.833063209076172</v>
      </c>
      <c r="K147" s="59">
        <v>78</v>
      </c>
      <c r="L147" s="60">
        <v>14.47124304267161</v>
      </c>
      <c r="M147" s="59">
        <v>0</v>
      </c>
      <c r="N147" s="60">
        <v>0</v>
      </c>
    </row>
    <row r="148" spans="1:14" x14ac:dyDescent="0.2">
      <c r="A148" s="55" t="s">
        <v>125</v>
      </c>
      <c r="B148" s="55" t="s">
        <v>127</v>
      </c>
      <c r="C148" s="55" t="s">
        <v>128</v>
      </c>
      <c r="D148" s="56" t="s">
        <v>829</v>
      </c>
      <c r="E148" s="57">
        <v>618</v>
      </c>
      <c r="F148" s="57">
        <v>980</v>
      </c>
      <c r="G148" s="57">
        <v>1185.8</v>
      </c>
      <c r="H148" s="57">
        <v>362</v>
      </c>
      <c r="I148" s="58">
        <v>36.938775510204081</v>
      </c>
      <c r="J148" s="58">
        <v>58.576051779935277</v>
      </c>
      <c r="K148" s="59">
        <v>1</v>
      </c>
      <c r="L148" s="60">
        <v>0.16207455429497569</v>
      </c>
      <c r="M148" s="59">
        <v>0</v>
      </c>
      <c r="N148" s="60">
        <v>0</v>
      </c>
    </row>
    <row r="149" spans="1:14" x14ac:dyDescent="0.2">
      <c r="A149" s="43" t="s">
        <v>125</v>
      </c>
      <c r="B149" s="43" t="s">
        <v>130</v>
      </c>
      <c r="C149" s="43" t="s">
        <v>131</v>
      </c>
      <c r="D149" s="44" t="s">
        <v>828</v>
      </c>
      <c r="E149" s="45">
        <v>809</v>
      </c>
      <c r="F149" s="45">
        <v>1470</v>
      </c>
      <c r="G149" s="45">
        <v>1778.7</v>
      </c>
      <c r="H149" s="45">
        <v>661</v>
      </c>
      <c r="I149" s="46">
        <v>44.965986394557817</v>
      </c>
      <c r="J149" s="46">
        <v>81.705809641532753</v>
      </c>
      <c r="K149" s="47"/>
      <c r="L149" s="48"/>
      <c r="M149" s="47"/>
      <c r="N149" s="48"/>
    </row>
    <row r="150" spans="1:14" x14ac:dyDescent="0.2">
      <c r="A150" s="61" t="s">
        <v>125</v>
      </c>
      <c r="B150" s="61" t="s">
        <v>130</v>
      </c>
      <c r="C150" s="61" t="s">
        <v>131</v>
      </c>
      <c r="D150" s="62" t="s">
        <v>827</v>
      </c>
      <c r="E150" s="63">
        <v>926</v>
      </c>
      <c r="F150" s="63">
        <v>1470</v>
      </c>
      <c r="G150" s="63">
        <v>1778.7</v>
      </c>
      <c r="H150" s="63">
        <v>544</v>
      </c>
      <c r="I150" s="64">
        <v>37.006802721088427</v>
      </c>
      <c r="J150" s="64">
        <v>58.747300215982733</v>
      </c>
      <c r="K150" s="65">
        <v>117</v>
      </c>
      <c r="L150" s="66">
        <v>14.46229913473424</v>
      </c>
      <c r="M150" s="65">
        <v>0</v>
      </c>
      <c r="N150" s="66">
        <v>0</v>
      </c>
    </row>
    <row r="151" spans="1:14" x14ac:dyDescent="0.2">
      <c r="A151" s="61" t="s">
        <v>125</v>
      </c>
      <c r="B151" s="61" t="s">
        <v>130</v>
      </c>
      <c r="C151" s="61" t="s">
        <v>131</v>
      </c>
      <c r="D151" s="62" t="s">
        <v>829</v>
      </c>
      <c r="E151" s="63">
        <v>927</v>
      </c>
      <c r="F151" s="63">
        <v>1470</v>
      </c>
      <c r="G151" s="63">
        <v>1778.7</v>
      </c>
      <c r="H151" s="63">
        <v>543</v>
      </c>
      <c r="I151" s="64">
        <v>36.938775510204081</v>
      </c>
      <c r="J151" s="64">
        <v>58.576051779935277</v>
      </c>
      <c r="K151" s="65">
        <v>1</v>
      </c>
      <c r="L151" s="66">
        <v>0.10799136069114471</v>
      </c>
      <c r="M151" s="65">
        <v>0</v>
      </c>
      <c r="N151" s="66">
        <v>0</v>
      </c>
    </row>
    <row r="152" spans="1:14" x14ac:dyDescent="0.2">
      <c r="A152" s="49" t="s">
        <v>125</v>
      </c>
      <c r="B152" s="49" t="s">
        <v>136</v>
      </c>
      <c r="C152" s="49" t="s">
        <v>138</v>
      </c>
      <c r="D152" s="50" t="s">
        <v>828</v>
      </c>
      <c r="E152" s="51">
        <v>2126</v>
      </c>
      <c r="F152" s="51">
        <v>3865</v>
      </c>
      <c r="G152" s="51">
        <v>4676.6499999999996</v>
      </c>
      <c r="H152" s="51">
        <v>1739</v>
      </c>
      <c r="I152" s="52">
        <v>44.993531694695989</v>
      </c>
      <c r="J152" s="52">
        <v>81.796801505174031</v>
      </c>
      <c r="K152" s="53"/>
      <c r="L152" s="54"/>
      <c r="M152" s="53"/>
      <c r="N152" s="54"/>
    </row>
    <row r="153" spans="1:14" x14ac:dyDescent="0.2">
      <c r="A153" s="55" t="s">
        <v>125</v>
      </c>
      <c r="B153" s="55" t="s">
        <v>136</v>
      </c>
      <c r="C153" s="55" t="s">
        <v>138</v>
      </c>
      <c r="D153" s="56" t="s">
        <v>827</v>
      </c>
      <c r="E153" s="57">
        <v>2435</v>
      </c>
      <c r="F153" s="57">
        <v>3865</v>
      </c>
      <c r="G153" s="57">
        <v>4676.6499999999996</v>
      </c>
      <c r="H153" s="57">
        <v>1430</v>
      </c>
      <c r="I153" s="58">
        <v>36.998706338939193</v>
      </c>
      <c r="J153" s="58">
        <v>58.726899383983579</v>
      </c>
      <c r="K153" s="59">
        <v>309</v>
      </c>
      <c r="L153" s="60">
        <v>14.534336782690501</v>
      </c>
      <c r="M153" s="59">
        <v>0</v>
      </c>
      <c r="N153" s="60">
        <v>0</v>
      </c>
    </row>
    <row r="154" spans="1:14" x14ac:dyDescent="0.2">
      <c r="A154" s="55" t="s">
        <v>125</v>
      </c>
      <c r="B154" s="55" t="s">
        <v>136</v>
      </c>
      <c r="C154" s="55" t="s">
        <v>138</v>
      </c>
      <c r="D154" s="56" t="s">
        <v>829</v>
      </c>
      <c r="E154" s="57">
        <v>2435</v>
      </c>
      <c r="F154" s="57">
        <v>3865</v>
      </c>
      <c r="G154" s="57">
        <v>4676.6499999999996</v>
      </c>
      <c r="H154" s="57">
        <v>1430</v>
      </c>
      <c r="I154" s="58">
        <v>36.998706338939193</v>
      </c>
      <c r="J154" s="58">
        <v>58.726899383983579</v>
      </c>
      <c r="K154" s="59">
        <v>0</v>
      </c>
      <c r="L154" s="60">
        <v>0</v>
      </c>
      <c r="M154" s="59">
        <v>0</v>
      </c>
      <c r="N154" s="60">
        <v>0</v>
      </c>
    </row>
    <row r="155" spans="1:14" x14ac:dyDescent="0.2">
      <c r="A155" s="43" t="s">
        <v>125</v>
      </c>
      <c r="B155" s="43" t="s">
        <v>136</v>
      </c>
      <c r="C155" s="43" t="s">
        <v>137</v>
      </c>
      <c r="D155" s="44" t="s">
        <v>828</v>
      </c>
      <c r="E155" s="45">
        <v>240</v>
      </c>
      <c r="F155" s="45">
        <v>435</v>
      </c>
      <c r="G155" s="45">
        <v>526.35</v>
      </c>
      <c r="H155" s="45">
        <v>195</v>
      </c>
      <c r="I155" s="46">
        <v>44.827586206896562</v>
      </c>
      <c r="J155" s="46">
        <v>81.25</v>
      </c>
      <c r="K155" s="47"/>
      <c r="L155" s="48"/>
      <c r="M155" s="47"/>
      <c r="N155" s="48"/>
    </row>
    <row r="156" spans="1:14" x14ac:dyDescent="0.2">
      <c r="A156" s="61" t="s">
        <v>125</v>
      </c>
      <c r="B156" s="61" t="s">
        <v>136</v>
      </c>
      <c r="C156" s="61" t="s">
        <v>137</v>
      </c>
      <c r="D156" s="62" t="s">
        <v>827</v>
      </c>
      <c r="E156" s="63">
        <v>274</v>
      </c>
      <c r="F156" s="63">
        <v>435</v>
      </c>
      <c r="G156" s="63">
        <v>526.35</v>
      </c>
      <c r="H156" s="63">
        <v>161</v>
      </c>
      <c r="I156" s="64">
        <v>37.011494252873561</v>
      </c>
      <c r="J156" s="64">
        <v>58.759124087591239</v>
      </c>
      <c r="K156" s="65">
        <v>34</v>
      </c>
      <c r="L156" s="66">
        <v>14.16666666666667</v>
      </c>
      <c r="M156" s="65">
        <v>0</v>
      </c>
      <c r="N156" s="66">
        <v>0</v>
      </c>
    </row>
    <row r="157" spans="1:14" x14ac:dyDescent="0.2">
      <c r="A157" s="61" t="s">
        <v>125</v>
      </c>
      <c r="B157" s="61" t="s">
        <v>136</v>
      </c>
      <c r="C157" s="61" t="s">
        <v>137</v>
      </c>
      <c r="D157" s="62" t="s">
        <v>829</v>
      </c>
      <c r="E157" s="63">
        <v>275</v>
      </c>
      <c r="F157" s="63">
        <v>435</v>
      </c>
      <c r="G157" s="63">
        <v>526.35</v>
      </c>
      <c r="H157" s="63">
        <v>160</v>
      </c>
      <c r="I157" s="64">
        <v>36.781609195402297</v>
      </c>
      <c r="J157" s="64">
        <v>58.18181818181818</v>
      </c>
      <c r="K157" s="65">
        <v>1</v>
      </c>
      <c r="L157" s="66">
        <v>0.36496350364963498</v>
      </c>
      <c r="M157" s="65">
        <v>0</v>
      </c>
      <c r="N157" s="66">
        <v>0</v>
      </c>
    </row>
    <row r="158" spans="1:14" x14ac:dyDescent="0.2">
      <c r="A158" s="49" t="s">
        <v>125</v>
      </c>
      <c r="B158" s="49" t="s">
        <v>140</v>
      </c>
      <c r="C158" s="49" t="s">
        <v>141</v>
      </c>
      <c r="D158" s="50" t="s">
        <v>828</v>
      </c>
      <c r="E158" s="51">
        <v>2385</v>
      </c>
      <c r="F158" s="51">
        <v>4335</v>
      </c>
      <c r="G158" s="51">
        <v>5245.35</v>
      </c>
      <c r="H158" s="51">
        <v>1950</v>
      </c>
      <c r="I158" s="52">
        <v>44.982698961937707</v>
      </c>
      <c r="J158" s="52">
        <v>81.761006289308185</v>
      </c>
      <c r="K158" s="53"/>
      <c r="L158" s="54"/>
      <c r="M158" s="53"/>
      <c r="N158" s="54"/>
    </row>
    <row r="159" spans="1:14" x14ac:dyDescent="0.2">
      <c r="A159" s="55" t="s">
        <v>125</v>
      </c>
      <c r="B159" s="55" t="s">
        <v>140</v>
      </c>
      <c r="C159" s="55" t="s">
        <v>141</v>
      </c>
      <c r="D159" s="56" t="s">
        <v>827</v>
      </c>
      <c r="E159" s="57">
        <v>2731</v>
      </c>
      <c r="F159" s="57">
        <v>4335</v>
      </c>
      <c r="G159" s="57">
        <v>5245.35</v>
      </c>
      <c r="H159" s="57">
        <v>1604</v>
      </c>
      <c r="I159" s="58">
        <v>37.001153402537483</v>
      </c>
      <c r="J159" s="58">
        <v>58.733064811424377</v>
      </c>
      <c r="K159" s="59">
        <v>346</v>
      </c>
      <c r="L159" s="60">
        <v>14.50733752620545</v>
      </c>
      <c r="M159" s="59">
        <v>0</v>
      </c>
      <c r="N159" s="60">
        <v>0</v>
      </c>
    </row>
    <row r="160" spans="1:14" x14ac:dyDescent="0.2">
      <c r="A160" s="55" t="s">
        <v>125</v>
      </c>
      <c r="B160" s="55" t="s">
        <v>140</v>
      </c>
      <c r="C160" s="55" t="s">
        <v>141</v>
      </c>
      <c r="D160" s="56" t="s">
        <v>829</v>
      </c>
      <c r="E160" s="57">
        <v>2732</v>
      </c>
      <c r="F160" s="57">
        <v>4335</v>
      </c>
      <c r="G160" s="57">
        <v>5245.35</v>
      </c>
      <c r="H160" s="57">
        <v>1603</v>
      </c>
      <c r="I160" s="58">
        <v>36.978085351787783</v>
      </c>
      <c r="J160" s="58">
        <v>58.674963396778907</v>
      </c>
      <c r="K160" s="59">
        <v>1</v>
      </c>
      <c r="L160" s="60">
        <v>3.661662394727206E-2</v>
      </c>
      <c r="M160" s="59">
        <v>0</v>
      </c>
      <c r="N160" s="60">
        <v>0</v>
      </c>
    </row>
    <row r="161" spans="1:14" x14ac:dyDescent="0.2">
      <c r="A161" s="43" t="s">
        <v>125</v>
      </c>
      <c r="B161" s="43" t="s">
        <v>143</v>
      </c>
      <c r="C161" s="43" t="s">
        <v>144</v>
      </c>
      <c r="D161" s="44" t="s">
        <v>828</v>
      </c>
      <c r="E161" s="45">
        <v>361</v>
      </c>
      <c r="F161" s="45">
        <v>655</v>
      </c>
      <c r="G161" s="45">
        <v>792.55</v>
      </c>
      <c r="H161" s="45">
        <v>294</v>
      </c>
      <c r="I161" s="46">
        <v>44.885496183206108</v>
      </c>
      <c r="J161" s="46">
        <v>81.440443213296405</v>
      </c>
      <c r="K161" s="47"/>
      <c r="L161" s="48"/>
      <c r="M161" s="47"/>
      <c r="N161" s="48"/>
    </row>
    <row r="162" spans="1:14" x14ac:dyDescent="0.2">
      <c r="A162" s="61" t="s">
        <v>125</v>
      </c>
      <c r="B162" s="61" t="s">
        <v>143</v>
      </c>
      <c r="C162" s="61" t="s">
        <v>144</v>
      </c>
      <c r="D162" s="62" t="s">
        <v>827</v>
      </c>
      <c r="E162" s="63">
        <v>413</v>
      </c>
      <c r="F162" s="63">
        <v>655</v>
      </c>
      <c r="G162" s="63">
        <v>792.55</v>
      </c>
      <c r="H162" s="63">
        <v>242</v>
      </c>
      <c r="I162" s="64">
        <v>36.946564885496187</v>
      </c>
      <c r="J162" s="64">
        <v>58.595641646489113</v>
      </c>
      <c r="K162" s="65">
        <v>52</v>
      </c>
      <c r="L162" s="66">
        <v>14.40443213296399</v>
      </c>
      <c r="M162" s="65">
        <v>0</v>
      </c>
      <c r="N162" s="66">
        <v>0</v>
      </c>
    </row>
    <row r="163" spans="1:14" x14ac:dyDescent="0.2">
      <c r="A163" s="61" t="s">
        <v>125</v>
      </c>
      <c r="B163" s="61" t="s">
        <v>143</v>
      </c>
      <c r="C163" s="61" t="s">
        <v>144</v>
      </c>
      <c r="D163" s="62" t="s">
        <v>829</v>
      </c>
      <c r="E163" s="63">
        <v>413</v>
      </c>
      <c r="F163" s="63">
        <v>655</v>
      </c>
      <c r="G163" s="63">
        <v>792.55</v>
      </c>
      <c r="H163" s="63">
        <v>242</v>
      </c>
      <c r="I163" s="64">
        <v>36.946564885496187</v>
      </c>
      <c r="J163" s="64">
        <v>58.595641646489113</v>
      </c>
      <c r="K163" s="65">
        <v>0</v>
      </c>
      <c r="L163" s="66">
        <v>0</v>
      </c>
      <c r="M163" s="65">
        <v>0</v>
      </c>
      <c r="N163" s="66">
        <v>0</v>
      </c>
    </row>
    <row r="164" spans="1:14" x14ac:dyDescent="0.2">
      <c r="A164" s="49" t="s">
        <v>125</v>
      </c>
      <c r="B164" s="49" t="s">
        <v>146</v>
      </c>
      <c r="C164" s="49" t="s">
        <v>147</v>
      </c>
      <c r="D164" s="50" t="s">
        <v>828</v>
      </c>
      <c r="E164" s="51">
        <v>531</v>
      </c>
      <c r="F164" s="51">
        <v>965</v>
      </c>
      <c r="G164" s="51">
        <v>1167.6500000000001</v>
      </c>
      <c r="H164" s="51">
        <v>434</v>
      </c>
      <c r="I164" s="52">
        <v>44.974093264248708</v>
      </c>
      <c r="J164" s="52">
        <v>81.732580037664775</v>
      </c>
      <c r="K164" s="53"/>
      <c r="L164" s="54"/>
      <c r="M164" s="53"/>
      <c r="N164" s="54"/>
    </row>
    <row r="165" spans="1:14" x14ac:dyDescent="0.2">
      <c r="A165" s="55" t="s">
        <v>125</v>
      </c>
      <c r="B165" s="55" t="s">
        <v>146</v>
      </c>
      <c r="C165" s="55" t="s">
        <v>147</v>
      </c>
      <c r="D165" s="56" t="s">
        <v>827</v>
      </c>
      <c r="E165" s="57">
        <v>608</v>
      </c>
      <c r="F165" s="57">
        <v>965</v>
      </c>
      <c r="G165" s="57">
        <v>1167.6500000000001</v>
      </c>
      <c r="H165" s="57">
        <v>357</v>
      </c>
      <c r="I165" s="58">
        <v>36.994818652849737</v>
      </c>
      <c r="J165" s="58">
        <v>58.717105263157897</v>
      </c>
      <c r="K165" s="59">
        <v>77</v>
      </c>
      <c r="L165" s="60">
        <v>14.50094161958569</v>
      </c>
      <c r="M165" s="59">
        <v>0</v>
      </c>
      <c r="N165" s="60">
        <v>0</v>
      </c>
    </row>
    <row r="166" spans="1:14" x14ac:dyDescent="0.2">
      <c r="A166" s="55" t="s">
        <v>125</v>
      </c>
      <c r="B166" s="55" t="s">
        <v>146</v>
      </c>
      <c r="C166" s="55" t="s">
        <v>147</v>
      </c>
      <c r="D166" s="56" t="s">
        <v>829</v>
      </c>
      <c r="E166" s="57">
        <v>608</v>
      </c>
      <c r="F166" s="57">
        <v>965</v>
      </c>
      <c r="G166" s="57">
        <v>1167.6500000000001</v>
      </c>
      <c r="H166" s="57">
        <v>357</v>
      </c>
      <c r="I166" s="58">
        <v>36.994818652849737</v>
      </c>
      <c r="J166" s="58">
        <v>58.717105263157897</v>
      </c>
      <c r="K166" s="59">
        <v>0</v>
      </c>
      <c r="L166" s="60">
        <v>0</v>
      </c>
      <c r="M166" s="59">
        <v>0</v>
      </c>
      <c r="N166" s="60">
        <v>0</v>
      </c>
    </row>
    <row r="167" spans="1:14" x14ac:dyDescent="0.2">
      <c r="A167" s="43" t="s">
        <v>125</v>
      </c>
      <c r="B167" s="43" t="s">
        <v>149</v>
      </c>
      <c r="C167" s="43" t="s">
        <v>150</v>
      </c>
      <c r="D167" s="44" t="s">
        <v>828</v>
      </c>
      <c r="E167" s="45">
        <v>674</v>
      </c>
      <c r="F167" s="45">
        <v>1225</v>
      </c>
      <c r="G167" s="45">
        <v>1482.25</v>
      </c>
      <c r="H167" s="45">
        <v>551</v>
      </c>
      <c r="I167" s="46">
        <v>44.979591836734691</v>
      </c>
      <c r="J167" s="46">
        <v>81.750741839762611</v>
      </c>
      <c r="K167" s="47"/>
      <c r="L167" s="48"/>
      <c r="M167" s="47"/>
      <c r="N167" s="48"/>
    </row>
    <row r="168" spans="1:14" x14ac:dyDescent="0.2">
      <c r="A168" s="61" t="s">
        <v>125</v>
      </c>
      <c r="B168" s="61" t="s">
        <v>149</v>
      </c>
      <c r="C168" s="61" t="s">
        <v>150</v>
      </c>
      <c r="D168" s="62" t="s">
        <v>827</v>
      </c>
      <c r="E168" s="63">
        <v>772</v>
      </c>
      <c r="F168" s="63">
        <v>1225</v>
      </c>
      <c r="G168" s="63">
        <v>1482.25</v>
      </c>
      <c r="H168" s="63">
        <v>453</v>
      </c>
      <c r="I168" s="64">
        <v>36.979591836734691</v>
      </c>
      <c r="J168" s="64">
        <v>58.678756476683937</v>
      </c>
      <c r="K168" s="65">
        <v>98</v>
      </c>
      <c r="L168" s="66">
        <v>14.54005934718101</v>
      </c>
      <c r="M168" s="65">
        <v>0</v>
      </c>
      <c r="N168" s="66">
        <v>0</v>
      </c>
    </row>
    <row r="169" spans="1:14" x14ac:dyDescent="0.2">
      <c r="A169" s="61" t="s">
        <v>125</v>
      </c>
      <c r="B169" s="61" t="s">
        <v>149</v>
      </c>
      <c r="C169" s="61" t="s">
        <v>150</v>
      </c>
      <c r="D169" s="62" t="s">
        <v>829</v>
      </c>
      <c r="E169" s="63">
        <v>772</v>
      </c>
      <c r="F169" s="63">
        <v>1225</v>
      </c>
      <c r="G169" s="63">
        <v>1482.25</v>
      </c>
      <c r="H169" s="63">
        <v>453</v>
      </c>
      <c r="I169" s="64">
        <v>36.979591836734691</v>
      </c>
      <c r="J169" s="64">
        <v>58.678756476683937</v>
      </c>
      <c r="K169" s="65">
        <v>0</v>
      </c>
      <c r="L169" s="66">
        <v>0</v>
      </c>
      <c r="M169" s="65">
        <v>0</v>
      </c>
      <c r="N169" s="66">
        <v>0</v>
      </c>
    </row>
    <row r="170" spans="1:14" x14ac:dyDescent="0.2">
      <c r="A170" s="49" t="s">
        <v>125</v>
      </c>
      <c r="B170" s="49" t="s">
        <v>158</v>
      </c>
      <c r="C170" s="49" t="s">
        <v>159</v>
      </c>
      <c r="D170" s="50" t="s">
        <v>828</v>
      </c>
      <c r="E170" s="51">
        <v>1406</v>
      </c>
      <c r="F170" s="51">
        <v>2555</v>
      </c>
      <c r="G170" s="51">
        <v>3091.55</v>
      </c>
      <c r="H170" s="51">
        <v>1149</v>
      </c>
      <c r="I170" s="52">
        <v>44.970645792563602</v>
      </c>
      <c r="J170" s="52">
        <v>81.721194879089623</v>
      </c>
      <c r="K170" s="53"/>
      <c r="L170" s="54"/>
      <c r="M170" s="53"/>
      <c r="N170" s="54"/>
    </row>
    <row r="171" spans="1:14" x14ac:dyDescent="0.2">
      <c r="A171" s="55" t="s">
        <v>125</v>
      </c>
      <c r="B171" s="55" t="s">
        <v>158</v>
      </c>
      <c r="C171" s="55" t="s">
        <v>159</v>
      </c>
      <c r="D171" s="56" t="s">
        <v>827</v>
      </c>
      <c r="E171" s="57">
        <v>1610</v>
      </c>
      <c r="F171" s="57">
        <v>2555</v>
      </c>
      <c r="G171" s="57">
        <v>3091.55</v>
      </c>
      <c r="H171" s="57">
        <v>945</v>
      </c>
      <c r="I171" s="58">
        <v>36.986301369863007</v>
      </c>
      <c r="J171" s="58">
        <v>58.695652173913047</v>
      </c>
      <c r="K171" s="59">
        <v>204</v>
      </c>
      <c r="L171" s="60">
        <v>14.509246088193461</v>
      </c>
      <c r="M171" s="59">
        <v>0</v>
      </c>
      <c r="N171" s="60">
        <v>0</v>
      </c>
    </row>
    <row r="172" spans="1:14" x14ac:dyDescent="0.2">
      <c r="A172" s="55" t="s">
        <v>125</v>
      </c>
      <c r="B172" s="55" t="s">
        <v>158</v>
      </c>
      <c r="C172" s="55" t="s">
        <v>159</v>
      </c>
      <c r="D172" s="56" t="s">
        <v>829</v>
      </c>
      <c r="E172" s="57">
        <v>1610</v>
      </c>
      <c r="F172" s="57">
        <v>2555</v>
      </c>
      <c r="G172" s="57">
        <v>3091.55</v>
      </c>
      <c r="H172" s="57">
        <v>945</v>
      </c>
      <c r="I172" s="58">
        <v>36.986301369863007</v>
      </c>
      <c r="J172" s="58">
        <v>58.695652173913047</v>
      </c>
      <c r="K172" s="59">
        <v>0</v>
      </c>
      <c r="L172" s="60">
        <v>0</v>
      </c>
      <c r="M172" s="59">
        <v>0</v>
      </c>
      <c r="N172" s="60">
        <v>0</v>
      </c>
    </row>
    <row r="173" spans="1:14" x14ac:dyDescent="0.2">
      <c r="A173" s="43" t="s">
        <v>125</v>
      </c>
      <c r="B173" s="43" t="s">
        <v>161</v>
      </c>
      <c r="C173" s="43" t="s">
        <v>162</v>
      </c>
      <c r="D173" s="44" t="s">
        <v>828</v>
      </c>
      <c r="E173" s="45">
        <v>1609</v>
      </c>
      <c r="F173" s="45">
        <v>2925</v>
      </c>
      <c r="G173" s="45">
        <v>3539.25</v>
      </c>
      <c r="H173" s="45">
        <v>1316</v>
      </c>
      <c r="I173" s="46">
        <v>44.991452991452988</v>
      </c>
      <c r="J173" s="46">
        <v>81.789931634555629</v>
      </c>
      <c r="K173" s="47"/>
      <c r="L173" s="48"/>
      <c r="M173" s="47"/>
      <c r="N173" s="48"/>
    </row>
    <row r="174" spans="1:14" x14ac:dyDescent="0.2">
      <c r="A174" s="61" t="s">
        <v>125</v>
      </c>
      <c r="B174" s="61" t="s">
        <v>161</v>
      </c>
      <c r="C174" s="61" t="s">
        <v>162</v>
      </c>
      <c r="D174" s="62" t="s">
        <v>827</v>
      </c>
      <c r="E174" s="63">
        <v>1843</v>
      </c>
      <c r="F174" s="63">
        <v>2925</v>
      </c>
      <c r="G174" s="63">
        <v>3539.25</v>
      </c>
      <c r="H174" s="63">
        <v>1082</v>
      </c>
      <c r="I174" s="64">
        <v>36.991452991452988</v>
      </c>
      <c r="J174" s="64">
        <v>58.708627238198588</v>
      </c>
      <c r="K174" s="65">
        <v>234</v>
      </c>
      <c r="L174" s="66">
        <v>14.543194530764451</v>
      </c>
      <c r="M174" s="65">
        <v>0</v>
      </c>
      <c r="N174" s="66">
        <v>0</v>
      </c>
    </row>
    <row r="175" spans="1:14" x14ac:dyDescent="0.2">
      <c r="A175" s="61" t="s">
        <v>125</v>
      </c>
      <c r="B175" s="61" t="s">
        <v>161</v>
      </c>
      <c r="C175" s="61" t="s">
        <v>162</v>
      </c>
      <c r="D175" s="62" t="s">
        <v>829</v>
      </c>
      <c r="E175" s="63">
        <v>1843</v>
      </c>
      <c r="F175" s="63">
        <v>2925</v>
      </c>
      <c r="G175" s="63">
        <v>3539.25</v>
      </c>
      <c r="H175" s="63">
        <v>1082</v>
      </c>
      <c r="I175" s="64">
        <v>36.991452991452988</v>
      </c>
      <c r="J175" s="64">
        <v>58.708627238198588</v>
      </c>
      <c r="K175" s="65">
        <v>0</v>
      </c>
      <c r="L175" s="66">
        <v>0</v>
      </c>
      <c r="M175" s="65">
        <v>0</v>
      </c>
      <c r="N175" s="66">
        <v>0</v>
      </c>
    </row>
    <row r="176" spans="1:14" x14ac:dyDescent="0.2">
      <c r="A176" s="49" t="s">
        <v>125</v>
      </c>
      <c r="B176" s="49" t="s">
        <v>459</v>
      </c>
      <c r="C176" s="49" t="s">
        <v>835</v>
      </c>
      <c r="D176" s="50" t="s">
        <v>827</v>
      </c>
      <c r="E176" s="51">
        <v>198</v>
      </c>
      <c r="F176" s="51">
        <v>2395</v>
      </c>
      <c r="G176" s="51">
        <v>2897.95</v>
      </c>
      <c r="H176" s="51">
        <v>2197</v>
      </c>
      <c r="I176" s="52">
        <v>91.732776617954073</v>
      </c>
      <c r="J176" s="52">
        <v>1109.59595959596</v>
      </c>
      <c r="K176" s="53"/>
      <c r="L176" s="54"/>
      <c r="M176" s="53"/>
      <c r="N176" s="54"/>
    </row>
    <row r="177" spans="1:14" x14ac:dyDescent="0.2">
      <c r="A177" s="43" t="s">
        <v>125</v>
      </c>
      <c r="B177" s="43" t="s">
        <v>459</v>
      </c>
      <c r="C177" s="43" t="s">
        <v>460</v>
      </c>
      <c r="D177" s="44" t="s">
        <v>828</v>
      </c>
      <c r="E177" s="45">
        <v>1318</v>
      </c>
      <c r="F177" s="45">
        <v>2395</v>
      </c>
      <c r="G177" s="45">
        <v>2897.95</v>
      </c>
      <c r="H177" s="45">
        <v>1077</v>
      </c>
      <c r="I177" s="46">
        <v>44.968684759916492</v>
      </c>
      <c r="J177" s="46">
        <v>81.714719271623665</v>
      </c>
      <c r="K177" s="47"/>
      <c r="L177" s="48"/>
      <c r="M177" s="47"/>
      <c r="N177" s="48"/>
    </row>
    <row r="178" spans="1:14" x14ac:dyDescent="0.2">
      <c r="A178" s="61" t="s">
        <v>125</v>
      </c>
      <c r="B178" s="61" t="s">
        <v>459</v>
      </c>
      <c r="C178" s="61" t="s">
        <v>460</v>
      </c>
      <c r="D178" s="62" t="s">
        <v>829</v>
      </c>
      <c r="E178" s="63">
        <v>1509</v>
      </c>
      <c r="F178" s="63">
        <v>2395</v>
      </c>
      <c r="G178" s="63">
        <v>2897.95</v>
      </c>
      <c r="H178" s="63">
        <v>886</v>
      </c>
      <c r="I178" s="64">
        <v>36.993736951983287</v>
      </c>
      <c r="J178" s="64">
        <v>58.714380384360503</v>
      </c>
      <c r="K178" s="65">
        <v>191</v>
      </c>
      <c r="L178" s="66">
        <v>14.49165402124431</v>
      </c>
      <c r="M178" s="65">
        <v>0</v>
      </c>
      <c r="N178" s="66">
        <v>0</v>
      </c>
    </row>
    <row r="179" spans="1:14" x14ac:dyDescent="0.2">
      <c r="A179" s="49" t="s">
        <v>125</v>
      </c>
      <c r="B179" s="49" t="s">
        <v>432</v>
      </c>
      <c r="C179" s="49" t="s">
        <v>859</v>
      </c>
      <c r="D179" s="50" t="s">
        <v>827</v>
      </c>
      <c r="E179" s="51">
        <v>101</v>
      </c>
      <c r="F179" s="51">
        <v>550</v>
      </c>
      <c r="G179" s="51">
        <v>665.5</v>
      </c>
      <c r="H179" s="51">
        <v>449</v>
      </c>
      <c r="I179" s="52">
        <v>81.63636363636364</v>
      </c>
      <c r="J179" s="52">
        <v>444.55445544554459</v>
      </c>
      <c r="K179" s="53"/>
      <c r="L179" s="54"/>
      <c r="M179" s="53"/>
      <c r="N179" s="54"/>
    </row>
    <row r="180" spans="1:14" x14ac:dyDescent="0.2">
      <c r="A180" s="43" t="s">
        <v>125</v>
      </c>
      <c r="B180" s="43" t="s">
        <v>432</v>
      </c>
      <c r="C180" s="43" t="s">
        <v>433</v>
      </c>
      <c r="D180" s="44" t="s">
        <v>828</v>
      </c>
      <c r="E180" s="45">
        <v>303</v>
      </c>
      <c r="F180" s="45">
        <v>550</v>
      </c>
      <c r="G180" s="45">
        <v>665.5</v>
      </c>
      <c r="H180" s="45">
        <v>247</v>
      </c>
      <c r="I180" s="46">
        <v>44.909090909090907</v>
      </c>
      <c r="J180" s="46">
        <v>81.518151815181511</v>
      </c>
      <c r="K180" s="47"/>
      <c r="L180" s="48"/>
      <c r="M180" s="47"/>
      <c r="N180" s="48"/>
    </row>
    <row r="181" spans="1:14" x14ac:dyDescent="0.2">
      <c r="A181" s="61" t="s">
        <v>125</v>
      </c>
      <c r="B181" s="61" t="s">
        <v>432</v>
      </c>
      <c r="C181" s="61" t="s">
        <v>433</v>
      </c>
      <c r="D181" s="62" t="s">
        <v>829</v>
      </c>
      <c r="E181" s="63">
        <v>347</v>
      </c>
      <c r="F181" s="63">
        <v>550</v>
      </c>
      <c r="G181" s="63">
        <v>665.5</v>
      </c>
      <c r="H181" s="63">
        <v>203</v>
      </c>
      <c r="I181" s="64">
        <v>36.909090909090907</v>
      </c>
      <c r="J181" s="64">
        <v>58.501440922190213</v>
      </c>
      <c r="K181" s="65">
        <v>44</v>
      </c>
      <c r="L181" s="66">
        <v>14.52145214521452</v>
      </c>
      <c r="M181" s="65">
        <v>0</v>
      </c>
      <c r="N181" s="66">
        <v>0</v>
      </c>
    </row>
    <row r="182" spans="1:14" x14ac:dyDescent="0.2">
      <c r="A182" s="49" t="s">
        <v>125</v>
      </c>
      <c r="B182" s="49" t="s">
        <v>242</v>
      </c>
      <c r="C182" s="49" t="s">
        <v>243</v>
      </c>
      <c r="D182" s="50" t="s">
        <v>828</v>
      </c>
      <c r="E182" s="51">
        <v>154</v>
      </c>
      <c r="F182" s="51">
        <v>280</v>
      </c>
      <c r="G182" s="51">
        <v>338.8</v>
      </c>
      <c r="H182" s="51">
        <v>126</v>
      </c>
      <c r="I182" s="52">
        <v>45</v>
      </c>
      <c r="J182" s="52">
        <v>81.818181818181827</v>
      </c>
      <c r="K182" s="53"/>
      <c r="L182" s="54"/>
      <c r="M182" s="53"/>
      <c r="N182" s="54"/>
    </row>
    <row r="183" spans="1:14" x14ac:dyDescent="0.2">
      <c r="A183" s="55" t="s">
        <v>125</v>
      </c>
      <c r="B183" s="55" t="s">
        <v>242</v>
      </c>
      <c r="C183" s="55" t="s">
        <v>243</v>
      </c>
      <c r="D183" s="56" t="s">
        <v>827</v>
      </c>
      <c r="E183" s="57">
        <v>176</v>
      </c>
      <c r="F183" s="57">
        <v>280</v>
      </c>
      <c r="G183" s="57">
        <v>338.8</v>
      </c>
      <c r="H183" s="57">
        <v>104</v>
      </c>
      <c r="I183" s="58">
        <v>37.142857142857153</v>
      </c>
      <c r="J183" s="58">
        <v>59.090909090909093</v>
      </c>
      <c r="K183" s="59">
        <v>22</v>
      </c>
      <c r="L183" s="60">
        <v>14.285714285714279</v>
      </c>
      <c r="M183" s="59">
        <v>0</v>
      </c>
      <c r="N183" s="60">
        <v>0</v>
      </c>
    </row>
    <row r="184" spans="1:14" x14ac:dyDescent="0.2">
      <c r="A184" s="55" t="s">
        <v>125</v>
      </c>
      <c r="B184" s="55" t="s">
        <v>242</v>
      </c>
      <c r="C184" s="55" t="s">
        <v>243</v>
      </c>
      <c r="D184" s="56" t="s">
        <v>829</v>
      </c>
      <c r="E184" s="57">
        <v>177</v>
      </c>
      <c r="F184" s="57">
        <v>280</v>
      </c>
      <c r="G184" s="57">
        <v>338.8</v>
      </c>
      <c r="H184" s="57">
        <v>103</v>
      </c>
      <c r="I184" s="58">
        <v>36.785714285714292</v>
      </c>
      <c r="J184" s="58">
        <v>58.192090395480221</v>
      </c>
      <c r="K184" s="59">
        <v>1</v>
      </c>
      <c r="L184" s="60">
        <v>0.56818181818181823</v>
      </c>
      <c r="M184" s="59">
        <v>0</v>
      </c>
      <c r="N184" s="60">
        <v>0</v>
      </c>
    </row>
    <row r="185" spans="1:14" x14ac:dyDescent="0.2">
      <c r="A185" s="43" t="s">
        <v>125</v>
      </c>
      <c r="B185" s="43" t="s">
        <v>245</v>
      </c>
      <c r="C185" s="43" t="s">
        <v>246</v>
      </c>
      <c r="D185" s="44" t="s">
        <v>828</v>
      </c>
      <c r="E185" s="45">
        <v>215</v>
      </c>
      <c r="F185" s="45">
        <v>390</v>
      </c>
      <c r="G185" s="45">
        <v>471.9</v>
      </c>
      <c r="H185" s="45">
        <v>175</v>
      </c>
      <c r="I185" s="46">
        <v>44.871794871794883</v>
      </c>
      <c r="J185" s="46">
        <v>81.395348837209298</v>
      </c>
      <c r="K185" s="47"/>
      <c r="L185" s="48"/>
      <c r="M185" s="47"/>
      <c r="N185" s="48"/>
    </row>
    <row r="186" spans="1:14" x14ac:dyDescent="0.2">
      <c r="A186" s="61" t="s">
        <v>125</v>
      </c>
      <c r="B186" s="61" t="s">
        <v>245</v>
      </c>
      <c r="C186" s="61" t="s">
        <v>246</v>
      </c>
      <c r="D186" s="62" t="s">
        <v>827</v>
      </c>
      <c r="E186" s="63">
        <v>246</v>
      </c>
      <c r="F186" s="63">
        <v>390</v>
      </c>
      <c r="G186" s="63">
        <v>471.9</v>
      </c>
      <c r="H186" s="63">
        <v>144</v>
      </c>
      <c r="I186" s="64">
        <v>36.923076923076927</v>
      </c>
      <c r="J186" s="64">
        <v>58.536585365853647</v>
      </c>
      <c r="K186" s="65">
        <v>31</v>
      </c>
      <c r="L186" s="66">
        <v>14.41860465116279</v>
      </c>
      <c r="M186" s="65">
        <v>0</v>
      </c>
      <c r="N186" s="66">
        <v>0</v>
      </c>
    </row>
    <row r="187" spans="1:14" x14ac:dyDescent="0.2">
      <c r="A187" s="61" t="s">
        <v>125</v>
      </c>
      <c r="B187" s="61" t="s">
        <v>245</v>
      </c>
      <c r="C187" s="61" t="s">
        <v>246</v>
      </c>
      <c r="D187" s="62" t="s">
        <v>829</v>
      </c>
      <c r="E187" s="63">
        <v>246</v>
      </c>
      <c r="F187" s="63">
        <v>390</v>
      </c>
      <c r="G187" s="63">
        <v>471.9</v>
      </c>
      <c r="H187" s="63">
        <v>144</v>
      </c>
      <c r="I187" s="64">
        <v>36.923076923076927</v>
      </c>
      <c r="J187" s="64">
        <v>58.536585365853647</v>
      </c>
      <c r="K187" s="65">
        <v>0</v>
      </c>
      <c r="L187" s="66">
        <v>0</v>
      </c>
      <c r="M187" s="65">
        <v>0</v>
      </c>
      <c r="N187" s="66">
        <v>0</v>
      </c>
    </row>
    <row r="188" spans="1:14" x14ac:dyDescent="0.2">
      <c r="A188" s="49" t="s">
        <v>125</v>
      </c>
      <c r="B188" s="49" t="s">
        <v>233</v>
      </c>
      <c r="C188" s="49" t="s">
        <v>234</v>
      </c>
      <c r="D188" s="50" t="s">
        <v>828</v>
      </c>
      <c r="E188" s="51">
        <v>234</v>
      </c>
      <c r="F188" s="51">
        <v>425</v>
      </c>
      <c r="G188" s="51">
        <v>514.25</v>
      </c>
      <c r="H188" s="51">
        <v>191</v>
      </c>
      <c r="I188" s="52">
        <v>44.941176470588232</v>
      </c>
      <c r="J188" s="52">
        <v>81.623931623931625</v>
      </c>
      <c r="K188" s="53"/>
      <c r="L188" s="54"/>
      <c r="M188" s="53"/>
      <c r="N188" s="54"/>
    </row>
    <row r="189" spans="1:14" x14ac:dyDescent="0.2">
      <c r="A189" s="55" t="s">
        <v>125</v>
      </c>
      <c r="B189" s="55" t="s">
        <v>233</v>
      </c>
      <c r="C189" s="55" t="s">
        <v>234</v>
      </c>
      <c r="D189" s="56" t="s">
        <v>827</v>
      </c>
      <c r="E189" s="57">
        <v>268</v>
      </c>
      <c r="F189" s="57">
        <v>425</v>
      </c>
      <c r="G189" s="57">
        <v>514.25</v>
      </c>
      <c r="H189" s="57">
        <v>157</v>
      </c>
      <c r="I189" s="58">
        <v>36.941176470588232</v>
      </c>
      <c r="J189" s="58">
        <v>58.582089552238813</v>
      </c>
      <c r="K189" s="59">
        <v>34</v>
      </c>
      <c r="L189" s="60">
        <v>14.52991452991453</v>
      </c>
      <c r="M189" s="59">
        <v>0</v>
      </c>
      <c r="N189" s="60">
        <v>0</v>
      </c>
    </row>
    <row r="190" spans="1:14" x14ac:dyDescent="0.2">
      <c r="A190" s="55" t="s">
        <v>125</v>
      </c>
      <c r="B190" s="55" t="s">
        <v>233</v>
      </c>
      <c r="C190" s="55" t="s">
        <v>234</v>
      </c>
      <c r="D190" s="56" t="s">
        <v>829</v>
      </c>
      <c r="E190" s="57">
        <v>268</v>
      </c>
      <c r="F190" s="57">
        <v>425</v>
      </c>
      <c r="G190" s="57">
        <v>514.25</v>
      </c>
      <c r="H190" s="57">
        <v>157</v>
      </c>
      <c r="I190" s="58">
        <v>36.941176470588232</v>
      </c>
      <c r="J190" s="58">
        <v>58.582089552238813</v>
      </c>
      <c r="K190" s="59">
        <v>0</v>
      </c>
      <c r="L190" s="60">
        <v>0</v>
      </c>
      <c r="M190" s="59">
        <v>0</v>
      </c>
      <c r="N190" s="60">
        <v>0</v>
      </c>
    </row>
    <row r="191" spans="1:14" x14ac:dyDescent="0.2">
      <c r="A191" s="43" t="s">
        <v>125</v>
      </c>
      <c r="B191" s="43" t="s">
        <v>236</v>
      </c>
      <c r="C191" s="43" t="s">
        <v>237</v>
      </c>
      <c r="D191" s="44" t="s">
        <v>828</v>
      </c>
      <c r="E191" s="45">
        <v>396</v>
      </c>
      <c r="F191" s="45">
        <v>720</v>
      </c>
      <c r="G191" s="45">
        <v>871.2</v>
      </c>
      <c r="H191" s="45">
        <v>324</v>
      </c>
      <c r="I191" s="46">
        <v>45</v>
      </c>
      <c r="J191" s="46">
        <v>81.818181818181827</v>
      </c>
      <c r="K191" s="47"/>
      <c r="L191" s="48"/>
      <c r="M191" s="47"/>
      <c r="N191" s="48"/>
    </row>
    <row r="192" spans="1:14" x14ac:dyDescent="0.2">
      <c r="A192" s="61" t="s">
        <v>125</v>
      </c>
      <c r="B192" s="61" t="s">
        <v>236</v>
      </c>
      <c r="C192" s="61" t="s">
        <v>237</v>
      </c>
      <c r="D192" s="62" t="s">
        <v>827</v>
      </c>
      <c r="E192" s="63">
        <v>454</v>
      </c>
      <c r="F192" s="63">
        <v>720</v>
      </c>
      <c r="G192" s="63">
        <v>871.2</v>
      </c>
      <c r="H192" s="63">
        <v>266</v>
      </c>
      <c r="I192" s="64">
        <v>36.944444444444443</v>
      </c>
      <c r="J192" s="64">
        <v>58.590308370044063</v>
      </c>
      <c r="K192" s="65">
        <v>58</v>
      </c>
      <c r="L192" s="66">
        <v>14.646464646464651</v>
      </c>
      <c r="M192" s="65">
        <v>0</v>
      </c>
      <c r="N192" s="66">
        <v>0</v>
      </c>
    </row>
    <row r="193" spans="1:14" x14ac:dyDescent="0.2">
      <c r="A193" s="61" t="s">
        <v>125</v>
      </c>
      <c r="B193" s="61" t="s">
        <v>236</v>
      </c>
      <c r="C193" s="61" t="s">
        <v>237</v>
      </c>
      <c r="D193" s="62" t="s">
        <v>829</v>
      </c>
      <c r="E193" s="63">
        <v>454</v>
      </c>
      <c r="F193" s="63">
        <v>720</v>
      </c>
      <c r="G193" s="63">
        <v>871.2</v>
      </c>
      <c r="H193" s="63">
        <v>266</v>
      </c>
      <c r="I193" s="64">
        <v>36.944444444444443</v>
      </c>
      <c r="J193" s="64">
        <v>58.590308370044063</v>
      </c>
      <c r="K193" s="65">
        <v>0</v>
      </c>
      <c r="L193" s="66">
        <v>0</v>
      </c>
      <c r="M193" s="65">
        <v>0</v>
      </c>
      <c r="N193" s="66">
        <v>0</v>
      </c>
    </row>
    <row r="194" spans="1:14" x14ac:dyDescent="0.2">
      <c r="A194" s="49" t="s">
        <v>125</v>
      </c>
      <c r="B194" s="49" t="s">
        <v>239</v>
      </c>
      <c r="C194" s="49" t="s">
        <v>240</v>
      </c>
      <c r="D194" s="50" t="s">
        <v>828</v>
      </c>
      <c r="E194" s="51">
        <v>520</v>
      </c>
      <c r="F194" s="51">
        <v>945</v>
      </c>
      <c r="G194" s="51">
        <v>1143.45</v>
      </c>
      <c r="H194" s="51">
        <v>425</v>
      </c>
      <c r="I194" s="52">
        <v>44.973544973544968</v>
      </c>
      <c r="J194" s="52">
        <v>81.730769230769226</v>
      </c>
      <c r="K194" s="53"/>
      <c r="L194" s="54"/>
      <c r="M194" s="53"/>
      <c r="N194" s="54"/>
    </row>
    <row r="195" spans="1:14" x14ac:dyDescent="0.2">
      <c r="A195" s="55" t="s">
        <v>125</v>
      </c>
      <c r="B195" s="55" t="s">
        <v>239</v>
      </c>
      <c r="C195" s="55" t="s">
        <v>240</v>
      </c>
      <c r="D195" s="56" t="s">
        <v>827</v>
      </c>
      <c r="E195" s="57">
        <v>595</v>
      </c>
      <c r="F195" s="57">
        <v>945</v>
      </c>
      <c r="G195" s="57">
        <v>1143.45</v>
      </c>
      <c r="H195" s="57">
        <v>350</v>
      </c>
      <c r="I195" s="58">
        <v>37.037037037037038</v>
      </c>
      <c r="J195" s="58">
        <v>58.82352941176471</v>
      </c>
      <c r="K195" s="59">
        <v>75</v>
      </c>
      <c r="L195" s="60">
        <v>14.42307692307692</v>
      </c>
      <c r="M195" s="59">
        <v>0</v>
      </c>
      <c r="N195" s="60">
        <v>0</v>
      </c>
    </row>
    <row r="196" spans="1:14" x14ac:dyDescent="0.2">
      <c r="A196" s="55" t="s">
        <v>125</v>
      </c>
      <c r="B196" s="55" t="s">
        <v>239</v>
      </c>
      <c r="C196" s="55" t="s">
        <v>240</v>
      </c>
      <c r="D196" s="56" t="s">
        <v>829</v>
      </c>
      <c r="E196" s="57">
        <v>596</v>
      </c>
      <c r="F196" s="57">
        <v>945</v>
      </c>
      <c r="G196" s="57">
        <v>1143.45</v>
      </c>
      <c r="H196" s="57">
        <v>349</v>
      </c>
      <c r="I196" s="58">
        <v>36.93121693121693</v>
      </c>
      <c r="J196" s="58">
        <v>58.557046979865767</v>
      </c>
      <c r="K196" s="59">
        <v>1</v>
      </c>
      <c r="L196" s="60">
        <v>0.16806722689075629</v>
      </c>
      <c r="M196" s="59">
        <v>0</v>
      </c>
      <c r="N196" s="60">
        <v>0</v>
      </c>
    </row>
    <row r="197" spans="1:14" x14ac:dyDescent="0.2">
      <c r="A197" s="43" t="s">
        <v>125</v>
      </c>
      <c r="B197" s="43" t="s">
        <v>248</v>
      </c>
      <c r="C197" s="43" t="s">
        <v>249</v>
      </c>
      <c r="D197" s="44" t="s">
        <v>828</v>
      </c>
      <c r="E197" s="45">
        <v>1018</v>
      </c>
      <c r="F197" s="45">
        <v>1850</v>
      </c>
      <c r="G197" s="45">
        <v>2238.5</v>
      </c>
      <c r="H197" s="45">
        <v>832</v>
      </c>
      <c r="I197" s="46">
        <v>44.972972972972983</v>
      </c>
      <c r="J197" s="46">
        <v>81.72888015717092</v>
      </c>
      <c r="K197" s="47"/>
      <c r="L197" s="48"/>
      <c r="M197" s="47"/>
      <c r="N197" s="48"/>
    </row>
    <row r="198" spans="1:14" x14ac:dyDescent="0.2">
      <c r="A198" s="61" t="s">
        <v>125</v>
      </c>
      <c r="B198" s="61" t="s">
        <v>248</v>
      </c>
      <c r="C198" s="61" t="s">
        <v>249</v>
      </c>
      <c r="D198" s="62" t="s">
        <v>827</v>
      </c>
      <c r="E198" s="63">
        <v>1166</v>
      </c>
      <c r="F198" s="63">
        <v>1850</v>
      </c>
      <c r="G198" s="63">
        <v>2238.5</v>
      </c>
      <c r="H198" s="63">
        <v>684</v>
      </c>
      <c r="I198" s="64">
        <v>36.972972972972983</v>
      </c>
      <c r="J198" s="64">
        <v>58.662092624356767</v>
      </c>
      <c r="K198" s="65">
        <v>148</v>
      </c>
      <c r="L198" s="66">
        <v>14.53831041257367</v>
      </c>
      <c r="M198" s="65">
        <v>0</v>
      </c>
      <c r="N198" s="66">
        <v>0</v>
      </c>
    </row>
    <row r="199" spans="1:14" x14ac:dyDescent="0.2">
      <c r="A199" s="61" t="s">
        <v>125</v>
      </c>
      <c r="B199" s="61" t="s">
        <v>248</v>
      </c>
      <c r="C199" s="61" t="s">
        <v>249</v>
      </c>
      <c r="D199" s="62" t="s">
        <v>829</v>
      </c>
      <c r="E199" s="63">
        <v>1166</v>
      </c>
      <c r="F199" s="63">
        <v>1850</v>
      </c>
      <c r="G199" s="63">
        <v>2238.5</v>
      </c>
      <c r="H199" s="63">
        <v>684</v>
      </c>
      <c r="I199" s="64">
        <v>36.972972972972983</v>
      </c>
      <c r="J199" s="64">
        <v>58.662092624356767</v>
      </c>
      <c r="K199" s="65">
        <v>0</v>
      </c>
      <c r="L199" s="66">
        <v>0</v>
      </c>
      <c r="M199" s="65">
        <v>0</v>
      </c>
      <c r="N199" s="66">
        <v>0</v>
      </c>
    </row>
    <row r="200" spans="1:14" x14ac:dyDescent="0.2">
      <c r="A200" s="49" t="s">
        <v>125</v>
      </c>
      <c r="B200" s="49" t="s">
        <v>251</v>
      </c>
      <c r="C200" s="49" t="s">
        <v>252</v>
      </c>
      <c r="D200" s="50" t="s">
        <v>828</v>
      </c>
      <c r="E200" s="51">
        <v>1202</v>
      </c>
      <c r="F200" s="51">
        <v>2185</v>
      </c>
      <c r="G200" s="51">
        <v>2643.85</v>
      </c>
      <c r="H200" s="51">
        <v>983</v>
      </c>
      <c r="I200" s="52">
        <v>44.988558352402748</v>
      </c>
      <c r="J200" s="52">
        <v>81.78036605657239</v>
      </c>
      <c r="K200" s="53"/>
      <c r="L200" s="54"/>
      <c r="M200" s="53"/>
      <c r="N200" s="54"/>
    </row>
    <row r="201" spans="1:14" x14ac:dyDescent="0.2">
      <c r="A201" s="55" t="s">
        <v>125</v>
      </c>
      <c r="B201" s="55" t="s">
        <v>251</v>
      </c>
      <c r="C201" s="55" t="s">
        <v>252</v>
      </c>
      <c r="D201" s="56" t="s">
        <v>827</v>
      </c>
      <c r="E201" s="57">
        <v>1377</v>
      </c>
      <c r="F201" s="57">
        <v>2185</v>
      </c>
      <c r="G201" s="57">
        <v>2643.85</v>
      </c>
      <c r="H201" s="57">
        <v>808</v>
      </c>
      <c r="I201" s="58">
        <v>36.979405034324941</v>
      </c>
      <c r="J201" s="58">
        <v>58.678286129266517</v>
      </c>
      <c r="K201" s="59">
        <v>175</v>
      </c>
      <c r="L201" s="60">
        <v>14.559068219633939</v>
      </c>
      <c r="M201" s="59">
        <v>0</v>
      </c>
      <c r="N201" s="60">
        <v>0</v>
      </c>
    </row>
    <row r="202" spans="1:14" x14ac:dyDescent="0.2">
      <c r="A202" s="55" t="s">
        <v>125</v>
      </c>
      <c r="B202" s="55" t="s">
        <v>251</v>
      </c>
      <c r="C202" s="55" t="s">
        <v>252</v>
      </c>
      <c r="D202" s="56" t="s">
        <v>829</v>
      </c>
      <c r="E202" s="57">
        <v>1377</v>
      </c>
      <c r="F202" s="57">
        <v>2185</v>
      </c>
      <c r="G202" s="57">
        <v>2643.85</v>
      </c>
      <c r="H202" s="57">
        <v>808</v>
      </c>
      <c r="I202" s="58">
        <v>36.979405034324941</v>
      </c>
      <c r="J202" s="58">
        <v>58.678286129266517</v>
      </c>
      <c r="K202" s="59">
        <v>0</v>
      </c>
      <c r="L202" s="60">
        <v>0</v>
      </c>
      <c r="M202" s="59">
        <v>0</v>
      </c>
      <c r="N202" s="60">
        <v>0</v>
      </c>
    </row>
    <row r="203" spans="1:14" x14ac:dyDescent="0.2">
      <c r="A203" s="43" t="s">
        <v>125</v>
      </c>
      <c r="B203" s="43" t="s">
        <v>465</v>
      </c>
      <c r="C203" s="43" t="s">
        <v>466</v>
      </c>
      <c r="D203" s="44" t="s">
        <v>828</v>
      </c>
      <c r="E203" s="45">
        <v>174</v>
      </c>
      <c r="F203" s="45">
        <v>315</v>
      </c>
      <c r="G203" s="45">
        <v>381.15</v>
      </c>
      <c r="H203" s="45">
        <v>141</v>
      </c>
      <c r="I203" s="46">
        <v>44.761904761904773</v>
      </c>
      <c r="J203" s="46">
        <v>81.034482758620683</v>
      </c>
      <c r="K203" s="47"/>
      <c r="L203" s="48"/>
      <c r="M203" s="47"/>
      <c r="N203" s="48"/>
    </row>
    <row r="204" spans="1:14" x14ac:dyDescent="0.2">
      <c r="A204" s="61" t="s">
        <v>125</v>
      </c>
      <c r="B204" s="61" t="s">
        <v>465</v>
      </c>
      <c r="C204" s="61" t="s">
        <v>466</v>
      </c>
      <c r="D204" s="62" t="s">
        <v>827</v>
      </c>
      <c r="E204" s="63">
        <v>189</v>
      </c>
      <c r="F204" s="63">
        <v>315</v>
      </c>
      <c r="G204" s="63">
        <v>381.15</v>
      </c>
      <c r="H204" s="63">
        <v>126</v>
      </c>
      <c r="I204" s="64">
        <v>40</v>
      </c>
      <c r="J204" s="64">
        <v>66.666666666666657</v>
      </c>
      <c r="K204" s="65">
        <v>15</v>
      </c>
      <c r="L204" s="66">
        <v>8.6206896551724146</v>
      </c>
      <c r="M204" s="65">
        <v>0</v>
      </c>
      <c r="N204" s="66">
        <v>0</v>
      </c>
    </row>
    <row r="205" spans="1:14" x14ac:dyDescent="0.2">
      <c r="A205" s="61" t="s">
        <v>125</v>
      </c>
      <c r="B205" s="61" t="s">
        <v>465</v>
      </c>
      <c r="C205" s="61" t="s">
        <v>466</v>
      </c>
      <c r="D205" s="62" t="s">
        <v>829</v>
      </c>
      <c r="E205" s="63">
        <v>199</v>
      </c>
      <c r="F205" s="63">
        <v>315</v>
      </c>
      <c r="G205" s="63">
        <v>381.15</v>
      </c>
      <c r="H205" s="63">
        <v>116</v>
      </c>
      <c r="I205" s="64">
        <v>36.82539682539683</v>
      </c>
      <c r="J205" s="64">
        <v>58.291457286432163</v>
      </c>
      <c r="K205" s="65">
        <v>10</v>
      </c>
      <c r="L205" s="66">
        <v>5.2910052910052912</v>
      </c>
      <c r="M205" s="65">
        <v>0</v>
      </c>
      <c r="N205" s="66">
        <v>0</v>
      </c>
    </row>
    <row r="206" spans="1:14" x14ac:dyDescent="0.2">
      <c r="A206" s="49" t="s">
        <v>125</v>
      </c>
      <c r="B206" s="49" t="s">
        <v>269</v>
      </c>
      <c r="C206" s="49" t="s">
        <v>270</v>
      </c>
      <c r="D206" s="50" t="s">
        <v>828</v>
      </c>
      <c r="E206" s="51">
        <v>163</v>
      </c>
      <c r="F206" s="51">
        <v>295</v>
      </c>
      <c r="G206" s="51">
        <v>356.95</v>
      </c>
      <c r="H206" s="51">
        <v>132</v>
      </c>
      <c r="I206" s="52">
        <v>44.745762711864408</v>
      </c>
      <c r="J206" s="52">
        <v>80.981595092024534</v>
      </c>
      <c r="K206" s="53"/>
      <c r="L206" s="54"/>
      <c r="M206" s="53"/>
      <c r="N206" s="54"/>
    </row>
    <row r="207" spans="1:14" x14ac:dyDescent="0.2">
      <c r="A207" s="55" t="s">
        <v>125</v>
      </c>
      <c r="B207" s="55" t="s">
        <v>269</v>
      </c>
      <c r="C207" s="55" t="s">
        <v>270</v>
      </c>
      <c r="D207" s="56" t="s">
        <v>827</v>
      </c>
      <c r="E207" s="57">
        <v>186</v>
      </c>
      <c r="F207" s="57">
        <v>295</v>
      </c>
      <c r="G207" s="57">
        <v>356.95</v>
      </c>
      <c r="H207" s="57">
        <v>109</v>
      </c>
      <c r="I207" s="58">
        <v>36.949152542372879</v>
      </c>
      <c r="J207" s="58">
        <v>58.602150537634422</v>
      </c>
      <c r="K207" s="59">
        <v>23</v>
      </c>
      <c r="L207" s="60">
        <v>14.110429447852759</v>
      </c>
      <c r="M207" s="59">
        <v>0</v>
      </c>
      <c r="N207" s="60">
        <v>0</v>
      </c>
    </row>
    <row r="208" spans="1:14" x14ac:dyDescent="0.2">
      <c r="A208" s="55" t="s">
        <v>125</v>
      </c>
      <c r="B208" s="55" t="s">
        <v>269</v>
      </c>
      <c r="C208" s="55" t="s">
        <v>270</v>
      </c>
      <c r="D208" s="56" t="s">
        <v>829</v>
      </c>
      <c r="E208" s="57">
        <v>186</v>
      </c>
      <c r="F208" s="57">
        <v>295</v>
      </c>
      <c r="G208" s="57">
        <v>356.95</v>
      </c>
      <c r="H208" s="57">
        <v>109</v>
      </c>
      <c r="I208" s="58">
        <v>36.949152542372879</v>
      </c>
      <c r="J208" s="58">
        <v>58.602150537634422</v>
      </c>
      <c r="K208" s="59">
        <v>0</v>
      </c>
      <c r="L208" s="60">
        <v>0</v>
      </c>
      <c r="M208" s="59">
        <v>0</v>
      </c>
      <c r="N208" s="60">
        <v>0</v>
      </c>
    </row>
    <row r="209" spans="1:14" x14ac:dyDescent="0.2">
      <c r="A209" s="43" t="s">
        <v>125</v>
      </c>
      <c r="B209" s="43" t="s">
        <v>388</v>
      </c>
      <c r="C209" s="43" t="s">
        <v>389</v>
      </c>
      <c r="D209" s="44" t="s">
        <v>828</v>
      </c>
      <c r="E209" s="45">
        <v>212</v>
      </c>
      <c r="F209" s="45">
        <v>385</v>
      </c>
      <c r="G209" s="45">
        <v>465.85</v>
      </c>
      <c r="H209" s="45">
        <v>173</v>
      </c>
      <c r="I209" s="46">
        <v>44.935064935064943</v>
      </c>
      <c r="J209" s="46">
        <v>81.603773584905653</v>
      </c>
      <c r="K209" s="47"/>
      <c r="L209" s="48"/>
      <c r="M209" s="47"/>
      <c r="N209" s="48"/>
    </row>
    <row r="210" spans="1:14" x14ac:dyDescent="0.2">
      <c r="A210" s="61" t="s">
        <v>125</v>
      </c>
      <c r="B210" s="61" t="s">
        <v>388</v>
      </c>
      <c r="C210" s="61" t="s">
        <v>389</v>
      </c>
      <c r="D210" s="62" t="s">
        <v>829</v>
      </c>
      <c r="E210" s="63">
        <v>243</v>
      </c>
      <c r="F210" s="63">
        <v>385</v>
      </c>
      <c r="G210" s="63">
        <v>465.85</v>
      </c>
      <c r="H210" s="63">
        <v>142</v>
      </c>
      <c r="I210" s="64">
        <v>36.883116883116877</v>
      </c>
      <c r="J210" s="64">
        <v>58.436213991769549</v>
      </c>
      <c r="K210" s="65">
        <v>31</v>
      </c>
      <c r="L210" s="66">
        <v>14.62264150943396</v>
      </c>
      <c r="M210" s="65">
        <v>0</v>
      </c>
      <c r="N210" s="66">
        <v>0</v>
      </c>
    </row>
    <row r="211" spans="1:14" x14ac:dyDescent="0.2">
      <c r="A211" s="49" t="s">
        <v>125</v>
      </c>
      <c r="B211" s="49" t="s">
        <v>388</v>
      </c>
      <c r="C211" s="49" t="s">
        <v>860</v>
      </c>
      <c r="D211" s="50" t="s">
        <v>827</v>
      </c>
      <c r="E211" s="51">
        <v>536</v>
      </c>
      <c r="F211" s="51">
        <v>385</v>
      </c>
      <c r="G211" s="51">
        <v>465.85</v>
      </c>
      <c r="H211" s="51">
        <v>-151</v>
      </c>
      <c r="I211" s="52">
        <v>-39.220779220779221</v>
      </c>
      <c r="J211" s="52">
        <v>-28.171641791044781</v>
      </c>
      <c r="K211" s="53"/>
      <c r="L211" s="54"/>
      <c r="M211" s="53"/>
      <c r="N211" s="54"/>
    </row>
    <row r="212" spans="1:14" x14ac:dyDescent="0.2">
      <c r="A212" s="43" t="s">
        <v>125</v>
      </c>
      <c r="B212" s="43" t="s">
        <v>391</v>
      </c>
      <c r="C212" s="43" t="s">
        <v>392</v>
      </c>
      <c r="D212" s="44" t="s">
        <v>828</v>
      </c>
      <c r="E212" s="45">
        <v>325</v>
      </c>
      <c r="F212" s="45">
        <v>590</v>
      </c>
      <c r="G212" s="45">
        <v>713.9</v>
      </c>
      <c r="H212" s="45">
        <v>265</v>
      </c>
      <c r="I212" s="46">
        <v>44.915254237288138</v>
      </c>
      <c r="J212" s="46">
        <v>81.538461538461533</v>
      </c>
      <c r="K212" s="47"/>
      <c r="L212" s="48"/>
      <c r="M212" s="47"/>
      <c r="N212" s="48"/>
    </row>
    <row r="213" spans="1:14" x14ac:dyDescent="0.2">
      <c r="A213" s="61" t="s">
        <v>125</v>
      </c>
      <c r="B213" s="61" t="s">
        <v>391</v>
      </c>
      <c r="C213" s="61" t="s">
        <v>392</v>
      </c>
      <c r="D213" s="62" t="s">
        <v>829</v>
      </c>
      <c r="E213" s="63">
        <v>372</v>
      </c>
      <c r="F213" s="63">
        <v>590</v>
      </c>
      <c r="G213" s="63">
        <v>713.9</v>
      </c>
      <c r="H213" s="63">
        <v>218</v>
      </c>
      <c r="I213" s="64">
        <v>36.949152542372879</v>
      </c>
      <c r="J213" s="64">
        <v>58.602150537634422</v>
      </c>
      <c r="K213" s="65">
        <v>47</v>
      </c>
      <c r="L213" s="66">
        <v>14.46153846153846</v>
      </c>
      <c r="M213" s="65">
        <v>0</v>
      </c>
      <c r="N213" s="66">
        <v>0</v>
      </c>
    </row>
    <row r="214" spans="1:14" x14ac:dyDescent="0.2">
      <c r="A214" s="49" t="s">
        <v>125</v>
      </c>
      <c r="B214" s="49" t="s">
        <v>391</v>
      </c>
      <c r="C214" s="49" t="s">
        <v>861</v>
      </c>
      <c r="D214" s="50" t="s">
        <v>827</v>
      </c>
      <c r="E214" s="51">
        <v>1036</v>
      </c>
      <c r="F214" s="51">
        <v>590</v>
      </c>
      <c r="G214" s="51">
        <v>713.9</v>
      </c>
      <c r="H214" s="51">
        <v>-446</v>
      </c>
      <c r="I214" s="52">
        <v>-75.593220338983045</v>
      </c>
      <c r="J214" s="52">
        <v>-43.050193050193037</v>
      </c>
      <c r="K214" s="53"/>
      <c r="L214" s="54"/>
      <c r="M214" s="53"/>
      <c r="N214" s="54"/>
    </row>
    <row r="215" spans="1:14" x14ac:dyDescent="0.2">
      <c r="A215" s="43" t="s">
        <v>125</v>
      </c>
      <c r="B215" s="43" t="s">
        <v>394</v>
      </c>
      <c r="C215" s="43" t="s">
        <v>395</v>
      </c>
      <c r="D215" s="44" t="s">
        <v>828</v>
      </c>
      <c r="E215" s="45">
        <v>468</v>
      </c>
      <c r="F215" s="45">
        <v>850</v>
      </c>
      <c r="G215" s="45">
        <v>1028.5</v>
      </c>
      <c r="H215" s="45">
        <v>382</v>
      </c>
      <c r="I215" s="46">
        <v>44.941176470588232</v>
      </c>
      <c r="J215" s="46">
        <v>81.623931623931625</v>
      </c>
      <c r="K215" s="47"/>
      <c r="L215" s="48"/>
      <c r="M215" s="47"/>
      <c r="N215" s="48"/>
    </row>
    <row r="216" spans="1:14" x14ac:dyDescent="0.2">
      <c r="A216" s="61" t="s">
        <v>125</v>
      </c>
      <c r="B216" s="61" t="s">
        <v>394</v>
      </c>
      <c r="C216" s="61" t="s">
        <v>395</v>
      </c>
      <c r="D216" s="62" t="s">
        <v>829</v>
      </c>
      <c r="E216" s="63">
        <v>536</v>
      </c>
      <c r="F216" s="63">
        <v>850</v>
      </c>
      <c r="G216" s="63">
        <v>1028.5</v>
      </c>
      <c r="H216" s="63">
        <v>314</v>
      </c>
      <c r="I216" s="64">
        <v>36.941176470588232</v>
      </c>
      <c r="J216" s="64">
        <v>58.582089552238813</v>
      </c>
      <c r="K216" s="65">
        <v>68</v>
      </c>
      <c r="L216" s="66">
        <v>14.52991452991453</v>
      </c>
      <c r="M216" s="65">
        <v>0</v>
      </c>
      <c r="N216" s="66">
        <v>0</v>
      </c>
    </row>
    <row r="217" spans="1:14" x14ac:dyDescent="0.2">
      <c r="A217" s="49" t="s">
        <v>125</v>
      </c>
      <c r="B217" s="49" t="s">
        <v>394</v>
      </c>
      <c r="C217" s="49" t="s">
        <v>862</v>
      </c>
      <c r="D217" s="50" t="s">
        <v>827</v>
      </c>
      <c r="E217" s="51">
        <v>1251</v>
      </c>
      <c r="F217" s="51">
        <v>850</v>
      </c>
      <c r="G217" s="51">
        <v>1028.5</v>
      </c>
      <c r="H217" s="51">
        <v>-401</v>
      </c>
      <c r="I217" s="52">
        <v>-47.17647058823529</v>
      </c>
      <c r="J217" s="52">
        <v>-32.054356514788168</v>
      </c>
      <c r="K217" s="53"/>
      <c r="L217" s="54"/>
      <c r="M217" s="53"/>
      <c r="N217" s="54"/>
    </row>
    <row r="218" spans="1:14" x14ac:dyDescent="0.2">
      <c r="A218" s="43" t="s">
        <v>125</v>
      </c>
      <c r="B218" s="43" t="s">
        <v>397</v>
      </c>
      <c r="C218" s="43" t="s">
        <v>863</v>
      </c>
      <c r="D218" s="44" t="s">
        <v>827</v>
      </c>
      <c r="E218" s="45">
        <v>1509</v>
      </c>
      <c r="F218" s="45">
        <v>1645</v>
      </c>
      <c r="G218" s="45">
        <v>1990.45</v>
      </c>
      <c r="H218" s="45">
        <v>136</v>
      </c>
      <c r="I218" s="46">
        <v>8.2674772036474167</v>
      </c>
      <c r="J218" s="46">
        <v>9.0125911199469844</v>
      </c>
      <c r="K218" s="47"/>
      <c r="L218" s="48"/>
      <c r="M218" s="47"/>
      <c r="N218" s="48"/>
    </row>
    <row r="219" spans="1:14" x14ac:dyDescent="0.2">
      <c r="A219" s="49" t="s">
        <v>125</v>
      </c>
      <c r="B219" s="49" t="s">
        <v>397</v>
      </c>
      <c r="C219" s="49" t="s">
        <v>398</v>
      </c>
      <c r="D219" s="50" t="s">
        <v>828</v>
      </c>
      <c r="E219" s="51">
        <v>905</v>
      </c>
      <c r="F219" s="51">
        <v>1645</v>
      </c>
      <c r="G219" s="51">
        <v>1990.45</v>
      </c>
      <c r="H219" s="51">
        <v>740</v>
      </c>
      <c r="I219" s="52">
        <v>44.984802431610937</v>
      </c>
      <c r="J219" s="52">
        <v>81.767955801104975</v>
      </c>
      <c r="K219" s="53"/>
      <c r="L219" s="54"/>
      <c r="M219" s="53"/>
      <c r="N219" s="54"/>
    </row>
    <row r="220" spans="1:14" x14ac:dyDescent="0.2">
      <c r="A220" s="55" t="s">
        <v>125</v>
      </c>
      <c r="B220" s="55" t="s">
        <v>397</v>
      </c>
      <c r="C220" s="55" t="s">
        <v>398</v>
      </c>
      <c r="D220" s="56" t="s">
        <v>829</v>
      </c>
      <c r="E220" s="57">
        <v>1037</v>
      </c>
      <c r="F220" s="57">
        <v>1645</v>
      </c>
      <c r="G220" s="57">
        <v>1990.45</v>
      </c>
      <c r="H220" s="57">
        <v>608</v>
      </c>
      <c r="I220" s="58">
        <v>36.960486322188451</v>
      </c>
      <c r="J220" s="58">
        <v>58.630665380906457</v>
      </c>
      <c r="K220" s="59">
        <v>132</v>
      </c>
      <c r="L220" s="60">
        <v>14.58563535911602</v>
      </c>
      <c r="M220" s="59">
        <v>0</v>
      </c>
      <c r="N220" s="60">
        <v>0</v>
      </c>
    </row>
    <row r="221" spans="1:14" x14ac:dyDescent="0.2">
      <c r="A221" s="43" t="s">
        <v>125</v>
      </c>
      <c r="B221" s="43" t="s">
        <v>400</v>
      </c>
      <c r="C221" s="43" t="s">
        <v>864</v>
      </c>
      <c r="D221" s="44" t="s">
        <v>827</v>
      </c>
      <c r="E221" s="45">
        <v>1975</v>
      </c>
      <c r="F221" s="45">
        <v>1985</v>
      </c>
      <c r="G221" s="45">
        <v>2401.85</v>
      </c>
      <c r="H221" s="45">
        <v>10</v>
      </c>
      <c r="I221" s="46">
        <v>0.50377833753148615</v>
      </c>
      <c r="J221" s="46">
        <v>0.50632911392405067</v>
      </c>
      <c r="K221" s="47"/>
      <c r="L221" s="48"/>
      <c r="M221" s="47"/>
      <c r="N221" s="48"/>
    </row>
    <row r="222" spans="1:14" x14ac:dyDescent="0.2">
      <c r="A222" s="49" t="s">
        <v>125</v>
      </c>
      <c r="B222" s="49" t="s">
        <v>400</v>
      </c>
      <c r="C222" s="49" t="s">
        <v>401</v>
      </c>
      <c r="D222" s="50" t="s">
        <v>828</v>
      </c>
      <c r="E222" s="51">
        <v>1092</v>
      </c>
      <c r="F222" s="51">
        <v>1985</v>
      </c>
      <c r="G222" s="51">
        <v>2401.85</v>
      </c>
      <c r="H222" s="51">
        <v>893</v>
      </c>
      <c r="I222" s="52">
        <v>44.987405541561706</v>
      </c>
      <c r="J222" s="52">
        <v>81.776556776556774</v>
      </c>
      <c r="K222" s="53"/>
      <c r="L222" s="54"/>
      <c r="M222" s="53"/>
      <c r="N222" s="54"/>
    </row>
    <row r="223" spans="1:14" x14ac:dyDescent="0.2">
      <c r="A223" s="55" t="s">
        <v>125</v>
      </c>
      <c r="B223" s="55" t="s">
        <v>400</v>
      </c>
      <c r="C223" s="55" t="s">
        <v>401</v>
      </c>
      <c r="D223" s="56" t="s">
        <v>829</v>
      </c>
      <c r="E223" s="57">
        <v>1251</v>
      </c>
      <c r="F223" s="57">
        <v>1985</v>
      </c>
      <c r="G223" s="57">
        <v>2401.85</v>
      </c>
      <c r="H223" s="57">
        <v>734</v>
      </c>
      <c r="I223" s="58">
        <v>36.977329974811077</v>
      </c>
      <c r="J223" s="58">
        <v>58.6730615507594</v>
      </c>
      <c r="K223" s="59">
        <v>159</v>
      </c>
      <c r="L223" s="60">
        <v>14.56043956043956</v>
      </c>
      <c r="M223" s="59">
        <v>0</v>
      </c>
      <c r="N223" s="60">
        <v>0</v>
      </c>
    </row>
    <row r="224" spans="1:14" x14ac:dyDescent="0.2">
      <c r="A224" s="43" t="s">
        <v>125</v>
      </c>
      <c r="B224" s="43" t="s">
        <v>287</v>
      </c>
      <c r="C224" s="43" t="s">
        <v>288</v>
      </c>
      <c r="D224" s="44" t="s">
        <v>828</v>
      </c>
      <c r="E224" s="45">
        <v>1898</v>
      </c>
      <c r="F224" s="45">
        <v>3450</v>
      </c>
      <c r="G224" s="45">
        <v>4174.5</v>
      </c>
      <c r="H224" s="45">
        <v>1552</v>
      </c>
      <c r="I224" s="46">
        <v>44.985507246376812</v>
      </c>
      <c r="J224" s="46">
        <v>81.770284510010541</v>
      </c>
      <c r="K224" s="47"/>
      <c r="L224" s="48"/>
      <c r="M224" s="47"/>
      <c r="N224" s="48"/>
    </row>
    <row r="225" spans="1:14" x14ac:dyDescent="0.2">
      <c r="A225" s="61" t="s">
        <v>125</v>
      </c>
      <c r="B225" s="61" t="s">
        <v>287</v>
      </c>
      <c r="C225" s="61" t="s">
        <v>288</v>
      </c>
      <c r="D225" s="62" t="s">
        <v>827</v>
      </c>
      <c r="E225" s="63">
        <v>2174</v>
      </c>
      <c r="F225" s="63">
        <v>3450</v>
      </c>
      <c r="G225" s="63">
        <v>4174.5</v>
      </c>
      <c r="H225" s="63">
        <v>1276</v>
      </c>
      <c r="I225" s="64">
        <v>36.985507246376812</v>
      </c>
      <c r="J225" s="64">
        <v>58.693652253909853</v>
      </c>
      <c r="K225" s="65">
        <v>276</v>
      </c>
      <c r="L225" s="66">
        <v>14.541622760800839</v>
      </c>
      <c r="M225" s="65">
        <v>0</v>
      </c>
      <c r="N225" s="66">
        <v>0</v>
      </c>
    </row>
    <row r="226" spans="1:14" x14ac:dyDescent="0.2">
      <c r="A226" s="61" t="s">
        <v>125</v>
      </c>
      <c r="B226" s="61" t="s">
        <v>287</v>
      </c>
      <c r="C226" s="61" t="s">
        <v>288</v>
      </c>
      <c r="D226" s="62" t="s">
        <v>829</v>
      </c>
      <c r="E226" s="63">
        <v>2174</v>
      </c>
      <c r="F226" s="63">
        <v>3450</v>
      </c>
      <c r="G226" s="63">
        <v>4174.5</v>
      </c>
      <c r="H226" s="63">
        <v>1276</v>
      </c>
      <c r="I226" s="64">
        <v>36.985507246376812</v>
      </c>
      <c r="J226" s="64">
        <v>58.693652253909853</v>
      </c>
      <c r="K226" s="65">
        <v>0</v>
      </c>
      <c r="L226" s="66">
        <v>0</v>
      </c>
      <c r="M226" s="65">
        <v>0</v>
      </c>
      <c r="N226" s="66">
        <v>0</v>
      </c>
    </row>
    <row r="227" spans="1:14" x14ac:dyDescent="0.2">
      <c r="A227" s="49" t="s">
        <v>125</v>
      </c>
      <c r="B227" s="49" t="s">
        <v>351</v>
      </c>
      <c r="C227" s="49" t="s">
        <v>352</v>
      </c>
      <c r="D227" s="50" t="s">
        <v>828</v>
      </c>
      <c r="E227" s="51">
        <v>253</v>
      </c>
      <c r="F227" s="51">
        <v>460</v>
      </c>
      <c r="G227" s="51">
        <v>556.6</v>
      </c>
      <c r="H227" s="51">
        <v>207</v>
      </c>
      <c r="I227" s="52">
        <v>45</v>
      </c>
      <c r="J227" s="52">
        <v>81.818181818181827</v>
      </c>
      <c r="K227" s="53"/>
      <c r="L227" s="54"/>
      <c r="M227" s="53"/>
      <c r="N227" s="54"/>
    </row>
    <row r="228" spans="1:14" x14ac:dyDescent="0.2">
      <c r="A228" s="55" t="s">
        <v>125</v>
      </c>
      <c r="B228" s="55" t="s">
        <v>351</v>
      </c>
      <c r="C228" s="55" t="s">
        <v>865</v>
      </c>
      <c r="D228" s="56" t="s">
        <v>827</v>
      </c>
      <c r="E228" s="57">
        <v>290</v>
      </c>
      <c r="F228" s="57">
        <v>460</v>
      </c>
      <c r="G228" s="57">
        <v>556.6</v>
      </c>
      <c r="H228" s="57">
        <v>170</v>
      </c>
      <c r="I228" s="58">
        <v>36.95652173913043</v>
      </c>
      <c r="J228" s="58">
        <v>58.620689655172413</v>
      </c>
      <c r="K228" s="59">
        <v>37</v>
      </c>
      <c r="L228" s="60">
        <v>14.62450592885375</v>
      </c>
      <c r="M228" s="59">
        <v>0</v>
      </c>
      <c r="N228" s="60">
        <v>0</v>
      </c>
    </row>
    <row r="229" spans="1:14" x14ac:dyDescent="0.2">
      <c r="A229" s="55" t="s">
        <v>125</v>
      </c>
      <c r="B229" s="55" t="s">
        <v>351</v>
      </c>
      <c r="C229" s="55" t="s">
        <v>352</v>
      </c>
      <c r="D229" s="56" t="s">
        <v>829</v>
      </c>
      <c r="E229" s="57">
        <v>290</v>
      </c>
      <c r="F229" s="57">
        <v>460</v>
      </c>
      <c r="G229" s="57">
        <v>556.6</v>
      </c>
      <c r="H229" s="57">
        <v>170</v>
      </c>
      <c r="I229" s="58">
        <v>36.95652173913043</v>
      </c>
      <c r="J229" s="58">
        <v>58.620689655172413</v>
      </c>
      <c r="K229" s="59">
        <v>0</v>
      </c>
      <c r="L229" s="60">
        <v>0</v>
      </c>
      <c r="M229" s="59">
        <v>0</v>
      </c>
      <c r="N229" s="60">
        <v>0</v>
      </c>
    </row>
    <row r="230" spans="1:14" x14ac:dyDescent="0.2">
      <c r="A230" s="43" t="s">
        <v>125</v>
      </c>
      <c r="B230" s="43" t="s">
        <v>354</v>
      </c>
      <c r="C230" s="43" t="s">
        <v>355</v>
      </c>
      <c r="D230" s="44" t="s">
        <v>828</v>
      </c>
      <c r="E230" s="45">
        <v>413</v>
      </c>
      <c r="F230" s="45">
        <v>750</v>
      </c>
      <c r="G230" s="45">
        <v>907.5</v>
      </c>
      <c r="H230" s="45">
        <v>337</v>
      </c>
      <c r="I230" s="46">
        <v>44.93333333333333</v>
      </c>
      <c r="J230" s="46">
        <v>81.598062953995154</v>
      </c>
      <c r="K230" s="47"/>
      <c r="L230" s="48"/>
      <c r="M230" s="47"/>
      <c r="N230" s="48"/>
    </row>
    <row r="231" spans="1:14" x14ac:dyDescent="0.2">
      <c r="A231" s="61" t="s">
        <v>125</v>
      </c>
      <c r="B231" s="61" t="s">
        <v>354</v>
      </c>
      <c r="C231" s="61" t="s">
        <v>866</v>
      </c>
      <c r="D231" s="62" t="s">
        <v>827</v>
      </c>
      <c r="E231" s="63">
        <v>473</v>
      </c>
      <c r="F231" s="63">
        <v>750</v>
      </c>
      <c r="G231" s="63">
        <v>907.5</v>
      </c>
      <c r="H231" s="63">
        <v>277</v>
      </c>
      <c r="I231" s="64">
        <v>36.933333333333337</v>
      </c>
      <c r="J231" s="64">
        <v>58.562367864693442</v>
      </c>
      <c r="K231" s="65">
        <v>60</v>
      </c>
      <c r="L231" s="66">
        <v>14.52784503631961</v>
      </c>
      <c r="M231" s="65">
        <v>0</v>
      </c>
      <c r="N231" s="66">
        <v>0</v>
      </c>
    </row>
    <row r="232" spans="1:14" x14ac:dyDescent="0.2">
      <c r="A232" s="61" t="s">
        <v>125</v>
      </c>
      <c r="B232" s="61" t="s">
        <v>354</v>
      </c>
      <c r="C232" s="61" t="s">
        <v>355</v>
      </c>
      <c r="D232" s="62" t="s">
        <v>829</v>
      </c>
      <c r="E232" s="63">
        <v>473</v>
      </c>
      <c r="F232" s="63">
        <v>750</v>
      </c>
      <c r="G232" s="63">
        <v>907.5</v>
      </c>
      <c r="H232" s="63">
        <v>277</v>
      </c>
      <c r="I232" s="64">
        <v>36.933333333333337</v>
      </c>
      <c r="J232" s="64">
        <v>58.562367864693442</v>
      </c>
      <c r="K232" s="65">
        <v>0</v>
      </c>
      <c r="L232" s="66">
        <v>0</v>
      </c>
      <c r="M232" s="65">
        <v>0</v>
      </c>
      <c r="N232" s="66">
        <v>0</v>
      </c>
    </row>
    <row r="233" spans="1:14" x14ac:dyDescent="0.2">
      <c r="A233" s="49" t="s">
        <v>125</v>
      </c>
      <c r="B233" s="49" t="s">
        <v>357</v>
      </c>
      <c r="C233" s="49" t="s">
        <v>358</v>
      </c>
      <c r="D233" s="50" t="s">
        <v>828</v>
      </c>
      <c r="E233" s="51">
        <v>545</v>
      </c>
      <c r="F233" s="51">
        <v>990</v>
      </c>
      <c r="G233" s="51">
        <v>1197.9000000000001</v>
      </c>
      <c r="H233" s="51">
        <v>445</v>
      </c>
      <c r="I233" s="52">
        <v>44.949494949494948</v>
      </c>
      <c r="J233" s="52">
        <v>81.651376146788991</v>
      </c>
      <c r="K233" s="53"/>
      <c r="L233" s="54"/>
      <c r="M233" s="53"/>
      <c r="N233" s="54"/>
    </row>
    <row r="234" spans="1:14" x14ac:dyDescent="0.2">
      <c r="A234" s="55" t="s">
        <v>125</v>
      </c>
      <c r="B234" s="55" t="s">
        <v>357</v>
      </c>
      <c r="C234" s="55" t="s">
        <v>867</v>
      </c>
      <c r="D234" s="56" t="s">
        <v>827</v>
      </c>
      <c r="E234" s="57">
        <v>624</v>
      </c>
      <c r="F234" s="57">
        <v>990</v>
      </c>
      <c r="G234" s="57">
        <v>1197.9000000000001</v>
      </c>
      <c r="H234" s="57">
        <v>366</v>
      </c>
      <c r="I234" s="58">
        <v>36.969696969696969</v>
      </c>
      <c r="J234" s="58">
        <v>58.653846153846153</v>
      </c>
      <c r="K234" s="59">
        <v>79</v>
      </c>
      <c r="L234" s="60">
        <v>14.4954128440367</v>
      </c>
      <c r="M234" s="59">
        <v>0</v>
      </c>
      <c r="N234" s="60">
        <v>0</v>
      </c>
    </row>
    <row r="235" spans="1:14" x14ac:dyDescent="0.2">
      <c r="A235" s="55" t="s">
        <v>125</v>
      </c>
      <c r="B235" s="55" t="s">
        <v>357</v>
      </c>
      <c r="C235" s="55" t="s">
        <v>358</v>
      </c>
      <c r="D235" s="56" t="s">
        <v>829</v>
      </c>
      <c r="E235" s="57">
        <v>624</v>
      </c>
      <c r="F235" s="57">
        <v>990</v>
      </c>
      <c r="G235" s="57">
        <v>1197.9000000000001</v>
      </c>
      <c r="H235" s="57">
        <v>366</v>
      </c>
      <c r="I235" s="58">
        <v>36.969696969696969</v>
      </c>
      <c r="J235" s="58">
        <v>58.653846153846153</v>
      </c>
      <c r="K235" s="59">
        <v>0</v>
      </c>
      <c r="L235" s="60">
        <v>0</v>
      </c>
      <c r="M235" s="59">
        <v>0</v>
      </c>
      <c r="N235" s="60">
        <v>0</v>
      </c>
    </row>
    <row r="236" spans="1:14" x14ac:dyDescent="0.2">
      <c r="A236" s="43" t="s">
        <v>125</v>
      </c>
      <c r="B236" s="43" t="s">
        <v>360</v>
      </c>
      <c r="C236" s="43" t="s">
        <v>361</v>
      </c>
      <c r="D236" s="44" t="s">
        <v>828</v>
      </c>
      <c r="E236" s="45">
        <v>1070</v>
      </c>
      <c r="F236" s="45">
        <v>1945</v>
      </c>
      <c r="G236" s="45">
        <v>2353.4499999999998</v>
      </c>
      <c r="H236" s="45">
        <v>875</v>
      </c>
      <c r="I236" s="46">
        <v>44.987146529562978</v>
      </c>
      <c r="J236" s="46">
        <v>81.775700934579447</v>
      </c>
      <c r="K236" s="47"/>
      <c r="L236" s="48"/>
      <c r="M236" s="47"/>
      <c r="N236" s="48"/>
    </row>
    <row r="237" spans="1:14" x14ac:dyDescent="0.2">
      <c r="A237" s="61" t="s">
        <v>125</v>
      </c>
      <c r="B237" s="61" t="s">
        <v>360</v>
      </c>
      <c r="C237" s="61" t="s">
        <v>868</v>
      </c>
      <c r="D237" s="62" t="s">
        <v>827</v>
      </c>
      <c r="E237" s="63">
        <v>1225</v>
      </c>
      <c r="F237" s="63">
        <v>1945</v>
      </c>
      <c r="G237" s="63">
        <v>2353.4499999999998</v>
      </c>
      <c r="H237" s="63">
        <v>720</v>
      </c>
      <c r="I237" s="64">
        <v>37.017994858611821</v>
      </c>
      <c r="J237" s="64">
        <v>58.775510204081641</v>
      </c>
      <c r="K237" s="65">
        <v>155</v>
      </c>
      <c r="L237" s="66">
        <v>14.48598130841121</v>
      </c>
      <c r="M237" s="65">
        <v>0</v>
      </c>
      <c r="N237" s="66">
        <v>0</v>
      </c>
    </row>
    <row r="238" spans="1:14" x14ac:dyDescent="0.2">
      <c r="A238" s="61" t="s">
        <v>125</v>
      </c>
      <c r="B238" s="61" t="s">
        <v>360</v>
      </c>
      <c r="C238" s="61" t="s">
        <v>361</v>
      </c>
      <c r="D238" s="62" t="s">
        <v>829</v>
      </c>
      <c r="E238" s="63">
        <v>1226</v>
      </c>
      <c r="F238" s="63">
        <v>1945</v>
      </c>
      <c r="G238" s="63">
        <v>2353.4499999999998</v>
      </c>
      <c r="H238" s="63">
        <v>719</v>
      </c>
      <c r="I238" s="64">
        <v>36.966580976863753</v>
      </c>
      <c r="J238" s="64">
        <v>58.646003262642743</v>
      </c>
      <c r="K238" s="65">
        <v>1</v>
      </c>
      <c r="L238" s="66">
        <v>8.1632653061224497E-2</v>
      </c>
      <c r="M238" s="65">
        <v>0</v>
      </c>
      <c r="N238" s="66">
        <v>0</v>
      </c>
    </row>
    <row r="239" spans="1:14" x14ac:dyDescent="0.2">
      <c r="A239" s="49" t="s">
        <v>125</v>
      </c>
      <c r="B239" s="49" t="s">
        <v>363</v>
      </c>
      <c r="C239" s="49" t="s">
        <v>364</v>
      </c>
      <c r="D239" s="50" t="s">
        <v>828</v>
      </c>
      <c r="E239" s="51">
        <v>1252</v>
      </c>
      <c r="F239" s="51">
        <v>2275</v>
      </c>
      <c r="G239" s="51">
        <v>2752.75</v>
      </c>
      <c r="H239" s="51">
        <v>1023</v>
      </c>
      <c r="I239" s="52">
        <v>44.967032967032956</v>
      </c>
      <c r="J239" s="52">
        <v>81.709265175718855</v>
      </c>
      <c r="K239" s="53"/>
      <c r="L239" s="54"/>
      <c r="M239" s="53"/>
      <c r="N239" s="54"/>
    </row>
    <row r="240" spans="1:14" x14ac:dyDescent="0.2">
      <c r="A240" s="55" t="s">
        <v>125</v>
      </c>
      <c r="B240" s="55" t="s">
        <v>363</v>
      </c>
      <c r="C240" s="55" t="s">
        <v>869</v>
      </c>
      <c r="D240" s="56" t="s">
        <v>827</v>
      </c>
      <c r="E240" s="57">
        <v>1433</v>
      </c>
      <c r="F240" s="57">
        <v>2275</v>
      </c>
      <c r="G240" s="57">
        <v>2752.75</v>
      </c>
      <c r="H240" s="57">
        <v>842</v>
      </c>
      <c r="I240" s="58">
        <v>37.010989010989007</v>
      </c>
      <c r="J240" s="58">
        <v>58.757850662944868</v>
      </c>
      <c r="K240" s="59">
        <v>181</v>
      </c>
      <c r="L240" s="60">
        <v>14.456869009584659</v>
      </c>
      <c r="M240" s="59">
        <v>0</v>
      </c>
      <c r="N240" s="60">
        <v>0</v>
      </c>
    </row>
    <row r="241" spans="1:14" x14ac:dyDescent="0.2">
      <c r="A241" s="55" t="s">
        <v>125</v>
      </c>
      <c r="B241" s="55" t="s">
        <v>363</v>
      </c>
      <c r="C241" s="55" t="s">
        <v>364</v>
      </c>
      <c r="D241" s="56" t="s">
        <v>829</v>
      </c>
      <c r="E241" s="57">
        <v>1434</v>
      </c>
      <c r="F241" s="57">
        <v>2275</v>
      </c>
      <c r="G241" s="57">
        <v>2752.75</v>
      </c>
      <c r="H241" s="57">
        <v>841</v>
      </c>
      <c r="I241" s="58">
        <v>36.967032967032956</v>
      </c>
      <c r="J241" s="58">
        <v>58.647140864714089</v>
      </c>
      <c r="K241" s="59">
        <v>1</v>
      </c>
      <c r="L241" s="60">
        <v>6.978367062107467E-2</v>
      </c>
      <c r="M241" s="59">
        <v>0</v>
      </c>
      <c r="N241" s="60">
        <v>0</v>
      </c>
    </row>
    <row r="242" spans="1:14" x14ac:dyDescent="0.2">
      <c r="A242" s="43" t="s">
        <v>125</v>
      </c>
      <c r="B242" s="43" t="s">
        <v>385</v>
      </c>
      <c r="C242" s="43" t="s">
        <v>870</v>
      </c>
      <c r="D242" s="44" t="s">
        <v>827</v>
      </c>
      <c r="E242" s="45">
        <v>372</v>
      </c>
      <c r="F242" s="45">
        <v>1690</v>
      </c>
      <c r="G242" s="45">
        <v>2044.9</v>
      </c>
      <c r="H242" s="45">
        <v>1318</v>
      </c>
      <c r="I242" s="46">
        <v>77.988165680473372</v>
      </c>
      <c r="J242" s="46">
        <v>354.30107526881721</v>
      </c>
      <c r="K242" s="47"/>
      <c r="L242" s="48"/>
      <c r="M242" s="47"/>
      <c r="N242" s="48"/>
    </row>
    <row r="243" spans="1:14" x14ac:dyDescent="0.2">
      <c r="A243" s="49" t="s">
        <v>125</v>
      </c>
      <c r="B243" s="49" t="s">
        <v>385</v>
      </c>
      <c r="C243" s="49" t="s">
        <v>386</v>
      </c>
      <c r="D243" s="50" t="s">
        <v>828</v>
      </c>
      <c r="E243" s="51">
        <v>930</v>
      </c>
      <c r="F243" s="51">
        <v>1690</v>
      </c>
      <c r="G243" s="51">
        <v>2044.9</v>
      </c>
      <c r="H243" s="51">
        <v>760</v>
      </c>
      <c r="I243" s="52">
        <v>44.970414201183431</v>
      </c>
      <c r="J243" s="52">
        <v>81.72043010752688</v>
      </c>
      <c r="K243" s="53"/>
      <c r="L243" s="54"/>
      <c r="M243" s="53"/>
      <c r="N243" s="54"/>
    </row>
    <row r="244" spans="1:14" x14ac:dyDescent="0.2">
      <c r="A244" s="55" t="s">
        <v>125</v>
      </c>
      <c r="B244" s="55" t="s">
        <v>385</v>
      </c>
      <c r="C244" s="55" t="s">
        <v>386</v>
      </c>
      <c r="D244" s="56" t="s">
        <v>829</v>
      </c>
      <c r="E244" s="57">
        <v>1065</v>
      </c>
      <c r="F244" s="57">
        <v>1690</v>
      </c>
      <c r="G244" s="57">
        <v>2044.9</v>
      </c>
      <c r="H244" s="57">
        <v>625</v>
      </c>
      <c r="I244" s="58">
        <v>36.982248520710058</v>
      </c>
      <c r="J244" s="58">
        <v>58.685446009389672</v>
      </c>
      <c r="K244" s="59">
        <v>135</v>
      </c>
      <c r="L244" s="60">
        <v>14.516129032258069</v>
      </c>
      <c r="M244" s="59">
        <v>0</v>
      </c>
      <c r="N244" s="60">
        <v>0</v>
      </c>
    </row>
    <row r="245" spans="1:14" x14ac:dyDescent="0.2">
      <c r="A245" s="43" t="s">
        <v>125</v>
      </c>
      <c r="B245" s="43" t="s">
        <v>347</v>
      </c>
      <c r="C245" s="43" t="s">
        <v>348</v>
      </c>
      <c r="D245" s="44" t="s">
        <v>828</v>
      </c>
      <c r="E245" s="45">
        <v>152</v>
      </c>
      <c r="F245" s="45">
        <v>275</v>
      </c>
      <c r="G245" s="45">
        <v>332.75</v>
      </c>
      <c r="H245" s="45">
        <v>123</v>
      </c>
      <c r="I245" s="46">
        <v>44.727272727272727</v>
      </c>
      <c r="J245" s="46">
        <v>80.921052631578945</v>
      </c>
      <c r="K245" s="47"/>
      <c r="L245" s="48"/>
      <c r="M245" s="47"/>
      <c r="N245" s="48"/>
    </row>
    <row r="246" spans="1:14" x14ac:dyDescent="0.2">
      <c r="A246" s="61" t="s">
        <v>125</v>
      </c>
      <c r="B246" s="61" t="s">
        <v>347</v>
      </c>
      <c r="C246" s="61" t="s">
        <v>348</v>
      </c>
      <c r="D246" s="62" t="s">
        <v>827</v>
      </c>
      <c r="E246" s="63">
        <v>173</v>
      </c>
      <c r="F246" s="63">
        <v>275</v>
      </c>
      <c r="G246" s="63">
        <v>332.75</v>
      </c>
      <c r="H246" s="63">
        <v>102</v>
      </c>
      <c r="I246" s="64">
        <v>37.090909090909093</v>
      </c>
      <c r="J246" s="64">
        <v>58.959537572254341</v>
      </c>
      <c r="K246" s="65">
        <v>21</v>
      </c>
      <c r="L246" s="66">
        <v>13.815789473684211</v>
      </c>
      <c r="M246" s="65">
        <v>0</v>
      </c>
      <c r="N246" s="66">
        <v>0</v>
      </c>
    </row>
    <row r="247" spans="1:14" x14ac:dyDescent="0.2">
      <c r="A247" s="61" t="s">
        <v>125</v>
      </c>
      <c r="B247" s="61" t="s">
        <v>347</v>
      </c>
      <c r="C247" s="61" t="s">
        <v>348</v>
      </c>
      <c r="D247" s="62" t="s">
        <v>829</v>
      </c>
      <c r="E247" s="63">
        <v>174</v>
      </c>
      <c r="F247" s="63">
        <v>275</v>
      </c>
      <c r="G247" s="63">
        <v>332.75</v>
      </c>
      <c r="H247" s="63">
        <v>101</v>
      </c>
      <c r="I247" s="64">
        <v>36.727272727272727</v>
      </c>
      <c r="J247" s="64">
        <v>58.045977011494251</v>
      </c>
      <c r="K247" s="65">
        <v>1</v>
      </c>
      <c r="L247" s="66">
        <v>0.57803468208092479</v>
      </c>
      <c r="M247" s="65">
        <v>0</v>
      </c>
      <c r="N247" s="66">
        <v>0</v>
      </c>
    </row>
    <row r="248" spans="1:14" x14ac:dyDescent="0.2">
      <c r="A248" s="49" t="s">
        <v>125</v>
      </c>
      <c r="B248" s="49" t="s">
        <v>152</v>
      </c>
      <c r="C248" s="49" t="s">
        <v>153</v>
      </c>
      <c r="D248" s="50" t="s">
        <v>828</v>
      </c>
      <c r="E248" s="51">
        <v>154</v>
      </c>
      <c r="F248" s="51">
        <v>280</v>
      </c>
      <c r="G248" s="51">
        <v>338.8</v>
      </c>
      <c r="H248" s="51">
        <v>126</v>
      </c>
      <c r="I248" s="52">
        <v>45</v>
      </c>
      <c r="J248" s="52">
        <v>81.818181818181827</v>
      </c>
      <c r="K248" s="53"/>
      <c r="L248" s="54"/>
      <c r="M248" s="53"/>
      <c r="N248" s="54"/>
    </row>
    <row r="249" spans="1:14" x14ac:dyDescent="0.2">
      <c r="A249" s="55" t="s">
        <v>125</v>
      </c>
      <c r="B249" s="55" t="s">
        <v>152</v>
      </c>
      <c r="C249" s="55" t="s">
        <v>153</v>
      </c>
      <c r="D249" s="56" t="s">
        <v>827</v>
      </c>
      <c r="E249" s="57">
        <v>176</v>
      </c>
      <c r="F249" s="57">
        <v>280</v>
      </c>
      <c r="G249" s="57">
        <v>338.8</v>
      </c>
      <c r="H249" s="57">
        <v>104</v>
      </c>
      <c r="I249" s="58">
        <v>37.142857142857153</v>
      </c>
      <c r="J249" s="58">
        <v>59.090909090909093</v>
      </c>
      <c r="K249" s="59">
        <v>22</v>
      </c>
      <c r="L249" s="60">
        <v>14.285714285714279</v>
      </c>
      <c r="M249" s="59">
        <v>0</v>
      </c>
      <c r="N249" s="60">
        <v>0</v>
      </c>
    </row>
    <row r="250" spans="1:14" x14ac:dyDescent="0.2">
      <c r="A250" s="55" t="s">
        <v>125</v>
      </c>
      <c r="B250" s="55" t="s">
        <v>152</v>
      </c>
      <c r="C250" s="55" t="s">
        <v>153</v>
      </c>
      <c r="D250" s="56" t="s">
        <v>829</v>
      </c>
      <c r="E250" s="57">
        <v>177</v>
      </c>
      <c r="F250" s="57">
        <v>280</v>
      </c>
      <c r="G250" s="57">
        <v>338.8</v>
      </c>
      <c r="H250" s="57">
        <v>103</v>
      </c>
      <c r="I250" s="58">
        <v>36.785714285714292</v>
      </c>
      <c r="J250" s="58">
        <v>58.192090395480221</v>
      </c>
      <c r="K250" s="59">
        <v>1</v>
      </c>
      <c r="L250" s="60">
        <v>0.56818181818181823</v>
      </c>
      <c r="M250" s="59">
        <v>0</v>
      </c>
      <c r="N250" s="60">
        <v>0</v>
      </c>
    </row>
    <row r="251" spans="1:14" x14ac:dyDescent="0.2">
      <c r="A251" s="43" t="s">
        <v>125</v>
      </c>
      <c r="B251" s="43" t="s">
        <v>203</v>
      </c>
      <c r="C251" s="43" t="s">
        <v>204</v>
      </c>
      <c r="D251" s="44" t="s">
        <v>828</v>
      </c>
      <c r="E251" s="45">
        <v>361</v>
      </c>
      <c r="F251" s="45">
        <v>655</v>
      </c>
      <c r="G251" s="45">
        <v>792.55</v>
      </c>
      <c r="H251" s="45">
        <v>294</v>
      </c>
      <c r="I251" s="46">
        <v>44.885496183206108</v>
      </c>
      <c r="J251" s="46">
        <v>81.440443213296405</v>
      </c>
      <c r="K251" s="47"/>
      <c r="L251" s="48"/>
      <c r="M251" s="47"/>
      <c r="N251" s="48"/>
    </row>
    <row r="252" spans="1:14" x14ac:dyDescent="0.2">
      <c r="A252" s="61" t="s">
        <v>125</v>
      </c>
      <c r="B252" s="61" t="s">
        <v>203</v>
      </c>
      <c r="C252" s="61" t="s">
        <v>204</v>
      </c>
      <c r="D252" s="62" t="s">
        <v>827</v>
      </c>
      <c r="E252" s="63">
        <v>413</v>
      </c>
      <c r="F252" s="63">
        <v>655</v>
      </c>
      <c r="G252" s="63">
        <v>792.55</v>
      </c>
      <c r="H252" s="63">
        <v>242</v>
      </c>
      <c r="I252" s="64">
        <v>36.946564885496187</v>
      </c>
      <c r="J252" s="64">
        <v>58.595641646489113</v>
      </c>
      <c r="K252" s="65">
        <v>52</v>
      </c>
      <c r="L252" s="66">
        <v>14.40443213296399</v>
      </c>
      <c r="M252" s="65">
        <v>0</v>
      </c>
      <c r="N252" s="66">
        <v>0</v>
      </c>
    </row>
    <row r="253" spans="1:14" x14ac:dyDescent="0.2">
      <c r="A253" s="61" t="s">
        <v>125</v>
      </c>
      <c r="B253" s="61" t="s">
        <v>203</v>
      </c>
      <c r="C253" s="61" t="s">
        <v>204</v>
      </c>
      <c r="D253" s="62" t="s">
        <v>829</v>
      </c>
      <c r="E253" s="63">
        <v>413</v>
      </c>
      <c r="F253" s="63">
        <v>655</v>
      </c>
      <c r="G253" s="63">
        <v>792.55</v>
      </c>
      <c r="H253" s="63">
        <v>242</v>
      </c>
      <c r="I253" s="64">
        <v>36.946564885496187</v>
      </c>
      <c r="J253" s="64">
        <v>58.595641646489113</v>
      </c>
      <c r="K253" s="65">
        <v>0</v>
      </c>
      <c r="L253" s="66">
        <v>0</v>
      </c>
      <c r="M253" s="65">
        <v>0</v>
      </c>
      <c r="N253" s="66">
        <v>0</v>
      </c>
    </row>
    <row r="254" spans="1:14" x14ac:dyDescent="0.2">
      <c r="A254" s="49" t="s">
        <v>125</v>
      </c>
      <c r="B254" s="49" t="s">
        <v>206</v>
      </c>
      <c r="C254" s="49" t="s">
        <v>207</v>
      </c>
      <c r="D254" s="50" t="s">
        <v>828</v>
      </c>
      <c r="E254" s="51">
        <v>677</v>
      </c>
      <c r="F254" s="51">
        <v>1230</v>
      </c>
      <c r="G254" s="51">
        <v>1488.3</v>
      </c>
      <c r="H254" s="51">
        <v>553</v>
      </c>
      <c r="I254" s="52">
        <v>44.959349593495944</v>
      </c>
      <c r="J254" s="52">
        <v>81.683899556868539</v>
      </c>
      <c r="K254" s="53"/>
      <c r="L254" s="54"/>
      <c r="M254" s="53"/>
      <c r="N254" s="54"/>
    </row>
    <row r="255" spans="1:14" x14ac:dyDescent="0.2">
      <c r="A255" s="55" t="s">
        <v>125</v>
      </c>
      <c r="B255" s="55" t="s">
        <v>206</v>
      </c>
      <c r="C255" s="55" t="s">
        <v>207</v>
      </c>
      <c r="D255" s="56" t="s">
        <v>827</v>
      </c>
      <c r="E255" s="57">
        <v>775</v>
      </c>
      <c r="F255" s="57">
        <v>1230</v>
      </c>
      <c r="G255" s="57">
        <v>1488.3</v>
      </c>
      <c r="H255" s="57">
        <v>455</v>
      </c>
      <c r="I255" s="58">
        <v>36.991869918699187</v>
      </c>
      <c r="J255" s="58">
        <v>58.709677419354833</v>
      </c>
      <c r="K255" s="59">
        <v>98</v>
      </c>
      <c r="L255" s="60">
        <v>14.47562776957164</v>
      </c>
      <c r="M255" s="59">
        <v>0</v>
      </c>
      <c r="N255" s="60">
        <v>0</v>
      </c>
    </row>
    <row r="256" spans="1:14" x14ac:dyDescent="0.2">
      <c r="A256" s="55" t="s">
        <v>125</v>
      </c>
      <c r="B256" s="55" t="s">
        <v>206</v>
      </c>
      <c r="C256" s="55" t="s">
        <v>207</v>
      </c>
      <c r="D256" s="56" t="s">
        <v>829</v>
      </c>
      <c r="E256" s="57">
        <v>775</v>
      </c>
      <c r="F256" s="57">
        <v>1230</v>
      </c>
      <c r="G256" s="57">
        <v>1488.3</v>
      </c>
      <c r="H256" s="57">
        <v>455</v>
      </c>
      <c r="I256" s="58">
        <v>36.991869918699187</v>
      </c>
      <c r="J256" s="58">
        <v>58.709677419354833</v>
      </c>
      <c r="K256" s="59">
        <v>0</v>
      </c>
      <c r="L256" s="60">
        <v>0</v>
      </c>
      <c r="M256" s="59">
        <v>0</v>
      </c>
      <c r="N256" s="60">
        <v>0</v>
      </c>
    </row>
    <row r="257" spans="1:14" x14ac:dyDescent="0.2">
      <c r="A257" s="43" t="s">
        <v>125</v>
      </c>
      <c r="B257" s="43" t="s">
        <v>209</v>
      </c>
      <c r="C257" s="43" t="s">
        <v>210</v>
      </c>
      <c r="D257" s="44" t="s">
        <v>828</v>
      </c>
      <c r="E257" s="45">
        <v>479</v>
      </c>
      <c r="F257" s="45">
        <v>870</v>
      </c>
      <c r="G257" s="45">
        <v>1052.7</v>
      </c>
      <c r="H257" s="45">
        <v>391</v>
      </c>
      <c r="I257" s="46">
        <v>44.94252873563218</v>
      </c>
      <c r="J257" s="46">
        <v>81.628392484342385</v>
      </c>
      <c r="K257" s="47"/>
      <c r="L257" s="48"/>
      <c r="M257" s="47"/>
      <c r="N257" s="48"/>
    </row>
    <row r="258" spans="1:14" x14ac:dyDescent="0.2">
      <c r="A258" s="61" t="s">
        <v>125</v>
      </c>
      <c r="B258" s="61" t="s">
        <v>209</v>
      </c>
      <c r="C258" s="61" t="s">
        <v>210</v>
      </c>
      <c r="D258" s="62" t="s">
        <v>827</v>
      </c>
      <c r="E258" s="63">
        <v>548</v>
      </c>
      <c r="F258" s="63">
        <v>870</v>
      </c>
      <c r="G258" s="63">
        <v>1052.7</v>
      </c>
      <c r="H258" s="63">
        <v>322</v>
      </c>
      <c r="I258" s="64">
        <v>37.011494252873561</v>
      </c>
      <c r="J258" s="64">
        <v>58.759124087591239</v>
      </c>
      <c r="K258" s="65">
        <v>69</v>
      </c>
      <c r="L258" s="66">
        <v>14.40501043841336</v>
      </c>
      <c r="M258" s="65">
        <v>0</v>
      </c>
      <c r="N258" s="66">
        <v>0</v>
      </c>
    </row>
    <row r="259" spans="1:14" x14ac:dyDescent="0.2">
      <c r="A259" s="61" t="s">
        <v>125</v>
      </c>
      <c r="B259" s="61" t="s">
        <v>209</v>
      </c>
      <c r="C259" s="61" t="s">
        <v>210</v>
      </c>
      <c r="D259" s="62" t="s">
        <v>829</v>
      </c>
      <c r="E259" s="63">
        <v>549</v>
      </c>
      <c r="F259" s="63">
        <v>870</v>
      </c>
      <c r="G259" s="63">
        <v>1052.7</v>
      </c>
      <c r="H259" s="63">
        <v>321</v>
      </c>
      <c r="I259" s="64">
        <v>36.896551724137943</v>
      </c>
      <c r="J259" s="64">
        <v>58.469945355191257</v>
      </c>
      <c r="K259" s="65">
        <v>1</v>
      </c>
      <c r="L259" s="66">
        <v>0.18248175182481749</v>
      </c>
      <c r="M259" s="65">
        <v>0</v>
      </c>
      <c r="N259" s="66">
        <v>0</v>
      </c>
    </row>
    <row r="260" spans="1:14" x14ac:dyDescent="0.2">
      <c r="A260" s="49" t="s">
        <v>125</v>
      </c>
      <c r="B260" s="49" t="s">
        <v>212</v>
      </c>
      <c r="C260" s="49" t="s">
        <v>213</v>
      </c>
      <c r="D260" s="50" t="s">
        <v>828</v>
      </c>
      <c r="E260" s="51">
        <v>171</v>
      </c>
      <c r="F260" s="51">
        <v>310</v>
      </c>
      <c r="G260" s="51">
        <v>375.1</v>
      </c>
      <c r="H260" s="51">
        <v>139</v>
      </c>
      <c r="I260" s="52">
        <v>44.838709677419352</v>
      </c>
      <c r="J260" s="52">
        <v>81.286549707602347</v>
      </c>
      <c r="K260" s="53"/>
      <c r="L260" s="54"/>
      <c r="M260" s="53"/>
      <c r="N260" s="54"/>
    </row>
    <row r="261" spans="1:14" x14ac:dyDescent="0.2">
      <c r="A261" s="55" t="s">
        <v>125</v>
      </c>
      <c r="B261" s="55" t="s">
        <v>212</v>
      </c>
      <c r="C261" s="55" t="s">
        <v>213</v>
      </c>
      <c r="D261" s="56" t="s">
        <v>827</v>
      </c>
      <c r="E261" s="57">
        <v>195</v>
      </c>
      <c r="F261" s="57">
        <v>310</v>
      </c>
      <c r="G261" s="57">
        <v>375.1</v>
      </c>
      <c r="H261" s="57">
        <v>115</v>
      </c>
      <c r="I261" s="58">
        <v>37.096774193548377</v>
      </c>
      <c r="J261" s="58">
        <v>58.974358974358978</v>
      </c>
      <c r="K261" s="59">
        <v>24</v>
      </c>
      <c r="L261" s="60">
        <v>14.03508771929824</v>
      </c>
      <c r="M261" s="59">
        <v>0</v>
      </c>
      <c r="N261" s="60">
        <v>0</v>
      </c>
    </row>
    <row r="262" spans="1:14" x14ac:dyDescent="0.2">
      <c r="A262" s="55" t="s">
        <v>125</v>
      </c>
      <c r="B262" s="55" t="s">
        <v>212</v>
      </c>
      <c r="C262" s="55" t="s">
        <v>213</v>
      </c>
      <c r="D262" s="56" t="s">
        <v>829</v>
      </c>
      <c r="E262" s="57">
        <v>196</v>
      </c>
      <c r="F262" s="57">
        <v>310</v>
      </c>
      <c r="G262" s="57">
        <v>375.1</v>
      </c>
      <c r="H262" s="57">
        <v>114</v>
      </c>
      <c r="I262" s="58">
        <v>36.774193548387103</v>
      </c>
      <c r="J262" s="58">
        <v>58.163265306122447</v>
      </c>
      <c r="K262" s="59">
        <v>1</v>
      </c>
      <c r="L262" s="60">
        <v>0.51282051282051277</v>
      </c>
      <c r="M262" s="59">
        <v>0</v>
      </c>
      <c r="N262" s="60">
        <v>0</v>
      </c>
    </row>
    <row r="263" spans="1:14" x14ac:dyDescent="0.2">
      <c r="A263" s="43" t="s">
        <v>125</v>
      </c>
      <c r="B263" s="43" t="s">
        <v>215</v>
      </c>
      <c r="C263" s="43" t="s">
        <v>216</v>
      </c>
      <c r="D263" s="44" t="s">
        <v>828</v>
      </c>
      <c r="E263" s="45">
        <v>1370</v>
      </c>
      <c r="F263" s="45">
        <v>2490</v>
      </c>
      <c r="G263" s="45">
        <v>3012.9</v>
      </c>
      <c r="H263" s="45">
        <v>1120</v>
      </c>
      <c r="I263" s="46">
        <v>44.979919678714857</v>
      </c>
      <c r="J263" s="46">
        <v>81.751824817518255</v>
      </c>
      <c r="K263" s="47"/>
      <c r="L263" s="48"/>
      <c r="M263" s="47"/>
      <c r="N263" s="48"/>
    </row>
    <row r="264" spans="1:14" x14ac:dyDescent="0.2">
      <c r="A264" s="61" t="s">
        <v>125</v>
      </c>
      <c r="B264" s="61" t="s">
        <v>215</v>
      </c>
      <c r="C264" s="61" t="s">
        <v>216</v>
      </c>
      <c r="D264" s="62" t="s">
        <v>827</v>
      </c>
      <c r="E264" s="63">
        <v>1569</v>
      </c>
      <c r="F264" s="63">
        <v>2490</v>
      </c>
      <c r="G264" s="63">
        <v>3012.9</v>
      </c>
      <c r="H264" s="63">
        <v>921</v>
      </c>
      <c r="I264" s="64">
        <v>36.98795180722891</v>
      </c>
      <c r="J264" s="64">
        <v>58.699808795411087</v>
      </c>
      <c r="K264" s="65">
        <v>199</v>
      </c>
      <c r="L264" s="66">
        <v>14.525547445255469</v>
      </c>
      <c r="M264" s="65">
        <v>0</v>
      </c>
      <c r="N264" s="66">
        <v>0</v>
      </c>
    </row>
    <row r="265" spans="1:14" x14ac:dyDescent="0.2">
      <c r="A265" s="61" t="s">
        <v>125</v>
      </c>
      <c r="B265" s="61" t="s">
        <v>215</v>
      </c>
      <c r="C265" s="61" t="s">
        <v>216</v>
      </c>
      <c r="D265" s="62" t="s">
        <v>829</v>
      </c>
      <c r="E265" s="63">
        <v>1569</v>
      </c>
      <c r="F265" s="63">
        <v>2490</v>
      </c>
      <c r="G265" s="63">
        <v>3012.9</v>
      </c>
      <c r="H265" s="63">
        <v>921</v>
      </c>
      <c r="I265" s="64">
        <v>36.98795180722891</v>
      </c>
      <c r="J265" s="64">
        <v>58.699808795411087</v>
      </c>
      <c r="K265" s="65">
        <v>0</v>
      </c>
      <c r="L265" s="66">
        <v>0</v>
      </c>
      <c r="M265" s="65">
        <v>0</v>
      </c>
      <c r="N265" s="66">
        <v>0</v>
      </c>
    </row>
    <row r="266" spans="1:14" x14ac:dyDescent="0.2">
      <c r="A266" s="49" t="s">
        <v>125</v>
      </c>
      <c r="B266" s="49" t="s">
        <v>218</v>
      </c>
      <c r="C266" s="49" t="s">
        <v>219</v>
      </c>
      <c r="D266" s="50" t="s">
        <v>828</v>
      </c>
      <c r="E266" s="51">
        <v>1568</v>
      </c>
      <c r="F266" s="51">
        <v>2850</v>
      </c>
      <c r="G266" s="51">
        <v>3448.5</v>
      </c>
      <c r="H266" s="51">
        <v>1282</v>
      </c>
      <c r="I266" s="52">
        <v>44.982456140350877</v>
      </c>
      <c r="J266" s="52">
        <v>81.760204081632651</v>
      </c>
      <c r="K266" s="53"/>
      <c r="L266" s="54"/>
      <c r="M266" s="53"/>
      <c r="N266" s="54"/>
    </row>
    <row r="267" spans="1:14" x14ac:dyDescent="0.2">
      <c r="A267" s="55" t="s">
        <v>125</v>
      </c>
      <c r="B267" s="55" t="s">
        <v>218</v>
      </c>
      <c r="C267" s="55" t="s">
        <v>219</v>
      </c>
      <c r="D267" s="56" t="s">
        <v>827</v>
      </c>
      <c r="E267" s="57">
        <v>1796</v>
      </c>
      <c r="F267" s="57">
        <v>2850</v>
      </c>
      <c r="G267" s="57">
        <v>3448.5</v>
      </c>
      <c r="H267" s="57">
        <v>1054</v>
      </c>
      <c r="I267" s="58">
        <v>36.982456140350877</v>
      </c>
      <c r="J267" s="58">
        <v>58.685968819599111</v>
      </c>
      <c r="K267" s="59">
        <v>228</v>
      </c>
      <c r="L267" s="60">
        <v>14.54081632653061</v>
      </c>
      <c r="M267" s="59">
        <v>0</v>
      </c>
      <c r="N267" s="60">
        <v>0</v>
      </c>
    </row>
    <row r="268" spans="1:14" x14ac:dyDescent="0.2">
      <c r="A268" s="55" t="s">
        <v>125</v>
      </c>
      <c r="B268" s="55" t="s">
        <v>218</v>
      </c>
      <c r="C268" s="55" t="s">
        <v>219</v>
      </c>
      <c r="D268" s="56" t="s">
        <v>829</v>
      </c>
      <c r="E268" s="57">
        <v>1796</v>
      </c>
      <c r="F268" s="57">
        <v>2850</v>
      </c>
      <c r="G268" s="57">
        <v>3448.5</v>
      </c>
      <c r="H268" s="57">
        <v>1054</v>
      </c>
      <c r="I268" s="58">
        <v>36.982456140350877</v>
      </c>
      <c r="J268" s="58">
        <v>58.685968819599111</v>
      </c>
      <c r="K268" s="59">
        <v>0</v>
      </c>
      <c r="L268" s="60">
        <v>0</v>
      </c>
      <c r="M268" s="59">
        <v>0</v>
      </c>
      <c r="N268" s="60">
        <v>0</v>
      </c>
    </row>
    <row r="269" spans="1:14" x14ac:dyDescent="0.2">
      <c r="A269" s="43" t="s">
        <v>125</v>
      </c>
      <c r="B269" s="43" t="s">
        <v>412</v>
      </c>
      <c r="C269" s="43" t="s">
        <v>413</v>
      </c>
      <c r="D269" s="44" t="s">
        <v>828</v>
      </c>
      <c r="E269" s="45">
        <v>1172</v>
      </c>
      <c r="F269" s="45">
        <v>2130</v>
      </c>
      <c r="G269" s="45">
        <v>2577.3000000000002</v>
      </c>
      <c r="H269" s="45">
        <v>958</v>
      </c>
      <c r="I269" s="46">
        <v>44.97652582159624</v>
      </c>
      <c r="J269" s="46">
        <v>81.74061433447099</v>
      </c>
      <c r="K269" s="47"/>
      <c r="L269" s="48"/>
      <c r="M269" s="47"/>
      <c r="N269" s="48"/>
    </row>
    <row r="270" spans="1:14" x14ac:dyDescent="0.2">
      <c r="A270" s="61" t="s">
        <v>125</v>
      </c>
      <c r="B270" s="61" t="s">
        <v>412</v>
      </c>
      <c r="C270" s="61" t="s">
        <v>413</v>
      </c>
      <c r="D270" s="62" t="s">
        <v>829</v>
      </c>
      <c r="E270" s="63">
        <v>1342</v>
      </c>
      <c r="F270" s="63">
        <v>2130</v>
      </c>
      <c r="G270" s="63">
        <v>2577.3000000000002</v>
      </c>
      <c r="H270" s="63">
        <v>788</v>
      </c>
      <c r="I270" s="64">
        <v>36.995305164319248</v>
      </c>
      <c r="J270" s="64">
        <v>58.718330849478392</v>
      </c>
      <c r="K270" s="65">
        <v>170</v>
      </c>
      <c r="L270" s="66">
        <v>14.505119453924911</v>
      </c>
      <c r="M270" s="65">
        <v>0</v>
      </c>
      <c r="N270" s="66">
        <v>0</v>
      </c>
    </row>
    <row r="271" spans="1:14" x14ac:dyDescent="0.2">
      <c r="A271" s="49" t="s">
        <v>125</v>
      </c>
      <c r="B271" s="49" t="s">
        <v>412</v>
      </c>
      <c r="C271" s="49" t="s">
        <v>871</v>
      </c>
      <c r="D271" s="50" t="s">
        <v>827</v>
      </c>
      <c r="E271" s="51">
        <v>343</v>
      </c>
      <c r="F271" s="51">
        <v>2130</v>
      </c>
      <c r="G271" s="51">
        <v>2577.3000000000002</v>
      </c>
      <c r="H271" s="51">
        <v>1787</v>
      </c>
      <c r="I271" s="52">
        <v>83.896713615023472</v>
      </c>
      <c r="J271" s="52">
        <v>520.99125364431484</v>
      </c>
      <c r="K271" s="53"/>
      <c r="L271" s="54"/>
      <c r="M271" s="53"/>
      <c r="N271" s="54"/>
    </row>
    <row r="272" spans="1:14" x14ac:dyDescent="0.2">
      <c r="A272" s="43" t="s">
        <v>125</v>
      </c>
      <c r="B272" s="43" t="s">
        <v>155</v>
      </c>
      <c r="C272" s="43" t="s">
        <v>349</v>
      </c>
      <c r="D272" s="44" t="s">
        <v>828</v>
      </c>
      <c r="E272" s="45">
        <v>201</v>
      </c>
      <c r="F272" s="45">
        <v>365</v>
      </c>
      <c r="G272" s="45">
        <v>441.65</v>
      </c>
      <c r="H272" s="45">
        <v>164</v>
      </c>
      <c r="I272" s="46">
        <v>44.93150684931507</v>
      </c>
      <c r="J272" s="46">
        <v>81.592039800995025</v>
      </c>
      <c r="K272" s="47"/>
      <c r="L272" s="48"/>
      <c r="M272" s="47"/>
      <c r="N272" s="48"/>
    </row>
    <row r="273" spans="1:14" x14ac:dyDescent="0.2">
      <c r="A273" s="61" t="s">
        <v>125</v>
      </c>
      <c r="B273" s="61" t="s">
        <v>155</v>
      </c>
      <c r="C273" s="61" t="s">
        <v>349</v>
      </c>
      <c r="D273" s="62" t="s">
        <v>827</v>
      </c>
      <c r="E273" s="63">
        <v>230</v>
      </c>
      <c r="F273" s="63">
        <v>365</v>
      </c>
      <c r="G273" s="63">
        <v>441.65</v>
      </c>
      <c r="H273" s="63">
        <v>135</v>
      </c>
      <c r="I273" s="64">
        <v>36.986301369863007</v>
      </c>
      <c r="J273" s="64">
        <v>58.695652173913047</v>
      </c>
      <c r="K273" s="65">
        <v>29</v>
      </c>
      <c r="L273" s="66">
        <v>14.42786069651741</v>
      </c>
      <c r="M273" s="65">
        <v>0</v>
      </c>
      <c r="N273" s="66">
        <v>0</v>
      </c>
    </row>
    <row r="274" spans="1:14" x14ac:dyDescent="0.2">
      <c r="A274" s="61" t="s">
        <v>125</v>
      </c>
      <c r="B274" s="61" t="s">
        <v>155</v>
      </c>
      <c r="C274" s="61" t="s">
        <v>349</v>
      </c>
      <c r="D274" s="62" t="s">
        <v>829</v>
      </c>
      <c r="E274" s="63">
        <v>230</v>
      </c>
      <c r="F274" s="63">
        <v>365</v>
      </c>
      <c r="G274" s="63">
        <v>441.65</v>
      </c>
      <c r="H274" s="63">
        <v>135</v>
      </c>
      <c r="I274" s="64">
        <v>36.986301369863007</v>
      </c>
      <c r="J274" s="64">
        <v>58.695652173913047</v>
      </c>
      <c r="K274" s="65">
        <v>0</v>
      </c>
      <c r="L274" s="66">
        <v>0</v>
      </c>
      <c r="M274" s="65">
        <v>0</v>
      </c>
      <c r="N274" s="66">
        <v>0</v>
      </c>
    </row>
    <row r="275" spans="1:14" x14ac:dyDescent="0.2">
      <c r="A275" s="49" t="s">
        <v>125</v>
      </c>
      <c r="B275" s="49" t="s">
        <v>155</v>
      </c>
      <c r="C275" s="49" t="s">
        <v>156</v>
      </c>
      <c r="D275" s="50" t="s">
        <v>828</v>
      </c>
      <c r="E275" s="51">
        <v>215</v>
      </c>
      <c r="F275" s="51">
        <v>390</v>
      </c>
      <c r="G275" s="51">
        <v>471.9</v>
      </c>
      <c r="H275" s="51">
        <v>175</v>
      </c>
      <c r="I275" s="52">
        <v>44.871794871794883</v>
      </c>
      <c r="J275" s="52">
        <v>81.395348837209298</v>
      </c>
      <c r="K275" s="53"/>
      <c r="L275" s="54"/>
      <c r="M275" s="53"/>
      <c r="N275" s="54"/>
    </row>
    <row r="276" spans="1:14" x14ac:dyDescent="0.2">
      <c r="A276" s="55" t="s">
        <v>125</v>
      </c>
      <c r="B276" s="55" t="s">
        <v>155</v>
      </c>
      <c r="C276" s="55" t="s">
        <v>156</v>
      </c>
      <c r="D276" s="56" t="s">
        <v>827</v>
      </c>
      <c r="E276" s="57">
        <v>246</v>
      </c>
      <c r="F276" s="57">
        <v>390</v>
      </c>
      <c r="G276" s="57">
        <v>471.9</v>
      </c>
      <c r="H276" s="57">
        <v>144</v>
      </c>
      <c r="I276" s="58">
        <v>36.923076923076927</v>
      </c>
      <c r="J276" s="58">
        <v>58.536585365853647</v>
      </c>
      <c r="K276" s="59">
        <v>31</v>
      </c>
      <c r="L276" s="60">
        <v>14.41860465116279</v>
      </c>
      <c r="M276" s="59">
        <v>0</v>
      </c>
      <c r="N276" s="60">
        <v>0</v>
      </c>
    </row>
    <row r="277" spans="1:14" x14ac:dyDescent="0.2">
      <c r="A277" s="55" t="s">
        <v>125</v>
      </c>
      <c r="B277" s="55" t="s">
        <v>155</v>
      </c>
      <c r="C277" s="55" t="s">
        <v>156</v>
      </c>
      <c r="D277" s="56" t="s">
        <v>829</v>
      </c>
      <c r="E277" s="57">
        <v>246</v>
      </c>
      <c r="F277" s="57">
        <v>390</v>
      </c>
      <c r="G277" s="57">
        <v>471.9</v>
      </c>
      <c r="H277" s="57">
        <v>144</v>
      </c>
      <c r="I277" s="58">
        <v>36.923076923076927</v>
      </c>
      <c r="J277" s="58">
        <v>58.536585365853647</v>
      </c>
      <c r="K277" s="59">
        <v>0</v>
      </c>
      <c r="L277" s="60">
        <v>0</v>
      </c>
      <c r="M277" s="59">
        <v>0</v>
      </c>
      <c r="N277" s="60">
        <v>0</v>
      </c>
    </row>
    <row r="278" spans="1:14" x14ac:dyDescent="0.2">
      <c r="A278" s="43" t="s">
        <v>125</v>
      </c>
      <c r="B278" s="43" t="s">
        <v>444</v>
      </c>
      <c r="C278" s="43" t="s">
        <v>872</v>
      </c>
      <c r="D278" s="44" t="s">
        <v>827</v>
      </c>
      <c r="E278" s="45">
        <v>41</v>
      </c>
      <c r="F278" s="45">
        <v>890</v>
      </c>
      <c r="G278" s="45">
        <v>1076.9000000000001</v>
      </c>
      <c r="H278" s="45">
        <v>849</v>
      </c>
      <c r="I278" s="46">
        <v>95.393258426966284</v>
      </c>
      <c r="J278" s="46">
        <v>2070.731707317073</v>
      </c>
      <c r="K278" s="47"/>
      <c r="L278" s="48"/>
      <c r="M278" s="47"/>
      <c r="N278" s="48"/>
    </row>
    <row r="279" spans="1:14" x14ac:dyDescent="0.2">
      <c r="A279" s="49" t="s">
        <v>125</v>
      </c>
      <c r="B279" s="49" t="s">
        <v>444</v>
      </c>
      <c r="C279" s="49" t="s">
        <v>445</v>
      </c>
      <c r="D279" s="50" t="s">
        <v>828</v>
      </c>
      <c r="E279" s="51">
        <v>490</v>
      </c>
      <c r="F279" s="51">
        <v>890</v>
      </c>
      <c r="G279" s="51">
        <v>1076.9000000000001</v>
      </c>
      <c r="H279" s="51">
        <v>400</v>
      </c>
      <c r="I279" s="52">
        <v>44.943820224719097</v>
      </c>
      <c r="J279" s="52">
        <v>81.632653061224488</v>
      </c>
      <c r="K279" s="53"/>
      <c r="L279" s="54"/>
      <c r="M279" s="53"/>
      <c r="N279" s="54"/>
    </row>
    <row r="280" spans="1:14" x14ac:dyDescent="0.2">
      <c r="A280" s="55" t="s">
        <v>125</v>
      </c>
      <c r="B280" s="55" t="s">
        <v>444</v>
      </c>
      <c r="C280" s="55" t="s">
        <v>445</v>
      </c>
      <c r="D280" s="56" t="s">
        <v>829</v>
      </c>
      <c r="E280" s="57">
        <v>561</v>
      </c>
      <c r="F280" s="57">
        <v>890</v>
      </c>
      <c r="G280" s="57">
        <v>1076.9000000000001</v>
      </c>
      <c r="H280" s="57">
        <v>329</v>
      </c>
      <c r="I280" s="58">
        <v>36.966292134831463</v>
      </c>
      <c r="J280" s="58">
        <v>58.645276292335112</v>
      </c>
      <c r="K280" s="59">
        <v>71</v>
      </c>
      <c r="L280" s="60">
        <v>14.489795918367349</v>
      </c>
      <c r="M280" s="59">
        <v>0</v>
      </c>
      <c r="N280" s="60">
        <v>0</v>
      </c>
    </row>
    <row r="281" spans="1:14" x14ac:dyDescent="0.2">
      <c r="A281" s="43" t="s">
        <v>125</v>
      </c>
      <c r="B281" s="43" t="s">
        <v>302</v>
      </c>
      <c r="C281" s="43" t="s">
        <v>303</v>
      </c>
      <c r="D281" s="44" t="s">
        <v>828</v>
      </c>
      <c r="E281" s="45">
        <v>325</v>
      </c>
      <c r="F281" s="45">
        <v>590</v>
      </c>
      <c r="G281" s="45">
        <v>713.9</v>
      </c>
      <c r="H281" s="45">
        <v>265</v>
      </c>
      <c r="I281" s="46">
        <v>44.915254237288138</v>
      </c>
      <c r="J281" s="46">
        <v>81.538461538461533</v>
      </c>
      <c r="K281" s="47"/>
      <c r="L281" s="48"/>
      <c r="M281" s="47"/>
      <c r="N281" s="48"/>
    </row>
    <row r="282" spans="1:14" x14ac:dyDescent="0.2">
      <c r="A282" s="61" t="s">
        <v>125</v>
      </c>
      <c r="B282" s="61" t="s">
        <v>302</v>
      </c>
      <c r="C282" s="61" t="s">
        <v>873</v>
      </c>
      <c r="D282" s="62" t="s">
        <v>827</v>
      </c>
      <c r="E282" s="63">
        <v>372</v>
      </c>
      <c r="F282" s="63">
        <v>590</v>
      </c>
      <c r="G282" s="63">
        <v>713.9</v>
      </c>
      <c r="H282" s="63">
        <v>218</v>
      </c>
      <c r="I282" s="64">
        <v>36.949152542372879</v>
      </c>
      <c r="J282" s="64">
        <v>58.602150537634422</v>
      </c>
      <c r="K282" s="65">
        <v>47</v>
      </c>
      <c r="L282" s="66">
        <v>14.46153846153846</v>
      </c>
      <c r="M282" s="65">
        <v>0</v>
      </c>
      <c r="N282" s="66">
        <v>0</v>
      </c>
    </row>
    <row r="283" spans="1:14" x14ac:dyDescent="0.2">
      <c r="A283" s="61" t="s">
        <v>125</v>
      </c>
      <c r="B283" s="61" t="s">
        <v>302</v>
      </c>
      <c r="C283" s="61" t="s">
        <v>303</v>
      </c>
      <c r="D283" s="62" t="s">
        <v>829</v>
      </c>
      <c r="E283" s="63">
        <v>372</v>
      </c>
      <c r="F283" s="63">
        <v>590</v>
      </c>
      <c r="G283" s="63">
        <v>713.9</v>
      </c>
      <c r="H283" s="63">
        <v>218</v>
      </c>
      <c r="I283" s="64">
        <v>36.949152542372879</v>
      </c>
      <c r="J283" s="64">
        <v>58.602150537634422</v>
      </c>
      <c r="K283" s="65">
        <v>0</v>
      </c>
      <c r="L283" s="66">
        <v>0</v>
      </c>
      <c r="M283" s="65">
        <v>0</v>
      </c>
      <c r="N283" s="66">
        <v>0</v>
      </c>
    </row>
    <row r="284" spans="1:14" x14ac:dyDescent="0.2">
      <c r="A284" s="49" t="s">
        <v>125</v>
      </c>
      <c r="B284" s="49" t="s">
        <v>305</v>
      </c>
      <c r="C284" s="49" t="s">
        <v>306</v>
      </c>
      <c r="D284" s="50" t="s">
        <v>828</v>
      </c>
      <c r="E284" s="51">
        <v>380</v>
      </c>
      <c r="F284" s="51">
        <v>690</v>
      </c>
      <c r="G284" s="51">
        <v>834.9</v>
      </c>
      <c r="H284" s="51">
        <v>310</v>
      </c>
      <c r="I284" s="52">
        <v>44.927536231884048</v>
      </c>
      <c r="J284" s="52">
        <v>81.578947368421055</v>
      </c>
      <c r="K284" s="53"/>
      <c r="L284" s="54"/>
      <c r="M284" s="53"/>
      <c r="N284" s="54"/>
    </row>
    <row r="285" spans="1:14" x14ac:dyDescent="0.2">
      <c r="A285" s="55" t="s">
        <v>125</v>
      </c>
      <c r="B285" s="55" t="s">
        <v>305</v>
      </c>
      <c r="C285" s="55" t="s">
        <v>874</v>
      </c>
      <c r="D285" s="56" t="s">
        <v>827</v>
      </c>
      <c r="E285" s="57">
        <v>435</v>
      </c>
      <c r="F285" s="57">
        <v>690</v>
      </c>
      <c r="G285" s="57">
        <v>834.9</v>
      </c>
      <c r="H285" s="57">
        <v>255</v>
      </c>
      <c r="I285" s="58">
        <v>36.95652173913043</v>
      </c>
      <c r="J285" s="58">
        <v>58.620689655172413</v>
      </c>
      <c r="K285" s="59">
        <v>55</v>
      </c>
      <c r="L285" s="60">
        <v>14.47368421052632</v>
      </c>
      <c r="M285" s="59">
        <v>0</v>
      </c>
      <c r="N285" s="60">
        <v>0</v>
      </c>
    </row>
    <row r="286" spans="1:14" x14ac:dyDescent="0.2">
      <c r="A286" s="55" t="s">
        <v>125</v>
      </c>
      <c r="B286" s="55" t="s">
        <v>305</v>
      </c>
      <c r="C286" s="55" t="s">
        <v>306</v>
      </c>
      <c r="D286" s="56" t="s">
        <v>829</v>
      </c>
      <c r="E286" s="57">
        <v>435</v>
      </c>
      <c r="F286" s="57">
        <v>690</v>
      </c>
      <c r="G286" s="57">
        <v>834.9</v>
      </c>
      <c r="H286" s="57">
        <v>255</v>
      </c>
      <c r="I286" s="58">
        <v>36.95652173913043</v>
      </c>
      <c r="J286" s="58">
        <v>58.620689655172413</v>
      </c>
      <c r="K286" s="59">
        <v>0</v>
      </c>
      <c r="L286" s="60">
        <v>0</v>
      </c>
      <c r="M286" s="59">
        <v>0</v>
      </c>
      <c r="N286" s="60">
        <v>0</v>
      </c>
    </row>
    <row r="287" spans="1:14" x14ac:dyDescent="0.2">
      <c r="A287" s="43" t="s">
        <v>125</v>
      </c>
      <c r="B287" s="43" t="s">
        <v>308</v>
      </c>
      <c r="C287" s="43" t="s">
        <v>309</v>
      </c>
      <c r="D287" s="44" t="s">
        <v>828</v>
      </c>
      <c r="E287" s="45">
        <v>231</v>
      </c>
      <c r="F287" s="45">
        <v>420</v>
      </c>
      <c r="G287" s="45">
        <v>508.2</v>
      </c>
      <c r="H287" s="45">
        <v>189</v>
      </c>
      <c r="I287" s="46">
        <v>45</v>
      </c>
      <c r="J287" s="46">
        <v>81.818181818181827</v>
      </c>
      <c r="K287" s="47"/>
      <c r="L287" s="48"/>
      <c r="M287" s="47"/>
      <c r="N287" s="48"/>
    </row>
    <row r="288" spans="1:14" x14ac:dyDescent="0.2">
      <c r="A288" s="61" t="s">
        <v>125</v>
      </c>
      <c r="B288" s="61" t="s">
        <v>308</v>
      </c>
      <c r="C288" s="61" t="s">
        <v>875</v>
      </c>
      <c r="D288" s="62" t="s">
        <v>827</v>
      </c>
      <c r="E288" s="63">
        <v>265</v>
      </c>
      <c r="F288" s="63">
        <v>420</v>
      </c>
      <c r="G288" s="63">
        <v>508.2</v>
      </c>
      <c r="H288" s="63">
        <v>155</v>
      </c>
      <c r="I288" s="64">
        <v>36.904761904761912</v>
      </c>
      <c r="J288" s="64">
        <v>58.490566037735853</v>
      </c>
      <c r="K288" s="65">
        <v>34</v>
      </c>
      <c r="L288" s="66">
        <v>14.71861471861472</v>
      </c>
      <c r="M288" s="65">
        <v>0</v>
      </c>
      <c r="N288" s="66">
        <v>0</v>
      </c>
    </row>
    <row r="289" spans="1:14" x14ac:dyDescent="0.2">
      <c r="A289" s="61" t="s">
        <v>125</v>
      </c>
      <c r="B289" s="61" t="s">
        <v>308</v>
      </c>
      <c r="C289" s="61" t="s">
        <v>309</v>
      </c>
      <c r="D289" s="62" t="s">
        <v>829</v>
      </c>
      <c r="E289" s="63">
        <v>265</v>
      </c>
      <c r="F289" s="63">
        <v>420</v>
      </c>
      <c r="G289" s="63">
        <v>508.2</v>
      </c>
      <c r="H289" s="63">
        <v>155</v>
      </c>
      <c r="I289" s="64">
        <v>36.904761904761912</v>
      </c>
      <c r="J289" s="64">
        <v>58.490566037735853</v>
      </c>
      <c r="K289" s="65">
        <v>0</v>
      </c>
      <c r="L289" s="66">
        <v>0</v>
      </c>
      <c r="M289" s="65">
        <v>0</v>
      </c>
      <c r="N289" s="66">
        <v>0</v>
      </c>
    </row>
    <row r="290" spans="1:14" x14ac:dyDescent="0.2">
      <c r="A290" s="49" t="s">
        <v>125</v>
      </c>
      <c r="B290" s="49" t="s">
        <v>314</v>
      </c>
      <c r="C290" s="49" t="s">
        <v>315</v>
      </c>
      <c r="D290" s="50" t="s">
        <v>828</v>
      </c>
      <c r="E290" s="51">
        <v>2002</v>
      </c>
      <c r="F290" s="51">
        <v>3640</v>
      </c>
      <c r="G290" s="51">
        <v>4404.3999999999996</v>
      </c>
      <c r="H290" s="51">
        <v>1638</v>
      </c>
      <c r="I290" s="52">
        <v>45</v>
      </c>
      <c r="J290" s="52">
        <v>81.818181818181827</v>
      </c>
      <c r="K290" s="53"/>
      <c r="L290" s="54"/>
      <c r="M290" s="53"/>
      <c r="N290" s="54"/>
    </row>
    <row r="291" spans="1:14" x14ac:dyDescent="0.2">
      <c r="A291" s="55" t="s">
        <v>125</v>
      </c>
      <c r="B291" s="55" t="s">
        <v>314</v>
      </c>
      <c r="C291" s="55" t="s">
        <v>876</v>
      </c>
      <c r="D291" s="56" t="s">
        <v>827</v>
      </c>
      <c r="E291" s="57">
        <v>2293</v>
      </c>
      <c r="F291" s="57">
        <v>3640</v>
      </c>
      <c r="G291" s="57">
        <v>4404.3999999999996</v>
      </c>
      <c r="H291" s="57">
        <v>1347</v>
      </c>
      <c r="I291" s="58">
        <v>37.005494505494511</v>
      </c>
      <c r="J291" s="58">
        <v>58.744003488879187</v>
      </c>
      <c r="K291" s="59">
        <v>291</v>
      </c>
      <c r="L291" s="60">
        <v>14.535464535464531</v>
      </c>
      <c r="M291" s="59">
        <v>0</v>
      </c>
      <c r="N291" s="60">
        <v>0</v>
      </c>
    </row>
    <row r="292" spans="1:14" x14ac:dyDescent="0.2">
      <c r="A292" s="55" t="s">
        <v>125</v>
      </c>
      <c r="B292" s="55" t="s">
        <v>314</v>
      </c>
      <c r="C292" s="55" t="s">
        <v>315</v>
      </c>
      <c r="D292" s="56" t="s">
        <v>829</v>
      </c>
      <c r="E292" s="57">
        <v>2294</v>
      </c>
      <c r="F292" s="57">
        <v>3640</v>
      </c>
      <c r="G292" s="57">
        <v>4404.3999999999996</v>
      </c>
      <c r="H292" s="57">
        <v>1346</v>
      </c>
      <c r="I292" s="58">
        <v>36.978021978021978</v>
      </c>
      <c r="J292" s="58">
        <v>58.674803836094164</v>
      </c>
      <c r="K292" s="59">
        <v>1</v>
      </c>
      <c r="L292" s="60">
        <v>4.3610989969472311E-2</v>
      </c>
      <c r="M292" s="59">
        <v>0</v>
      </c>
      <c r="N292" s="60">
        <v>0</v>
      </c>
    </row>
    <row r="293" spans="1:14" x14ac:dyDescent="0.2">
      <c r="A293" s="43" t="s">
        <v>125</v>
      </c>
      <c r="B293" s="43" t="s">
        <v>293</v>
      </c>
      <c r="C293" s="43" t="s">
        <v>294</v>
      </c>
      <c r="D293" s="44" t="s">
        <v>828</v>
      </c>
      <c r="E293" s="45">
        <v>429</v>
      </c>
      <c r="F293" s="45">
        <v>780</v>
      </c>
      <c r="G293" s="45">
        <v>943.8</v>
      </c>
      <c r="H293" s="45">
        <v>351</v>
      </c>
      <c r="I293" s="46">
        <v>45</v>
      </c>
      <c r="J293" s="46">
        <v>81.818181818181827</v>
      </c>
      <c r="K293" s="47"/>
      <c r="L293" s="48"/>
      <c r="M293" s="47"/>
      <c r="N293" s="48"/>
    </row>
    <row r="294" spans="1:14" x14ac:dyDescent="0.2">
      <c r="A294" s="61" t="s">
        <v>125</v>
      </c>
      <c r="B294" s="61" t="s">
        <v>293</v>
      </c>
      <c r="C294" s="61" t="s">
        <v>294</v>
      </c>
      <c r="D294" s="62" t="s">
        <v>827</v>
      </c>
      <c r="E294" s="63">
        <v>491</v>
      </c>
      <c r="F294" s="63">
        <v>780</v>
      </c>
      <c r="G294" s="63">
        <v>943.8</v>
      </c>
      <c r="H294" s="63">
        <v>289</v>
      </c>
      <c r="I294" s="64">
        <v>37.051282051282051</v>
      </c>
      <c r="J294" s="64">
        <v>58.859470468431773</v>
      </c>
      <c r="K294" s="65">
        <v>62</v>
      </c>
      <c r="L294" s="66">
        <v>14.45221445221445</v>
      </c>
      <c r="M294" s="65">
        <v>0</v>
      </c>
      <c r="N294" s="66">
        <v>0</v>
      </c>
    </row>
    <row r="295" spans="1:14" x14ac:dyDescent="0.2">
      <c r="A295" s="61" t="s">
        <v>125</v>
      </c>
      <c r="B295" s="61" t="s">
        <v>293</v>
      </c>
      <c r="C295" s="61" t="s">
        <v>294</v>
      </c>
      <c r="D295" s="62" t="s">
        <v>829</v>
      </c>
      <c r="E295" s="63">
        <v>492</v>
      </c>
      <c r="F295" s="63">
        <v>780</v>
      </c>
      <c r="G295" s="63">
        <v>943.8</v>
      </c>
      <c r="H295" s="63">
        <v>288</v>
      </c>
      <c r="I295" s="64">
        <v>36.923076923076927</v>
      </c>
      <c r="J295" s="64">
        <v>58.536585365853647</v>
      </c>
      <c r="K295" s="65">
        <v>1</v>
      </c>
      <c r="L295" s="66">
        <v>0.20366598778004069</v>
      </c>
      <c r="M295" s="65">
        <v>0</v>
      </c>
      <c r="N295" s="66">
        <v>0</v>
      </c>
    </row>
    <row r="296" spans="1:14" x14ac:dyDescent="0.2">
      <c r="A296" s="49" t="s">
        <v>125</v>
      </c>
      <c r="B296" s="49" t="s">
        <v>299</v>
      </c>
      <c r="C296" s="49" t="s">
        <v>300</v>
      </c>
      <c r="D296" s="50" t="s">
        <v>828</v>
      </c>
      <c r="E296" s="51">
        <v>765</v>
      </c>
      <c r="F296" s="51">
        <v>1390</v>
      </c>
      <c r="G296" s="51">
        <v>1681.9</v>
      </c>
      <c r="H296" s="51">
        <v>625</v>
      </c>
      <c r="I296" s="52">
        <v>44.964028776978417</v>
      </c>
      <c r="J296" s="52">
        <v>81.699346405228752</v>
      </c>
      <c r="K296" s="53"/>
      <c r="L296" s="54"/>
      <c r="M296" s="53"/>
      <c r="N296" s="54"/>
    </row>
    <row r="297" spans="1:14" x14ac:dyDescent="0.2">
      <c r="A297" s="55" t="s">
        <v>125</v>
      </c>
      <c r="B297" s="55" t="s">
        <v>299</v>
      </c>
      <c r="C297" s="55" t="s">
        <v>300</v>
      </c>
      <c r="D297" s="56" t="s">
        <v>827</v>
      </c>
      <c r="E297" s="57">
        <v>876</v>
      </c>
      <c r="F297" s="57">
        <v>1390</v>
      </c>
      <c r="G297" s="57">
        <v>1681.9</v>
      </c>
      <c r="H297" s="57">
        <v>514</v>
      </c>
      <c r="I297" s="58">
        <v>36.978417266187051</v>
      </c>
      <c r="J297" s="58">
        <v>58.675799086757998</v>
      </c>
      <c r="K297" s="59">
        <v>111</v>
      </c>
      <c r="L297" s="60">
        <v>14.509803921568629</v>
      </c>
      <c r="M297" s="59">
        <v>0</v>
      </c>
      <c r="N297" s="60">
        <v>0</v>
      </c>
    </row>
    <row r="298" spans="1:14" x14ac:dyDescent="0.2">
      <c r="A298" s="55" t="s">
        <v>125</v>
      </c>
      <c r="B298" s="55" t="s">
        <v>299</v>
      </c>
      <c r="C298" s="55" t="s">
        <v>300</v>
      </c>
      <c r="D298" s="56" t="s">
        <v>829</v>
      </c>
      <c r="E298" s="57">
        <v>876</v>
      </c>
      <c r="F298" s="57">
        <v>1390</v>
      </c>
      <c r="G298" s="57">
        <v>1681.9</v>
      </c>
      <c r="H298" s="57">
        <v>514</v>
      </c>
      <c r="I298" s="58">
        <v>36.978417266187051</v>
      </c>
      <c r="J298" s="58">
        <v>58.675799086757998</v>
      </c>
      <c r="K298" s="59">
        <v>0</v>
      </c>
      <c r="L298" s="60">
        <v>0</v>
      </c>
      <c r="M298" s="59">
        <v>0</v>
      </c>
      <c r="N298" s="60">
        <v>0</v>
      </c>
    </row>
    <row r="299" spans="1:14" x14ac:dyDescent="0.2">
      <c r="A299" s="43" t="s">
        <v>125</v>
      </c>
      <c r="B299" s="43" t="s">
        <v>311</v>
      </c>
      <c r="C299" s="43" t="s">
        <v>312</v>
      </c>
      <c r="D299" s="44" t="s">
        <v>828</v>
      </c>
      <c r="E299" s="45">
        <v>1802</v>
      </c>
      <c r="F299" s="45">
        <v>3275</v>
      </c>
      <c r="G299" s="45">
        <v>3962.75</v>
      </c>
      <c r="H299" s="45">
        <v>1473</v>
      </c>
      <c r="I299" s="46">
        <v>44.977099236641223</v>
      </c>
      <c r="J299" s="46">
        <v>81.742508324084355</v>
      </c>
      <c r="K299" s="47"/>
      <c r="L299" s="48"/>
      <c r="M299" s="47"/>
      <c r="N299" s="48"/>
    </row>
    <row r="300" spans="1:14" x14ac:dyDescent="0.2">
      <c r="A300" s="61" t="s">
        <v>125</v>
      </c>
      <c r="B300" s="61" t="s">
        <v>311</v>
      </c>
      <c r="C300" s="61" t="s">
        <v>877</v>
      </c>
      <c r="D300" s="62" t="s">
        <v>827</v>
      </c>
      <c r="E300" s="63">
        <v>2063</v>
      </c>
      <c r="F300" s="63">
        <v>3275</v>
      </c>
      <c r="G300" s="63">
        <v>3962.75</v>
      </c>
      <c r="H300" s="63">
        <v>1212</v>
      </c>
      <c r="I300" s="64">
        <v>37.007633587786259</v>
      </c>
      <c r="J300" s="64">
        <v>58.749394086282123</v>
      </c>
      <c r="K300" s="65">
        <v>261</v>
      </c>
      <c r="L300" s="66">
        <v>14.48390677025527</v>
      </c>
      <c r="M300" s="65">
        <v>0</v>
      </c>
      <c r="N300" s="66">
        <v>0</v>
      </c>
    </row>
    <row r="301" spans="1:14" x14ac:dyDescent="0.2">
      <c r="A301" s="61" t="s">
        <v>125</v>
      </c>
      <c r="B301" s="61" t="s">
        <v>311</v>
      </c>
      <c r="C301" s="61" t="s">
        <v>312</v>
      </c>
      <c r="D301" s="62" t="s">
        <v>829</v>
      </c>
      <c r="E301" s="63">
        <v>2064</v>
      </c>
      <c r="F301" s="63">
        <v>3275</v>
      </c>
      <c r="G301" s="63">
        <v>3962.75</v>
      </c>
      <c r="H301" s="63">
        <v>1211</v>
      </c>
      <c r="I301" s="64">
        <v>36.977099236641223</v>
      </c>
      <c r="J301" s="64">
        <v>58.672480620155042</v>
      </c>
      <c r="K301" s="65">
        <v>1</v>
      </c>
      <c r="L301" s="66">
        <v>4.8473097430925843E-2</v>
      </c>
      <c r="M301" s="65">
        <v>0</v>
      </c>
      <c r="N301" s="66">
        <v>0</v>
      </c>
    </row>
    <row r="302" spans="1:14" x14ac:dyDescent="0.2">
      <c r="A302" s="49" t="s">
        <v>125</v>
      </c>
      <c r="B302" s="49" t="s">
        <v>296</v>
      </c>
      <c r="C302" s="49" t="s">
        <v>297</v>
      </c>
      <c r="D302" s="50" t="s">
        <v>828</v>
      </c>
      <c r="E302" s="51">
        <v>619</v>
      </c>
      <c r="F302" s="51">
        <v>1125</v>
      </c>
      <c r="G302" s="51">
        <v>1361.25</v>
      </c>
      <c r="H302" s="51">
        <v>506</v>
      </c>
      <c r="I302" s="52">
        <v>44.977777777777767</v>
      </c>
      <c r="J302" s="52">
        <v>81.744749596122773</v>
      </c>
      <c r="K302" s="53"/>
      <c r="L302" s="54"/>
      <c r="M302" s="53"/>
      <c r="N302" s="54"/>
    </row>
    <row r="303" spans="1:14" x14ac:dyDescent="0.2">
      <c r="A303" s="55" t="s">
        <v>125</v>
      </c>
      <c r="B303" s="55" t="s">
        <v>296</v>
      </c>
      <c r="C303" s="55" t="s">
        <v>297</v>
      </c>
      <c r="D303" s="56" t="s">
        <v>827</v>
      </c>
      <c r="E303" s="57">
        <v>709</v>
      </c>
      <c r="F303" s="57">
        <v>1125</v>
      </c>
      <c r="G303" s="57">
        <v>1361.25</v>
      </c>
      <c r="H303" s="57">
        <v>416</v>
      </c>
      <c r="I303" s="58">
        <v>36.977777777777767</v>
      </c>
      <c r="J303" s="58">
        <v>58.674188998589557</v>
      </c>
      <c r="K303" s="59">
        <v>90</v>
      </c>
      <c r="L303" s="60">
        <v>14.53957996768982</v>
      </c>
      <c r="M303" s="59">
        <v>0</v>
      </c>
      <c r="N303" s="60">
        <v>0</v>
      </c>
    </row>
    <row r="304" spans="1:14" x14ac:dyDescent="0.2">
      <c r="A304" s="55" t="s">
        <v>125</v>
      </c>
      <c r="B304" s="55" t="s">
        <v>296</v>
      </c>
      <c r="C304" s="55" t="s">
        <v>297</v>
      </c>
      <c r="D304" s="56" t="s">
        <v>829</v>
      </c>
      <c r="E304" s="57">
        <v>709</v>
      </c>
      <c r="F304" s="57">
        <v>1125</v>
      </c>
      <c r="G304" s="57">
        <v>1361.25</v>
      </c>
      <c r="H304" s="57">
        <v>416</v>
      </c>
      <c r="I304" s="58">
        <v>36.977777777777767</v>
      </c>
      <c r="J304" s="58">
        <v>58.674188998589557</v>
      </c>
      <c r="K304" s="59">
        <v>0</v>
      </c>
      <c r="L304" s="60">
        <v>0</v>
      </c>
      <c r="M304" s="59">
        <v>0</v>
      </c>
      <c r="N304" s="60">
        <v>0</v>
      </c>
    </row>
    <row r="305" spans="1:14" x14ac:dyDescent="0.2">
      <c r="A305" s="43" t="s">
        <v>125</v>
      </c>
      <c r="B305" s="43" t="s">
        <v>164</v>
      </c>
      <c r="C305" s="43" t="s">
        <v>165</v>
      </c>
      <c r="D305" s="44" t="s">
        <v>828</v>
      </c>
      <c r="E305" s="45">
        <v>435</v>
      </c>
      <c r="F305" s="45">
        <v>790</v>
      </c>
      <c r="G305" s="45">
        <v>955.9</v>
      </c>
      <c r="H305" s="45">
        <v>355</v>
      </c>
      <c r="I305" s="46">
        <v>44.936708860759502</v>
      </c>
      <c r="J305" s="46">
        <v>81.609195402298852</v>
      </c>
      <c r="K305" s="47"/>
      <c r="L305" s="48"/>
      <c r="M305" s="47"/>
      <c r="N305" s="48"/>
    </row>
    <row r="306" spans="1:14" x14ac:dyDescent="0.2">
      <c r="A306" s="61" t="s">
        <v>125</v>
      </c>
      <c r="B306" s="61" t="s">
        <v>164</v>
      </c>
      <c r="C306" s="61" t="s">
        <v>165</v>
      </c>
      <c r="D306" s="62" t="s">
        <v>827</v>
      </c>
      <c r="E306" s="63">
        <v>498</v>
      </c>
      <c r="F306" s="63">
        <v>790</v>
      </c>
      <c r="G306" s="63">
        <v>955.9</v>
      </c>
      <c r="H306" s="63">
        <v>292</v>
      </c>
      <c r="I306" s="64">
        <v>36.962025316455701</v>
      </c>
      <c r="J306" s="64">
        <v>58.634538152610439</v>
      </c>
      <c r="K306" s="65">
        <v>63</v>
      </c>
      <c r="L306" s="66">
        <v>14.48275862068966</v>
      </c>
      <c r="M306" s="65">
        <v>0</v>
      </c>
      <c r="N306" s="66">
        <v>0</v>
      </c>
    </row>
    <row r="307" spans="1:14" x14ac:dyDescent="0.2">
      <c r="A307" s="61" t="s">
        <v>125</v>
      </c>
      <c r="B307" s="61" t="s">
        <v>164</v>
      </c>
      <c r="C307" s="61" t="s">
        <v>165</v>
      </c>
      <c r="D307" s="62" t="s">
        <v>829</v>
      </c>
      <c r="E307" s="63">
        <v>498</v>
      </c>
      <c r="F307" s="63">
        <v>790</v>
      </c>
      <c r="G307" s="63">
        <v>955.9</v>
      </c>
      <c r="H307" s="63">
        <v>292</v>
      </c>
      <c r="I307" s="64">
        <v>36.962025316455701</v>
      </c>
      <c r="J307" s="64">
        <v>58.634538152610439</v>
      </c>
      <c r="K307" s="65">
        <v>0</v>
      </c>
      <c r="L307" s="66">
        <v>0</v>
      </c>
      <c r="M307" s="65">
        <v>0</v>
      </c>
      <c r="N307" s="66">
        <v>0</v>
      </c>
    </row>
    <row r="308" spans="1:14" x14ac:dyDescent="0.2">
      <c r="A308" s="49" t="s">
        <v>125</v>
      </c>
      <c r="B308" s="49" t="s">
        <v>167</v>
      </c>
      <c r="C308" s="49" t="s">
        <v>168</v>
      </c>
      <c r="D308" s="50" t="s">
        <v>828</v>
      </c>
      <c r="E308" s="51">
        <v>636</v>
      </c>
      <c r="F308" s="51">
        <v>1155</v>
      </c>
      <c r="G308" s="51">
        <v>1397.55</v>
      </c>
      <c r="H308" s="51">
        <v>519</v>
      </c>
      <c r="I308" s="52">
        <v>44.935064935064943</v>
      </c>
      <c r="J308" s="52">
        <v>81.603773584905653</v>
      </c>
      <c r="K308" s="53"/>
      <c r="L308" s="54"/>
      <c r="M308" s="53"/>
      <c r="N308" s="54"/>
    </row>
    <row r="309" spans="1:14" x14ac:dyDescent="0.2">
      <c r="A309" s="55" t="s">
        <v>125</v>
      </c>
      <c r="B309" s="55" t="s">
        <v>167</v>
      </c>
      <c r="C309" s="55" t="s">
        <v>168</v>
      </c>
      <c r="D309" s="56" t="s">
        <v>827</v>
      </c>
      <c r="E309" s="57">
        <v>728</v>
      </c>
      <c r="F309" s="57">
        <v>1155</v>
      </c>
      <c r="G309" s="57">
        <v>1397.55</v>
      </c>
      <c r="H309" s="57">
        <v>427</v>
      </c>
      <c r="I309" s="58">
        <v>36.969696969696969</v>
      </c>
      <c r="J309" s="58">
        <v>58.653846153846153</v>
      </c>
      <c r="K309" s="59">
        <v>92</v>
      </c>
      <c r="L309" s="60">
        <v>14.46540880503145</v>
      </c>
      <c r="M309" s="59">
        <v>0</v>
      </c>
      <c r="N309" s="60">
        <v>0</v>
      </c>
    </row>
    <row r="310" spans="1:14" x14ac:dyDescent="0.2">
      <c r="A310" s="55" t="s">
        <v>125</v>
      </c>
      <c r="B310" s="55" t="s">
        <v>167</v>
      </c>
      <c r="C310" s="55" t="s">
        <v>168</v>
      </c>
      <c r="D310" s="56" t="s">
        <v>829</v>
      </c>
      <c r="E310" s="57">
        <v>728</v>
      </c>
      <c r="F310" s="57">
        <v>1155</v>
      </c>
      <c r="G310" s="57">
        <v>1397.55</v>
      </c>
      <c r="H310" s="57">
        <v>427</v>
      </c>
      <c r="I310" s="58">
        <v>36.969696969696969</v>
      </c>
      <c r="J310" s="58">
        <v>58.653846153846153</v>
      </c>
      <c r="K310" s="59">
        <v>0</v>
      </c>
      <c r="L310" s="60">
        <v>0</v>
      </c>
      <c r="M310" s="59">
        <v>0</v>
      </c>
      <c r="N310" s="60">
        <v>0</v>
      </c>
    </row>
    <row r="311" spans="1:14" x14ac:dyDescent="0.2">
      <c r="A311" s="43" t="s">
        <v>125</v>
      </c>
      <c r="B311" s="43" t="s">
        <v>170</v>
      </c>
      <c r="C311" s="43" t="s">
        <v>171</v>
      </c>
      <c r="D311" s="44" t="s">
        <v>828</v>
      </c>
      <c r="E311" s="45">
        <v>806</v>
      </c>
      <c r="F311" s="45">
        <v>1465</v>
      </c>
      <c r="G311" s="45">
        <v>1772.65</v>
      </c>
      <c r="H311" s="45">
        <v>659</v>
      </c>
      <c r="I311" s="46">
        <v>44.982935153583618</v>
      </c>
      <c r="J311" s="46">
        <v>81.761786600496279</v>
      </c>
      <c r="K311" s="47"/>
      <c r="L311" s="48"/>
      <c r="M311" s="47"/>
      <c r="N311" s="48"/>
    </row>
    <row r="312" spans="1:14" x14ac:dyDescent="0.2">
      <c r="A312" s="61" t="s">
        <v>125</v>
      </c>
      <c r="B312" s="61" t="s">
        <v>170</v>
      </c>
      <c r="C312" s="61" t="s">
        <v>171</v>
      </c>
      <c r="D312" s="62" t="s">
        <v>827</v>
      </c>
      <c r="E312" s="63">
        <v>923</v>
      </c>
      <c r="F312" s="63">
        <v>1465</v>
      </c>
      <c r="G312" s="63">
        <v>1772.65</v>
      </c>
      <c r="H312" s="63">
        <v>542</v>
      </c>
      <c r="I312" s="64">
        <v>36.996587030716718</v>
      </c>
      <c r="J312" s="64">
        <v>58.721560130010829</v>
      </c>
      <c r="K312" s="65">
        <v>117</v>
      </c>
      <c r="L312" s="66">
        <v>14.516129032258069</v>
      </c>
      <c r="M312" s="65">
        <v>0</v>
      </c>
      <c r="N312" s="66">
        <v>0</v>
      </c>
    </row>
    <row r="313" spans="1:14" x14ac:dyDescent="0.2">
      <c r="A313" s="61" t="s">
        <v>125</v>
      </c>
      <c r="B313" s="61" t="s">
        <v>170</v>
      </c>
      <c r="C313" s="61" t="s">
        <v>171</v>
      </c>
      <c r="D313" s="62" t="s">
        <v>829</v>
      </c>
      <c r="E313" s="63">
        <v>923</v>
      </c>
      <c r="F313" s="63">
        <v>1465</v>
      </c>
      <c r="G313" s="63">
        <v>1772.65</v>
      </c>
      <c r="H313" s="63">
        <v>542</v>
      </c>
      <c r="I313" s="64">
        <v>36.996587030716718</v>
      </c>
      <c r="J313" s="64">
        <v>58.721560130010829</v>
      </c>
      <c r="K313" s="65">
        <v>0</v>
      </c>
      <c r="L313" s="66">
        <v>0</v>
      </c>
      <c r="M313" s="65">
        <v>0</v>
      </c>
      <c r="N313" s="66">
        <v>0</v>
      </c>
    </row>
    <row r="314" spans="1:14" x14ac:dyDescent="0.2">
      <c r="A314" s="49" t="s">
        <v>125</v>
      </c>
      <c r="B314" s="49" t="s">
        <v>173</v>
      </c>
      <c r="C314" s="49" t="s">
        <v>174</v>
      </c>
      <c r="D314" s="50" t="s">
        <v>828</v>
      </c>
      <c r="E314" s="51">
        <v>229</v>
      </c>
      <c r="F314" s="51">
        <v>415</v>
      </c>
      <c r="G314" s="51">
        <v>502.15</v>
      </c>
      <c r="H314" s="51">
        <v>186</v>
      </c>
      <c r="I314" s="52">
        <v>44.819277108433738</v>
      </c>
      <c r="J314" s="52">
        <v>81.222707423580786</v>
      </c>
      <c r="K314" s="53"/>
      <c r="L314" s="54"/>
      <c r="M314" s="53"/>
      <c r="N314" s="54"/>
    </row>
    <row r="315" spans="1:14" x14ac:dyDescent="0.2">
      <c r="A315" s="55" t="s">
        <v>125</v>
      </c>
      <c r="B315" s="55" t="s">
        <v>173</v>
      </c>
      <c r="C315" s="55" t="s">
        <v>174</v>
      </c>
      <c r="D315" s="56" t="s">
        <v>827</v>
      </c>
      <c r="E315" s="57">
        <v>261</v>
      </c>
      <c r="F315" s="57">
        <v>415</v>
      </c>
      <c r="G315" s="57">
        <v>502.15</v>
      </c>
      <c r="H315" s="57">
        <v>154</v>
      </c>
      <c r="I315" s="58">
        <v>37.108433734939759</v>
      </c>
      <c r="J315" s="58">
        <v>59.003831417624518</v>
      </c>
      <c r="K315" s="59">
        <v>32</v>
      </c>
      <c r="L315" s="60">
        <v>13.97379912663755</v>
      </c>
      <c r="M315" s="59">
        <v>0</v>
      </c>
      <c r="N315" s="60">
        <v>0</v>
      </c>
    </row>
    <row r="316" spans="1:14" x14ac:dyDescent="0.2">
      <c r="A316" s="55" t="s">
        <v>125</v>
      </c>
      <c r="B316" s="55" t="s">
        <v>173</v>
      </c>
      <c r="C316" s="55" t="s">
        <v>174</v>
      </c>
      <c r="D316" s="56" t="s">
        <v>829</v>
      </c>
      <c r="E316" s="57">
        <v>262</v>
      </c>
      <c r="F316" s="57">
        <v>415</v>
      </c>
      <c r="G316" s="57">
        <v>502.15</v>
      </c>
      <c r="H316" s="57">
        <v>153</v>
      </c>
      <c r="I316" s="58">
        <v>36.867469879518069</v>
      </c>
      <c r="J316" s="58">
        <v>58.396946564885504</v>
      </c>
      <c r="K316" s="59">
        <v>1</v>
      </c>
      <c r="L316" s="60">
        <v>0.38314176245210718</v>
      </c>
      <c r="M316" s="59">
        <v>0</v>
      </c>
      <c r="N316" s="60">
        <v>0</v>
      </c>
    </row>
    <row r="317" spans="1:14" x14ac:dyDescent="0.2">
      <c r="A317" s="43" t="s">
        <v>125</v>
      </c>
      <c r="B317" s="43" t="s">
        <v>176</v>
      </c>
      <c r="C317" s="43" t="s">
        <v>177</v>
      </c>
      <c r="D317" s="44" t="s">
        <v>828</v>
      </c>
      <c r="E317" s="45">
        <v>176</v>
      </c>
      <c r="F317" s="45">
        <v>320</v>
      </c>
      <c r="G317" s="45">
        <v>387.2</v>
      </c>
      <c r="H317" s="45">
        <v>144</v>
      </c>
      <c r="I317" s="46">
        <v>45</v>
      </c>
      <c r="J317" s="46">
        <v>81.818181818181827</v>
      </c>
      <c r="K317" s="47"/>
      <c r="L317" s="48"/>
      <c r="M317" s="47"/>
      <c r="N317" s="48"/>
    </row>
    <row r="318" spans="1:14" x14ac:dyDescent="0.2">
      <c r="A318" s="61" t="s">
        <v>125</v>
      </c>
      <c r="B318" s="61" t="s">
        <v>176</v>
      </c>
      <c r="C318" s="61" t="s">
        <v>177</v>
      </c>
      <c r="D318" s="62" t="s">
        <v>827</v>
      </c>
      <c r="E318" s="63">
        <v>202</v>
      </c>
      <c r="F318" s="63">
        <v>320</v>
      </c>
      <c r="G318" s="63">
        <v>387.2</v>
      </c>
      <c r="H318" s="63">
        <v>118</v>
      </c>
      <c r="I318" s="64">
        <v>36.875</v>
      </c>
      <c r="J318" s="64">
        <v>58.415841584158407</v>
      </c>
      <c r="K318" s="65">
        <v>26</v>
      </c>
      <c r="L318" s="66">
        <v>14.77272727272727</v>
      </c>
      <c r="M318" s="65">
        <v>0</v>
      </c>
      <c r="N318" s="66">
        <v>0</v>
      </c>
    </row>
    <row r="319" spans="1:14" x14ac:dyDescent="0.2">
      <c r="A319" s="61" t="s">
        <v>125</v>
      </c>
      <c r="B319" s="61" t="s">
        <v>176</v>
      </c>
      <c r="C319" s="61" t="s">
        <v>177</v>
      </c>
      <c r="D319" s="62" t="s">
        <v>829</v>
      </c>
      <c r="E319" s="63">
        <v>202</v>
      </c>
      <c r="F319" s="63">
        <v>320</v>
      </c>
      <c r="G319" s="63">
        <v>387.2</v>
      </c>
      <c r="H319" s="63">
        <v>118</v>
      </c>
      <c r="I319" s="64">
        <v>36.875</v>
      </c>
      <c r="J319" s="64">
        <v>58.415841584158407</v>
      </c>
      <c r="K319" s="65">
        <v>0</v>
      </c>
      <c r="L319" s="66">
        <v>0</v>
      </c>
      <c r="M319" s="65">
        <v>0</v>
      </c>
      <c r="N319" s="66">
        <v>0</v>
      </c>
    </row>
    <row r="320" spans="1:14" x14ac:dyDescent="0.2">
      <c r="A320" s="49" t="s">
        <v>125</v>
      </c>
      <c r="B320" s="49" t="s">
        <v>179</v>
      </c>
      <c r="C320" s="49" t="s">
        <v>180</v>
      </c>
      <c r="D320" s="50" t="s">
        <v>828</v>
      </c>
      <c r="E320" s="51">
        <v>1736</v>
      </c>
      <c r="F320" s="51">
        <v>3155</v>
      </c>
      <c r="G320" s="51">
        <v>3817.55</v>
      </c>
      <c r="H320" s="51">
        <v>1419</v>
      </c>
      <c r="I320" s="52">
        <v>44.97622820919176</v>
      </c>
      <c r="J320" s="52">
        <v>81.739631336405523</v>
      </c>
      <c r="K320" s="53"/>
      <c r="L320" s="54"/>
      <c r="M320" s="53"/>
      <c r="N320" s="54"/>
    </row>
    <row r="321" spans="1:14" x14ac:dyDescent="0.2">
      <c r="A321" s="55" t="s">
        <v>125</v>
      </c>
      <c r="B321" s="55" t="s">
        <v>179</v>
      </c>
      <c r="C321" s="55" t="s">
        <v>180</v>
      </c>
      <c r="D321" s="56" t="s">
        <v>827</v>
      </c>
      <c r="E321" s="57">
        <v>1988</v>
      </c>
      <c r="F321" s="57">
        <v>3155</v>
      </c>
      <c r="G321" s="57">
        <v>3817.55</v>
      </c>
      <c r="H321" s="57">
        <v>1167</v>
      </c>
      <c r="I321" s="58">
        <v>36.988906497622821</v>
      </c>
      <c r="J321" s="58">
        <v>58.70221327967807</v>
      </c>
      <c r="K321" s="59">
        <v>252</v>
      </c>
      <c r="L321" s="60">
        <v>14.516129032258069</v>
      </c>
      <c r="M321" s="59">
        <v>0</v>
      </c>
      <c r="N321" s="60">
        <v>0</v>
      </c>
    </row>
    <row r="322" spans="1:14" x14ac:dyDescent="0.2">
      <c r="A322" s="55" t="s">
        <v>125</v>
      </c>
      <c r="B322" s="55" t="s">
        <v>179</v>
      </c>
      <c r="C322" s="55" t="s">
        <v>180</v>
      </c>
      <c r="D322" s="56" t="s">
        <v>829</v>
      </c>
      <c r="E322" s="57">
        <v>1988</v>
      </c>
      <c r="F322" s="57">
        <v>3155</v>
      </c>
      <c r="G322" s="57">
        <v>3817.55</v>
      </c>
      <c r="H322" s="57">
        <v>1167</v>
      </c>
      <c r="I322" s="58">
        <v>36.988906497622821</v>
      </c>
      <c r="J322" s="58">
        <v>58.70221327967807</v>
      </c>
      <c r="K322" s="59">
        <v>0</v>
      </c>
      <c r="L322" s="60">
        <v>0</v>
      </c>
      <c r="M322" s="59">
        <v>0</v>
      </c>
      <c r="N322" s="60">
        <v>0</v>
      </c>
    </row>
    <row r="323" spans="1:14" x14ac:dyDescent="0.2">
      <c r="A323" s="43" t="s">
        <v>125</v>
      </c>
      <c r="B323" s="43" t="s">
        <v>182</v>
      </c>
      <c r="C323" s="43" t="s">
        <v>183</v>
      </c>
      <c r="D323" s="44" t="s">
        <v>828</v>
      </c>
      <c r="E323" s="45">
        <v>1906</v>
      </c>
      <c r="F323" s="45">
        <v>3465</v>
      </c>
      <c r="G323" s="45">
        <v>4192.6499999999996</v>
      </c>
      <c r="H323" s="45">
        <v>1559</v>
      </c>
      <c r="I323" s="46">
        <v>44.992784992784998</v>
      </c>
      <c r="J323" s="46">
        <v>81.794333683105975</v>
      </c>
      <c r="K323" s="47"/>
      <c r="L323" s="48"/>
      <c r="M323" s="47"/>
      <c r="N323" s="48"/>
    </row>
    <row r="324" spans="1:14" x14ac:dyDescent="0.2">
      <c r="A324" s="61" t="s">
        <v>125</v>
      </c>
      <c r="B324" s="61" t="s">
        <v>182</v>
      </c>
      <c r="C324" s="61" t="s">
        <v>183</v>
      </c>
      <c r="D324" s="62" t="s">
        <v>827</v>
      </c>
      <c r="E324" s="63">
        <v>2183</v>
      </c>
      <c r="F324" s="63">
        <v>3465</v>
      </c>
      <c r="G324" s="63">
        <v>4192.6499999999996</v>
      </c>
      <c r="H324" s="63">
        <v>1282</v>
      </c>
      <c r="I324" s="64">
        <v>36.998556998557</v>
      </c>
      <c r="J324" s="64">
        <v>58.726523133302798</v>
      </c>
      <c r="K324" s="65">
        <v>277</v>
      </c>
      <c r="L324" s="66">
        <v>14.53305351521511</v>
      </c>
      <c r="M324" s="65">
        <v>0</v>
      </c>
      <c r="N324" s="66">
        <v>0</v>
      </c>
    </row>
    <row r="325" spans="1:14" x14ac:dyDescent="0.2">
      <c r="A325" s="61" t="s">
        <v>125</v>
      </c>
      <c r="B325" s="61" t="s">
        <v>182</v>
      </c>
      <c r="C325" s="61" t="s">
        <v>183</v>
      </c>
      <c r="D325" s="62" t="s">
        <v>829</v>
      </c>
      <c r="E325" s="63">
        <v>2183</v>
      </c>
      <c r="F325" s="63">
        <v>3465</v>
      </c>
      <c r="G325" s="63">
        <v>4192.6499999999996</v>
      </c>
      <c r="H325" s="63">
        <v>1282</v>
      </c>
      <c r="I325" s="64">
        <v>36.998556998557</v>
      </c>
      <c r="J325" s="64">
        <v>58.726523133302798</v>
      </c>
      <c r="K325" s="65">
        <v>0</v>
      </c>
      <c r="L325" s="66">
        <v>0</v>
      </c>
      <c r="M325" s="65">
        <v>0</v>
      </c>
      <c r="N325" s="66">
        <v>0</v>
      </c>
    </row>
    <row r="326" spans="1:14" x14ac:dyDescent="0.2">
      <c r="A326" s="49" t="s">
        <v>125</v>
      </c>
      <c r="B326" s="49" t="s">
        <v>221</v>
      </c>
      <c r="C326" s="49" t="s">
        <v>222</v>
      </c>
      <c r="D326" s="50" t="s">
        <v>828</v>
      </c>
      <c r="E326" s="51">
        <v>443</v>
      </c>
      <c r="F326" s="51">
        <v>805</v>
      </c>
      <c r="G326" s="51">
        <v>974.05</v>
      </c>
      <c r="H326" s="51">
        <v>362</v>
      </c>
      <c r="I326" s="52">
        <v>44.968944099378881</v>
      </c>
      <c r="J326" s="52">
        <v>81.715575620767495</v>
      </c>
      <c r="K326" s="53"/>
      <c r="L326" s="54"/>
      <c r="M326" s="53"/>
      <c r="N326" s="54"/>
    </row>
    <row r="327" spans="1:14" x14ac:dyDescent="0.2">
      <c r="A327" s="55" t="s">
        <v>125</v>
      </c>
      <c r="B327" s="55" t="s">
        <v>221</v>
      </c>
      <c r="C327" s="55" t="s">
        <v>222</v>
      </c>
      <c r="D327" s="56" t="s">
        <v>827</v>
      </c>
      <c r="E327" s="57">
        <v>507</v>
      </c>
      <c r="F327" s="57">
        <v>805</v>
      </c>
      <c r="G327" s="57">
        <v>974.05</v>
      </c>
      <c r="H327" s="57">
        <v>298</v>
      </c>
      <c r="I327" s="58">
        <v>37.018633540372669</v>
      </c>
      <c r="J327" s="58">
        <v>58.777120315581847</v>
      </c>
      <c r="K327" s="59">
        <v>64</v>
      </c>
      <c r="L327" s="60">
        <v>14.446952595936789</v>
      </c>
      <c r="M327" s="59">
        <v>0</v>
      </c>
      <c r="N327" s="60">
        <v>0</v>
      </c>
    </row>
    <row r="328" spans="1:14" x14ac:dyDescent="0.2">
      <c r="A328" s="55" t="s">
        <v>125</v>
      </c>
      <c r="B328" s="55" t="s">
        <v>221</v>
      </c>
      <c r="C328" s="55" t="s">
        <v>222</v>
      </c>
      <c r="D328" s="56" t="s">
        <v>829</v>
      </c>
      <c r="E328" s="57">
        <v>508</v>
      </c>
      <c r="F328" s="57">
        <v>805</v>
      </c>
      <c r="G328" s="57">
        <v>974.05</v>
      </c>
      <c r="H328" s="57">
        <v>297</v>
      </c>
      <c r="I328" s="58">
        <v>36.894409937888199</v>
      </c>
      <c r="J328" s="58">
        <v>58.464566929133852</v>
      </c>
      <c r="K328" s="59">
        <v>1</v>
      </c>
      <c r="L328" s="60">
        <v>0.1972386587771203</v>
      </c>
      <c r="M328" s="59">
        <v>0</v>
      </c>
      <c r="N328" s="60">
        <v>0</v>
      </c>
    </row>
    <row r="329" spans="1:14" x14ac:dyDescent="0.2">
      <c r="A329" s="43" t="s">
        <v>125</v>
      </c>
      <c r="B329" s="43" t="s">
        <v>224</v>
      </c>
      <c r="C329" s="43" t="s">
        <v>225</v>
      </c>
      <c r="D329" s="44" t="s">
        <v>828</v>
      </c>
      <c r="E329" s="45">
        <v>630</v>
      </c>
      <c r="F329" s="45">
        <v>1145</v>
      </c>
      <c r="G329" s="45">
        <v>1385.45</v>
      </c>
      <c r="H329" s="45">
        <v>515</v>
      </c>
      <c r="I329" s="46">
        <v>44.978165938864628</v>
      </c>
      <c r="J329" s="46">
        <v>81.746031746031747</v>
      </c>
      <c r="K329" s="47"/>
      <c r="L329" s="48"/>
      <c r="M329" s="47"/>
      <c r="N329" s="48"/>
    </row>
    <row r="330" spans="1:14" x14ac:dyDescent="0.2">
      <c r="A330" s="61" t="s">
        <v>125</v>
      </c>
      <c r="B330" s="61" t="s">
        <v>224</v>
      </c>
      <c r="C330" s="61" t="s">
        <v>225</v>
      </c>
      <c r="D330" s="62" t="s">
        <v>827</v>
      </c>
      <c r="E330" s="63">
        <v>721</v>
      </c>
      <c r="F330" s="63">
        <v>1145</v>
      </c>
      <c r="G330" s="63">
        <v>1385.45</v>
      </c>
      <c r="H330" s="63">
        <v>424</v>
      </c>
      <c r="I330" s="64">
        <v>37.030567685589517</v>
      </c>
      <c r="J330" s="64">
        <v>58.807212205270453</v>
      </c>
      <c r="K330" s="65">
        <v>91</v>
      </c>
      <c r="L330" s="66">
        <v>14.444444444444439</v>
      </c>
      <c r="M330" s="65">
        <v>0</v>
      </c>
      <c r="N330" s="66">
        <v>0</v>
      </c>
    </row>
    <row r="331" spans="1:14" x14ac:dyDescent="0.2">
      <c r="A331" s="61" t="s">
        <v>125</v>
      </c>
      <c r="B331" s="61" t="s">
        <v>224</v>
      </c>
      <c r="C331" s="61" t="s">
        <v>225</v>
      </c>
      <c r="D331" s="62" t="s">
        <v>829</v>
      </c>
      <c r="E331" s="63">
        <v>722</v>
      </c>
      <c r="F331" s="63">
        <v>1145</v>
      </c>
      <c r="G331" s="63">
        <v>1385.45</v>
      </c>
      <c r="H331" s="63">
        <v>423</v>
      </c>
      <c r="I331" s="64">
        <v>36.943231441048027</v>
      </c>
      <c r="J331" s="64">
        <v>58.587257617728532</v>
      </c>
      <c r="K331" s="65">
        <v>1</v>
      </c>
      <c r="L331" s="66">
        <v>0.13869625520110959</v>
      </c>
      <c r="M331" s="65">
        <v>0</v>
      </c>
      <c r="N331" s="66">
        <v>0</v>
      </c>
    </row>
    <row r="332" spans="1:14" x14ac:dyDescent="0.2">
      <c r="A332" s="49" t="s">
        <v>125</v>
      </c>
      <c r="B332" s="49" t="s">
        <v>227</v>
      </c>
      <c r="C332" s="49" t="s">
        <v>228</v>
      </c>
      <c r="D332" s="50" t="s">
        <v>828</v>
      </c>
      <c r="E332" s="51">
        <v>872</v>
      </c>
      <c r="F332" s="51">
        <v>1585</v>
      </c>
      <c r="G332" s="51">
        <v>1917.85</v>
      </c>
      <c r="H332" s="51">
        <v>713</v>
      </c>
      <c r="I332" s="52">
        <v>44.98422712933754</v>
      </c>
      <c r="J332" s="52">
        <v>81.766055045871553</v>
      </c>
      <c r="K332" s="53"/>
      <c r="L332" s="54"/>
      <c r="M332" s="53"/>
      <c r="N332" s="54"/>
    </row>
    <row r="333" spans="1:14" x14ac:dyDescent="0.2">
      <c r="A333" s="55" t="s">
        <v>125</v>
      </c>
      <c r="B333" s="55" t="s">
        <v>227</v>
      </c>
      <c r="C333" s="55" t="s">
        <v>228</v>
      </c>
      <c r="D333" s="56" t="s">
        <v>827</v>
      </c>
      <c r="E333" s="57">
        <v>999</v>
      </c>
      <c r="F333" s="57">
        <v>1585</v>
      </c>
      <c r="G333" s="57">
        <v>1917.85</v>
      </c>
      <c r="H333" s="57">
        <v>586</v>
      </c>
      <c r="I333" s="58">
        <v>36.971608832807583</v>
      </c>
      <c r="J333" s="58">
        <v>58.658658658658659</v>
      </c>
      <c r="K333" s="59">
        <v>127</v>
      </c>
      <c r="L333" s="60">
        <v>14.56422018348624</v>
      </c>
      <c r="M333" s="59">
        <v>0</v>
      </c>
      <c r="N333" s="60">
        <v>0</v>
      </c>
    </row>
    <row r="334" spans="1:14" x14ac:dyDescent="0.2">
      <c r="A334" s="55" t="s">
        <v>125</v>
      </c>
      <c r="B334" s="55" t="s">
        <v>227</v>
      </c>
      <c r="C334" s="55" t="s">
        <v>228</v>
      </c>
      <c r="D334" s="56" t="s">
        <v>829</v>
      </c>
      <c r="E334" s="57">
        <v>999</v>
      </c>
      <c r="F334" s="57">
        <v>1585</v>
      </c>
      <c r="G334" s="57">
        <v>1917.85</v>
      </c>
      <c r="H334" s="57">
        <v>586</v>
      </c>
      <c r="I334" s="58">
        <v>36.971608832807583</v>
      </c>
      <c r="J334" s="58">
        <v>58.658658658658659</v>
      </c>
      <c r="K334" s="59">
        <v>0</v>
      </c>
      <c r="L334" s="60">
        <v>0</v>
      </c>
      <c r="M334" s="59">
        <v>0</v>
      </c>
      <c r="N334" s="60">
        <v>0</v>
      </c>
    </row>
    <row r="335" spans="1:14" x14ac:dyDescent="0.2">
      <c r="A335" s="43" t="s">
        <v>125</v>
      </c>
      <c r="B335" s="43" t="s">
        <v>230</v>
      </c>
      <c r="C335" s="43" t="s">
        <v>231</v>
      </c>
      <c r="D335" s="44" t="s">
        <v>828</v>
      </c>
      <c r="E335" s="45">
        <v>86</v>
      </c>
      <c r="F335" s="45">
        <v>155</v>
      </c>
      <c r="G335" s="45">
        <v>187.55</v>
      </c>
      <c r="H335" s="45">
        <v>69</v>
      </c>
      <c r="I335" s="46">
        <v>44.516129032258057</v>
      </c>
      <c r="J335" s="46">
        <v>80.232558139534888</v>
      </c>
      <c r="K335" s="47"/>
      <c r="L335" s="48"/>
      <c r="M335" s="47"/>
      <c r="N335" s="48"/>
    </row>
    <row r="336" spans="1:14" x14ac:dyDescent="0.2">
      <c r="A336" s="61" t="s">
        <v>125</v>
      </c>
      <c r="B336" s="61" t="s">
        <v>230</v>
      </c>
      <c r="C336" s="61" t="s">
        <v>231</v>
      </c>
      <c r="D336" s="62" t="s">
        <v>827</v>
      </c>
      <c r="E336" s="63">
        <v>98</v>
      </c>
      <c r="F336" s="63">
        <v>155</v>
      </c>
      <c r="G336" s="63">
        <v>187.55</v>
      </c>
      <c r="H336" s="63">
        <v>57</v>
      </c>
      <c r="I336" s="64">
        <v>36.774193548387103</v>
      </c>
      <c r="J336" s="64">
        <v>58.163265306122447</v>
      </c>
      <c r="K336" s="65">
        <v>12</v>
      </c>
      <c r="L336" s="66">
        <v>13.95348837209302</v>
      </c>
      <c r="M336" s="65">
        <v>0</v>
      </c>
      <c r="N336" s="66">
        <v>0</v>
      </c>
    </row>
    <row r="337" spans="1:14" x14ac:dyDescent="0.2">
      <c r="A337" s="61" t="s">
        <v>125</v>
      </c>
      <c r="B337" s="61" t="s">
        <v>230</v>
      </c>
      <c r="C337" s="61" t="s">
        <v>231</v>
      </c>
      <c r="D337" s="62" t="s">
        <v>829</v>
      </c>
      <c r="E337" s="63">
        <v>98</v>
      </c>
      <c r="F337" s="63">
        <v>155</v>
      </c>
      <c r="G337" s="63">
        <v>187.55</v>
      </c>
      <c r="H337" s="63">
        <v>57</v>
      </c>
      <c r="I337" s="64">
        <v>36.774193548387103</v>
      </c>
      <c r="J337" s="64">
        <v>58.163265306122447</v>
      </c>
      <c r="K337" s="65">
        <v>0</v>
      </c>
      <c r="L337" s="66">
        <v>0</v>
      </c>
      <c r="M337" s="65">
        <v>0</v>
      </c>
      <c r="N337" s="66">
        <v>0</v>
      </c>
    </row>
    <row r="338" spans="1:14" x14ac:dyDescent="0.2">
      <c r="A338" s="49" t="s">
        <v>125</v>
      </c>
      <c r="B338" s="49" t="s">
        <v>453</v>
      </c>
      <c r="C338" s="49" t="s">
        <v>454</v>
      </c>
      <c r="D338" s="50" t="s">
        <v>828</v>
      </c>
      <c r="E338" s="51">
        <v>99</v>
      </c>
      <c r="F338" s="51">
        <v>180</v>
      </c>
      <c r="G338" s="51">
        <v>217.8</v>
      </c>
      <c r="H338" s="51">
        <v>81</v>
      </c>
      <c r="I338" s="52">
        <v>45</v>
      </c>
      <c r="J338" s="52">
        <v>81.818181818181827</v>
      </c>
      <c r="K338" s="53"/>
      <c r="L338" s="54"/>
      <c r="M338" s="53"/>
      <c r="N338" s="54"/>
    </row>
    <row r="339" spans="1:14" x14ac:dyDescent="0.2">
      <c r="A339" s="55" t="s">
        <v>125</v>
      </c>
      <c r="B339" s="55" t="s">
        <v>453</v>
      </c>
      <c r="C339" s="55" t="s">
        <v>454</v>
      </c>
      <c r="D339" s="56" t="s">
        <v>829</v>
      </c>
      <c r="E339" s="57">
        <v>114</v>
      </c>
      <c r="F339" s="57">
        <v>180</v>
      </c>
      <c r="G339" s="57">
        <v>217.8</v>
      </c>
      <c r="H339" s="57">
        <v>66</v>
      </c>
      <c r="I339" s="58">
        <v>36.666666666666657</v>
      </c>
      <c r="J339" s="58">
        <v>57.894736842105267</v>
      </c>
      <c r="K339" s="59">
        <v>15</v>
      </c>
      <c r="L339" s="60">
        <v>15.15151515151515</v>
      </c>
      <c r="M339" s="59">
        <v>0</v>
      </c>
      <c r="N339" s="60">
        <v>0</v>
      </c>
    </row>
    <row r="340" spans="1:14" x14ac:dyDescent="0.2">
      <c r="A340" s="43" t="s">
        <v>125</v>
      </c>
      <c r="B340" s="43" t="s">
        <v>453</v>
      </c>
      <c r="C340" s="43" t="s">
        <v>878</v>
      </c>
      <c r="D340" s="44" t="s">
        <v>827</v>
      </c>
      <c r="E340" s="45">
        <v>1509</v>
      </c>
      <c r="F340" s="45">
        <v>180</v>
      </c>
      <c r="G340" s="45">
        <v>217.8</v>
      </c>
      <c r="H340" s="45">
        <v>-1329</v>
      </c>
      <c r="I340" s="46">
        <v>-738.33333333333337</v>
      </c>
      <c r="J340" s="46">
        <v>-88.071570576540765</v>
      </c>
      <c r="K340" s="47"/>
      <c r="L340" s="48"/>
      <c r="M340" s="47"/>
      <c r="N340" s="48"/>
    </row>
    <row r="341" spans="1:14" x14ac:dyDescent="0.2">
      <c r="A341" s="49" t="s">
        <v>125</v>
      </c>
      <c r="B341" s="49" t="s">
        <v>450</v>
      </c>
      <c r="C341" s="49" t="s">
        <v>457</v>
      </c>
      <c r="D341" s="50" t="s">
        <v>827</v>
      </c>
      <c r="E341" s="51">
        <v>939</v>
      </c>
      <c r="F341" s="51">
        <v>65</v>
      </c>
      <c r="G341" s="51">
        <v>78.650000000000006</v>
      </c>
      <c r="H341" s="51">
        <v>-874</v>
      </c>
      <c r="I341" s="52">
        <v>-1344.615384615385</v>
      </c>
      <c r="J341" s="52">
        <v>-93.077742279020242</v>
      </c>
      <c r="K341" s="53"/>
      <c r="L341" s="54"/>
      <c r="M341" s="53"/>
      <c r="N341" s="54"/>
    </row>
    <row r="342" spans="1:14" x14ac:dyDescent="0.2">
      <c r="A342" s="43" t="s">
        <v>125</v>
      </c>
      <c r="B342" s="43" t="s">
        <v>450</v>
      </c>
      <c r="C342" s="43" t="s">
        <v>451</v>
      </c>
      <c r="D342" s="44" t="s">
        <v>828</v>
      </c>
      <c r="E342" s="45">
        <v>36</v>
      </c>
      <c r="F342" s="45">
        <v>65</v>
      </c>
      <c r="G342" s="45">
        <v>78.650000000000006</v>
      </c>
      <c r="H342" s="45">
        <v>29</v>
      </c>
      <c r="I342" s="46">
        <v>44.61538461538462</v>
      </c>
      <c r="J342" s="46">
        <v>80.555555555555557</v>
      </c>
      <c r="K342" s="47"/>
      <c r="L342" s="48"/>
      <c r="M342" s="47"/>
      <c r="N342" s="48"/>
    </row>
    <row r="343" spans="1:14" x14ac:dyDescent="0.2">
      <c r="A343" s="61" t="s">
        <v>125</v>
      </c>
      <c r="B343" s="61" t="s">
        <v>450</v>
      </c>
      <c r="C343" s="61" t="s">
        <v>451</v>
      </c>
      <c r="D343" s="62" t="s">
        <v>829</v>
      </c>
      <c r="E343" s="63">
        <v>41</v>
      </c>
      <c r="F343" s="63">
        <v>65</v>
      </c>
      <c r="G343" s="63">
        <v>78.650000000000006</v>
      </c>
      <c r="H343" s="63">
        <v>24</v>
      </c>
      <c r="I343" s="64">
        <v>36.923076923076927</v>
      </c>
      <c r="J343" s="64">
        <v>58.536585365853647</v>
      </c>
      <c r="K343" s="65">
        <v>5</v>
      </c>
      <c r="L343" s="66">
        <v>13.888888888888889</v>
      </c>
      <c r="M343" s="65">
        <v>0</v>
      </c>
      <c r="N343" s="66">
        <v>0</v>
      </c>
    </row>
    <row r="344" spans="1:14" x14ac:dyDescent="0.2">
      <c r="A344" s="49" t="s">
        <v>125</v>
      </c>
      <c r="B344" s="49" t="s">
        <v>447</v>
      </c>
      <c r="C344" s="49" t="s">
        <v>879</v>
      </c>
      <c r="D344" s="50" t="s">
        <v>827</v>
      </c>
      <c r="E344" s="51">
        <v>113</v>
      </c>
      <c r="F344" s="51">
        <v>135</v>
      </c>
      <c r="G344" s="51">
        <v>163.35</v>
      </c>
      <c r="H344" s="51">
        <v>22</v>
      </c>
      <c r="I344" s="52">
        <v>16.296296296296301</v>
      </c>
      <c r="J344" s="52">
        <v>19.46902654867257</v>
      </c>
      <c r="K344" s="53"/>
      <c r="L344" s="54"/>
      <c r="M344" s="53"/>
      <c r="N344" s="54"/>
    </row>
    <row r="345" spans="1:14" x14ac:dyDescent="0.2">
      <c r="A345" s="43" t="s">
        <v>125</v>
      </c>
      <c r="B345" s="43" t="s">
        <v>447</v>
      </c>
      <c r="C345" s="43" t="s">
        <v>448</v>
      </c>
      <c r="D345" s="44" t="s">
        <v>828</v>
      </c>
      <c r="E345" s="45">
        <v>75</v>
      </c>
      <c r="F345" s="45">
        <v>135</v>
      </c>
      <c r="G345" s="45">
        <v>163.35</v>
      </c>
      <c r="H345" s="45">
        <v>60</v>
      </c>
      <c r="I345" s="46">
        <v>44.444444444444443</v>
      </c>
      <c r="J345" s="46">
        <v>80</v>
      </c>
      <c r="K345" s="47"/>
      <c r="L345" s="48"/>
      <c r="M345" s="47"/>
      <c r="N345" s="48"/>
    </row>
    <row r="346" spans="1:14" x14ac:dyDescent="0.2">
      <c r="A346" s="61" t="s">
        <v>125</v>
      </c>
      <c r="B346" s="61" t="s">
        <v>447</v>
      </c>
      <c r="C346" s="61" t="s">
        <v>448</v>
      </c>
      <c r="D346" s="62" t="s">
        <v>829</v>
      </c>
      <c r="E346" s="63">
        <v>86</v>
      </c>
      <c r="F346" s="63">
        <v>135</v>
      </c>
      <c r="G346" s="63">
        <v>163.35</v>
      </c>
      <c r="H346" s="63">
        <v>49</v>
      </c>
      <c r="I346" s="64">
        <v>36.296296296296298</v>
      </c>
      <c r="J346" s="64">
        <v>56.97674418604651</v>
      </c>
      <c r="K346" s="65">
        <v>11</v>
      </c>
      <c r="L346" s="66">
        <v>14.66666666666667</v>
      </c>
      <c r="M346" s="65">
        <v>0</v>
      </c>
      <c r="N346" s="66">
        <v>0</v>
      </c>
    </row>
    <row r="347" spans="1:14" x14ac:dyDescent="0.2">
      <c r="A347" s="49" t="s">
        <v>125</v>
      </c>
      <c r="B347" s="49" t="s">
        <v>441</v>
      </c>
      <c r="C347" s="49" t="s">
        <v>442</v>
      </c>
      <c r="D347" s="50" t="s">
        <v>828</v>
      </c>
      <c r="E347" s="51">
        <v>165</v>
      </c>
      <c r="F347" s="51">
        <v>300</v>
      </c>
      <c r="G347" s="51">
        <v>363</v>
      </c>
      <c r="H347" s="51">
        <v>135</v>
      </c>
      <c r="I347" s="52">
        <v>45</v>
      </c>
      <c r="J347" s="52">
        <v>81.818181818181827</v>
      </c>
      <c r="K347" s="53"/>
      <c r="L347" s="54"/>
      <c r="M347" s="53"/>
      <c r="N347" s="54"/>
    </row>
    <row r="348" spans="1:14" x14ac:dyDescent="0.2">
      <c r="A348" s="55" t="s">
        <v>125</v>
      </c>
      <c r="B348" s="55" t="s">
        <v>441</v>
      </c>
      <c r="C348" s="55" t="s">
        <v>880</v>
      </c>
      <c r="D348" s="56" t="s">
        <v>827</v>
      </c>
      <c r="E348" s="57">
        <v>85</v>
      </c>
      <c r="F348" s="57">
        <v>300</v>
      </c>
      <c r="G348" s="57">
        <v>363</v>
      </c>
      <c r="H348" s="57">
        <v>215</v>
      </c>
      <c r="I348" s="58">
        <v>71.666666666666671</v>
      </c>
      <c r="J348" s="58">
        <v>252.9411764705882</v>
      </c>
      <c r="K348" s="59">
        <v>-80</v>
      </c>
      <c r="L348" s="60">
        <v>-48.484848484848477</v>
      </c>
      <c r="M348" s="59">
        <v>0</v>
      </c>
      <c r="N348" s="60">
        <v>0</v>
      </c>
    </row>
    <row r="349" spans="1:14" x14ac:dyDescent="0.2">
      <c r="A349" s="55" t="s">
        <v>125</v>
      </c>
      <c r="B349" s="55" t="s">
        <v>441</v>
      </c>
      <c r="C349" s="55" t="s">
        <v>442</v>
      </c>
      <c r="D349" s="56" t="s">
        <v>829</v>
      </c>
      <c r="E349" s="57">
        <v>189</v>
      </c>
      <c r="F349" s="57">
        <v>300</v>
      </c>
      <c r="G349" s="57">
        <v>363</v>
      </c>
      <c r="H349" s="57">
        <v>111</v>
      </c>
      <c r="I349" s="58">
        <v>37</v>
      </c>
      <c r="J349" s="58">
        <v>58.730158730158728</v>
      </c>
      <c r="K349" s="59">
        <v>104</v>
      </c>
      <c r="L349" s="60">
        <v>122.35294117647059</v>
      </c>
      <c r="M349" s="59">
        <v>0</v>
      </c>
      <c r="N349" s="60">
        <v>0</v>
      </c>
    </row>
  </sheetData>
  <autoFilter ref="A1:N349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52"/>
  <sheetViews>
    <sheetView workbookViewId="0">
      <pane xSplit="4" ySplit="5" topLeftCell="E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0" customWidth="1"/>
    <col min="2" max="2" width="36" customWidth="1"/>
    <col min="3" max="3" width="14" customWidth="1"/>
    <col min="4" max="4" width="40" customWidth="1"/>
    <col min="5" max="6" width="13" customWidth="1"/>
    <col min="7" max="7" width="17" customWidth="1"/>
    <col min="8" max="11" width="13" customWidth="1"/>
    <col min="12" max="12" width="12" customWidth="1"/>
    <col min="13" max="15" width="13" customWidth="1"/>
    <col min="16" max="16" width="10" customWidth="1"/>
    <col min="17" max="17" width="13" customWidth="1"/>
  </cols>
  <sheetData>
    <row r="1" spans="1:17" ht="30" customHeight="1" x14ac:dyDescent="0.2">
      <c r="A1" s="158" t="s">
        <v>881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</row>
    <row r="2" spans="1:17" x14ac:dyDescent="0.2">
      <c r="A2" s="159" t="s">
        <v>882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</row>
    <row r="3" spans="1:17" x14ac:dyDescent="0.2">
      <c r="A3" s="159" t="s">
        <v>883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</row>
    <row r="5" spans="1:17" ht="38" customHeight="1" x14ac:dyDescent="0.2">
      <c r="A5" s="42" t="s">
        <v>111</v>
      </c>
      <c r="B5" s="42" t="s">
        <v>112</v>
      </c>
      <c r="C5" s="42" t="s">
        <v>113</v>
      </c>
      <c r="D5" s="42" t="s">
        <v>114</v>
      </c>
      <c r="E5" s="42" t="s">
        <v>884</v>
      </c>
      <c r="F5" s="42" t="s">
        <v>885</v>
      </c>
      <c r="G5" s="42" t="s">
        <v>886</v>
      </c>
      <c r="H5" s="42" t="s">
        <v>816</v>
      </c>
      <c r="I5" s="42" t="s">
        <v>887</v>
      </c>
      <c r="J5" s="42" t="s">
        <v>888</v>
      </c>
      <c r="K5" s="42" t="s">
        <v>889</v>
      </c>
      <c r="L5" s="42" t="s">
        <v>890</v>
      </c>
      <c r="M5" s="42" t="s">
        <v>891</v>
      </c>
      <c r="N5" s="42" t="s">
        <v>892</v>
      </c>
      <c r="O5" s="42" t="s">
        <v>893</v>
      </c>
      <c r="P5" s="42" t="s">
        <v>894</v>
      </c>
      <c r="Q5" s="42" t="s">
        <v>895</v>
      </c>
    </row>
    <row r="6" spans="1:17" ht="16" x14ac:dyDescent="0.2">
      <c r="A6" s="55" t="s">
        <v>125</v>
      </c>
      <c r="B6" s="67" t="s">
        <v>896</v>
      </c>
      <c r="C6" s="55" t="s">
        <v>426</v>
      </c>
      <c r="D6" s="55" t="s">
        <v>826</v>
      </c>
      <c r="E6" s="56" t="s">
        <v>827</v>
      </c>
      <c r="F6" s="56" t="s">
        <v>827</v>
      </c>
      <c r="G6" s="68" t="s">
        <v>897</v>
      </c>
      <c r="H6" s="57">
        <v>347</v>
      </c>
      <c r="I6" s="57">
        <v>145</v>
      </c>
      <c r="J6" s="57">
        <v>175.45</v>
      </c>
      <c r="K6" s="57">
        <v>-202</v>
      </c>
      <c r="L6" s="58">
        <v>-139.31034482758619</v>
      </c>
      <c r="M6" s="58">
        <v>-58.213256484149852</v>
      </c>
      <c r="N6" s="60"/>
      <c r="O6" s="60"/>
      <c r="P6" s="56">
        <v>0</v>
      </c>
      <c r="Q6" s="69"/>
    </row>
    <row r="7" spans="1:17" ht="16" x14ac:dyDescent="0.2">
      <c r="A7" s="61" t="s">
        <v>125</v>
      </c>
      <c r="B7" s="61" t="s">
        <v>425</v>
      </c>
      <c r="C7" s="61" t="s">
        <v>426</v>
      </c>
      <c r="D7" s="61" t="s">
        <v>427</v>
      </c>
      <c r="E7" s="62" t="s">
        <v>828</v>
      </c>
      <c r="F7" s="62" t="s">
        <v>829</v>
      </c>
      <c r="G7" s="70" t="s">
        <v>898</v>
      </c>
      <c r="H7" s="63">
        <v>92</v>
      </c>
      <c r="I7" s="63">
        <v>145</v>
      </c>
      <c r="J7" s="63">
        <v>175.45</v>
      </c>
      <c r="K7" s="63">
        <v>53</v>
      </c>
      <c r="L7" s="64">
        <v>36.551724137931032</v>
      </c>
      <c r="M7" s="64">
        <v>57.608695652173907</v>
      </c>
      <c r="N7" s="71">
        <v>15</v>
      </c>
      <c r="O7" s="71">
        <v>15</v>
      </c>
      <c r="P7" s="62">
        <v>1</v>
      </c>
      <c r="Q7" s="72" t="s">
        <v>899</v>
      </c>
    </row>
    <row r="8" spans="1:17" ht="16" x14ac:dyDescent="0.2">
      <c r="A8" s="55" t="s">
        <v>125</v>
      </c>
      <c r="B8" s="67" t="s">
        <v>896</v>
      </c>
      <c r="C8" s="55" t="s">
        <v>423</v>
      </c>
      <c r="D8" s="55" t="s">
        <v>830</v>
      </c>
      <c r="E8" s="56" t="s">
        <v>827</v>
      </c>
      <c r="F8" s="56" t="s">
        <v>827</v>
      </c>
      <c r="G8" s="68" t="s">
        <v>897</v>
      </c>
      <c r="H8" s="57">
        <v>302</v>
      </c>
      <c r="I8" s="57">
        <v>165</v>
      </c>
      <c r="J8" s="57">
        <v>199.65</v>
      </c>
      <c r="K8" s="57">
        <v>-137</v>
      </c>
      <c r="L8" s="58">
        <v>-83.030303030303031</v>
      </c>
      <c r="M8" s="58">
        <v>-45.364238410596023</v>
      </c>
      <c r="N8" s="60"/>
      <c r="O8" s="60"/>
      <c r="P8" s="56">
        <v>0</v>
      </c>
      <c r="Q8" s="69"/>
    </row>
    <row r="9" spans="1:17" ht="16" x14ac:dyDescent="0.2">
      <c r="A9" s="61" t="s">
        <v>125</v>
      </c>
      <c r="B9" s="61" t="s">
        <v>422</v>
      </c>
      <c r="C9" s="61" t="s">
        <v>423</v>
      </c>
      <c r="D9" s="61" t="s">
        <v>424</v>
      </c>
      <c r="E9" s="62" t="s">
        <v>828</v>
      </c>
      <c r="F9" s="62" t="s">
        <v>829</v>
      </c>
      <c r="G9" s="70" t="s">
        <v>898</v>
      </c>
      <c r="H9" s="63">
        <v>104</v>
      </c>
      <c r="I9" s="63">
        <v>165</v>
      </c>
      <c r="J9" s="63">
        <v>199.65</v>
      </c>
      <c r="K9" s="63">
        <v>61</v>
      </c>
      <c r="L9" s="64">
        <v>36.969696969696969</v>
      </c>
      <c r="M9" s="64">
        <v>58.653846153846153</v>
      </c>
      <c r="N9" s="71">
        <v>14.285714285714279</v>
      </c>
      <c r="O9" s="71">
        <v>14.285714285714279</v>
      </c>
      <c r="P9" s="62">
        <v>1</v>
      </c>
      <c r="Q9" s="72" t="s">
        <v>899</v>
      </c>
    </row>
    <row r="10" spans="1:17" ht="16" x14ac:dyDescent="0.2">
      <c r="A10" s="55" t="s">
        <v>125</v>
      </c>
      <c r="B10" s="67" t="s">
        <v>896</v>
      </c>
      <c r="C10" s="55" t="s">
        <v>435</v>
      </c>
      <c r="D10" s="55" t="s">
        <v>831</v>
      </c>
      <c r="E10" s="56" t="s">
        <v>827</v>
      </c>
      <c r="F10" s="56" t="s">
        <v>827</v>
      </c>
      <c r="G10" s="68" t="s">
        <v>897</v>
      </c>
      <c r="H10" s="57">
        <v>189</v>
      </c>
      <c r="I10" s="57">
        <v>95</v>
      </c>
      <c r="J10" s="57">
        <v>114.95</v>
      </c>
      <c r="K10" s="57">
        <v>-94</v>
      </c>
      <c r="L10" s="58">
        <v>-98.94736842105263</v>
      </c>
      <c r="M10" s="58">
        <v>-49.735449735449727</v>
      </c>
      <c r="N10" s="60"/>
      <c r="O10" s="60"/>
      <c r="P10" s="56">
        <v>0</v>
      </c>
      <c r="Q10" s="69"/>
    </row>
    <row r="11" spans="1:17" ht="16" x14ac:dyDescent="0.2">
      <c r="A11" s="61" t="s">
        <v>125</v>
      </c>
      <c r="B11" s="61" t="s">
        <v>434</v>
      </c>
      <c r="C11" s="61" t="s">
        <v>435</v>
      </c>
      <c r="D11" s="61" t="s">
        <v>436</v>
      </c>
      <c r="E11" s="62" t="s">
        <v>828</v>
      </c>
      <c r="F11" s="62" t="s">
        <v>829</v>
      </c>
      <c r="G11" s="70" t="s">
        <v>898</v>
      </c>
      <c r="H11" s="63">
        <v>60</v>
      </c>
      <c r="I11" s="63">
        <v>95</v>
      </c>
      <c r="J11" s="63">
        <v>114.95</v>
      </c>
      <c r="K11" s="63">
        <v>35</v>
      </c>
      <c r="L11" s="64">
        <v>36.84210526315789</v>
      </c>
      <c r="M11" s="64">
        <v>58.333333333333343</v>
      </c>
      <c r="N11" s="71">
        <v>13.20754716981132</v>
      </c>
      <c r="O11" s="71">
        <v>13.20754716981132</v>
      </c>
      <c r="P11" s="62">
        <v>1</v>
      </c>
      <c r="Q11" s="72" t="s">
        <v>899</v>
      </c>
    </row>
    <row r="12" spans="1:17" ht="16" x14ac:dyDescent="0.2">
      <c r="A12" s="55" t="s">
        <v>125</v>
      </c>
      <c r="B12" s="67" t="s">
        <v>896</v>
      </c>
      <c r="C12" s="55" t="s">
        <v>429</v>
      </c>
      <c r="D12" s="55" t="s">
        <v>832</v>
      </c>
      <c r="E12" s="56" t="s">
        <v>827</v>
      </c>
      <c r="F12" s="56" t="s">
        <v>827</v>
      </c>
      <c r="G12" s="68" t="s">
        <v>897</v>
      </c>
      <c r="H12" s="57">
        <v>60</v>
      </c>
      <c r="I12" s="57">
        <v>480</v>
      </c>
      <c r="J12" s="57">
        <v>580.79999999999995</v>
      </c>
      <c r="K12" s="57">
        <v>420</v>
      </c>
      <c r="L12" s="58">
        <v>87.5</v>
      </c>
      <c r="M12" s="58">
        <v>700</v>
      </c>
      <c r="N12" s="60"/>
      <c r="O12" s="60"/>
      <c r="P12" s="56">
        <v>0</v>
      </c>
      <c r="Q12" s="69"/>
    </row>
    <row r="13" spans="1:17" ht="16" x14ac:dyDescent="0.2">
      <c r="A13" s="61" t="s">
        <v>125</v>
      </c>
      <c r="B13" s="61" t="s">
        <v>428</v>
      </c>
      <c r="C13" s="61" t="s">
        <v>429</v>
      </c>
      <c r="D13" s="61" t="s">
        <v>430</v>
      </c>
      <c r="E13" s="62" t="s">
        <v>828</v>
      </c>
      <c r="F13" s="62" t="s">
        <v>829</v>
      </c>
      <c r="G13" s="70" t="s">
        <v>898</v>
      </c>
      <c r="H13" s="63">
        <v>303</v>
      </c>
      <c r="I13" s="63">
        <v>480</v>
      </c>
      <c r="J13" s="63">
        <v>580.79999999999995</v>
      </c>
      <c r="K13" s="63">
        <v>177</v>
      </c>
      <c r="L13" s="64">
        <v>36.875</v>
      </c>
      <c r="M13" s="64">
        <v>58.415841584158407</v>
      </c>
      <c r="N13" s="71">
        <v>14.77272727272727</v>
      </c>
      <c r="O13" s="71">
        <v>14.77272727272727</v>
      </c>
      <c r="P13" s="62">
        <v>1</v>
      </c>
      <c r="Q13" s="72" t="s">
        <v>899</v>
      </c>
    </row>
    <row r="14" spans="1:17" ht="16" x14ac:dyDescent="0.2">
      <c r="A14" s="55" t="s">
        <v>125</v>
      </c>
      <c r="B14" s="55" t="s">
        <v>417</v>
      </c>
      <c r="C14" s="55" t="s">
        <v>420</v>
      </c>
      <c r="D14" s="55" t="s">
        <v>421</v>
      </c>
      <c r="E14" s="56" t="s">
        <v>828</v>
      </c>
      <c r="F14" s="56" t="s">
        <v>829</v>
      </c>
      <c r="G14" s="73" t="s">
        <v>898</v>
      </c>
      <c r="H14" s="57">
        <v>375</v>
      </c>
      <c r="I14" s="57">
        <v>595</v>
      </c>
      <c r="J14" s="57">
        <v>719.95</v>
      </c>
      <c r="K14" s="57">
        <v>220</v>
      </c>
      <c r="L14" s="58">
        <v>36.97478991596639</v>
      </c>
      <c r="M14" s="58">
        <v>58.666666666666657</v>
      </c>
      <c r="N14" s="74">
        <v>14.329268292682929</v>
      </c>
      <c r="O14" s="74">
        <v>14.329268292682929</v>
      </c>
      <c r="P14" s="56">
        <v>1</v>
      </c>
      <c r="Q14" s="69" t="s">
        <v>899</v>
      </c>
    </row>
    <row r="15" spans="1:17" ht="16" x14ac:dyDescent="0.2">
      <c r="A15" s="61" t="s">
        <v>125</v>
      </c>
      <c r="B15" s="75" t="s">
        <v>896</v>
      </c>
      <c r="C15" s="61" t="s">
        <v>420</v>
      </c>
      <c r="D15" s="61" t="s">
        <v>833</v>
      </c>
      <c r="E15" s="62" t="s">
        <v>827</v>
      </c>
      <c r="F15" s="62" t="s">
        <v>827</v>
      </c>
      <c r="G15" s="76" t="s">
        <v>897</v>
      </c>
      <c r="H15" s="63">
        <v>91</v>
      </c>
      <c r="I15" s="63">
        <v>595</v>
      </c>
      <c r="J15" s="63">
        <v>719.95</v>
      </c>
      <c r="K15" s="63">
        <v>504</v>
      </c>
      <c r="L15" s="64">
        <v>84.705882352941174</v>
      </c>
      <c r="M15" s="64">
        <v>553.84615384615381</v>
      </c>
      <c r="N15" s="66"/>
      <c r="O15" s="66"/>
      <c r="P15" s="62">
        <v>0</v>
      </c>
      <c r="Q15" s="72"/>
    </row>
    <row r="16" spans="1:17" ht="16" x14ac:dyDescent="0.2">
      <c r="A16" s="55" t="s">
        <v>125</v>
      </c>
      <c r="B16" s="55" t="s">
        <v>437</v>
      </c>
      <c r="C16" s="55" t="s">
        <v>438</v>
      </c>
      <c r="D16" s="55" t="s">
        <v>439</v>
      </c>
      <c r="E16" s="56" t="s">
        <v>828</v>
      </c>
      <c r="F16" s="56" t="s">
        <v>829</v>
      </c>
      <c r="G16" s="73" t="s">
        <v>898</v>
      </c>
      <c r="H16" s="57">
        <v>101</v>
      </c>
      <c r="I16" s="57">
        <v>160</v>
      </c>
      <c r="J16" s="57">
        <v>193.6</v>
      </c>
      <c r="K16" s="57">
        <v>59</v>
      </c>
      <c r="L16" s="58">
        <v>36.875</v>
      </c>
      <c r="M16" s="58">
        <v>58.415841584158407</v>
      </c>
      <c r="N16" s="74">
        <v>14.77272727272727</v>
      </c>
      <c r="O16" s="74">
        <v>14.77272727272727</v>
      </c>
      <c r="P16" s="56">
        <v>1</v>
      </c>
      <c r="Q16" s="69" t="s">
        <v>899</v>
      </c>
    </row>
    <row r="17" spans="1:17" ht="16" x14ac:dyDescent="0.2">
      <c r="A17" s="61" t="s">
        <v>125</v>
      </c>
      <c r="B17" s="75" t="s">
        <v>896</v>
      </c>
      <c r="C17" s="61" t="s">
        <v>438</v>
      </c>
      <c r="D17" s="61" t="s">
        <v>834</v>
      </c>
      <c r="E17" s="62" t="s">
        <v>827</v>
      </c>
      <c r="F17" s="62" t="s">
        <v>827</v>
      </c>
      <c r="G17" s="76" t="s">
        <v>897</v>
      </c>
      <c r="H17" s="63">
        <v>561</v>
      </c>
      <c r="I17" s="63">
        <v>160</v>
      </c>
      <c r="J17" s="63">
        <v>193.6</v>
      </c>
      <c r="K17" s="63">
        <v>-401</v>
      </c>
      <c r="L17" s="64">
        <v>-250.625</v>
      </c>
      <c r="M17" s="64">
        <v>-71.479500891265602</v>
      </c>
      <c r="N17" s="66"/>
      <c r="O17" s="66"/>
      <c r="P17" s="62">
        <v>0</v>
      </c>
      <c r="Q17" s="72"/>
    </row>
    <row r="18" spans="1:17" ht="16" x14ac:dyDescent="0.2">
      <c r="A18" s="55" t="s">
        <v>125</v>
      </c>
      <c r="B18" s="55" t="s">
        <v>280</v>
      </c>
      <c r="C18" s="55" t="s">
        <v>281</v>
      </c>
      <c r="D18" s="55" t="s">
        <v>282</v>
      </c>
      <c r="E18" s="56" t="s">
        <v>828</v>
      </c>
      <c r="F18" s="56" t="s">
        <v>829</v>
      </c>
      <c r="G18" s="77" t="s">
        <v>900</v>
      </c>
      <c r="H18" s="57">
        <v>297</v>
      </c>
      <c r="I18" s="57">
        <v>470</v>
      </c>
      <c r="J18" s="57">
        <v>568.70000000000005</v>
      </c>
      <c r="K18" s="57">
        <v>173</v>
      </c>
      <c r="L18" s="58">
        <v>36.808510638297868</v>
      </c>
      <c r="M18" s="58">
        <v>58.249158249158249</v>
      </c>
      <c r="N18" s="60">
        <v>0.33783783783783777</v>
      </c>
      <c r="O18" s="74">
        <v>14.671814671814669</v>
      </c>
      <c r="P18" s="56">
        <v>2</v>
      </c>
      <c r="Q18" s="69" t="s">
        <v>901</v>
      </c>
    </row>
    <row r="19" spans="1:17" ht="16" x14ac:dyDescent="0.2">
      <c r="A19" s="61" t="s">
        <v>125</v>
      </c>
      <c r="B19" s="61" t="s">
        <v>461</v>
      </c>
      <c r="C19" s="61" t="s">
        <v>462</v>
      </c>
      <c r="D19" s="61" t="s">
        <v>463</v>
      </c>
      <c r="E19" s="62" t="s">
        <v>828</v>
      </c>
      <c r="F19" s="62" t="s">
        <v>829</v>
      </c>
      <c r="G19" s="70" t="s">
        <v>898</v>
      </c>
      <c r="H19" s="63">
        <v>221</v>
      </c>
      <c r="I19" s="63">
        <v>350</v>
      </c>
      <c r="J19" s="63">
        <v>423.5</v>
      </c>
      <c r="K19" s="63">
        <v>129</v>
      </c>
      <c r="L19" s="64">
        <v>36.857142857142847</v>
      </c>
      <c r="M19" s="64">
        <v>58.371040723981913</v>
      </c>
      <c r="N19" s="71">
        <v>14.50777202072539</v>
      </c>
      <c r="O19" s="71">
        <v>14.50777202072539</v>
      </c>
      <c r="P19" s="62">
        <v>1</v>
      </c>
      <c r="Q19" s="72" t="s">
        <v>899</v>
      </c>
    </row>
    <row r="20" spans="1:17" ht="16" x14ac:dyDescent="0.2">
      <c r="A20" s="55" t="s">
        <v>125</v>
      </c>
      <c r="B20" s="67" t="s">
        <v>896</v>
      </c>
      <c r="C20" s="55" t="s">
        <v>462</v>
      </c>
      <c r="D20" s="55" t="s">
        <v>835</v>
      </c>
      <c r="E20" s="56" t="s">
        <v>827</v>
      </c>
      <c r="F20" s="56" t="s">
        <v>827</v>
      </c>
      <c r="G20" s="68" t="s">
        <v>897</v>
      </c>
      <c r="H20" s="57">
        <v>198</v>
      </c>
      <c r="I20" s="57">
        <v>350</v>
      </c>
      <c r="J20" s="57">
        <v>423.5</v>
      </c>
      <c r="K20" s="57">
        <v>152</v>
      </c>
      <c r="L20" s="58">
        <v>43.428571428571431</v>
      </c>
      <c r="M20" s="58">
        <v>76.767676767676761</v>
      </c>
      <c r="N20" s="60"/>
      <c r="O20" s="60"/>
      <c r="P20" s="56">
        <v>0</v>
      </c>
      <c r="Q20" s="69"/>
    </row>
    <row r="21" spans="1:17" ht="16" x14ac:dyDescent="0.2">
      <c r="A21" s="61" t="s">
        <v>125</v>
      </c>
      <c r="B21" s="75" t="s">
        <v>896</v>
      </c>
      <c r="C21" s="61" t="s">
        <v>406</v>
      </c>
      <c r="D21" s="61" t="s">
        <v>836</v>
      </c>
      <c r="E21" s="62" t="s">
        <v>827</v>
      </c>
      <c r="F21" s="62" t="s">
        <v>827</v>
      </c>
      <c r="G21" s="76" t="s">
        <v>897</v>
      </c>
      <c r="H21" s="63">
        <v>1342</v>
      </c>
      <c r="I21" s="63">
        <v>3135</v>
      </c>
      <c r="J21" s="63">
        <v>3793.35</v>
      </c>
      <c r="K21" s="63">
        <v>1793</v>
      </c>
      <c r="L21" s="64">
        <v>57.192982456140349</v>
      </c>
      <c r="M21" s="64">
        <v>133.6065573770492</v>
      </c>
      <c r="N21" s="66"/>
      <c r="O21" s="66"/>
      <c r="P21" s="62">
        <v>0</v>
      </c>
      <c r="Q21" s="72"/>
    </row>
    <row r="22" spans="1:17" ht="16" x14ac:dyDescent="0.2">
      <c r="A22" s="55" t="s">
        <v>125</v>
      </c>
      <c r="B22" s="55" t="s">
        <v>405</v>
      </c>
      <c r="C22" s="55" t="s">
        <v>406</v>
      </c>
      <c r="D22" s="55" t="s">
        <v>407</v>
      </c>
      <c r="E22" s="56" t="s">
        <v>828</v>
      </c>
      <c r="F22" s="56" t="s">
        <v>829</v>
      </c>
      <c r="G22" s="73" t="s">
        <v>898</v>
      </c>
      <c r="H22" s="57">
        <v>1976</v>
      </c>
      <c r="I22" s="57">
        <v>3135</v>
      </c>
      <c r="J22" s="57">
        <v>3793.35</v>
      </c>
      <c r="K22" s="57">
        <v>1159</v>
      </c>
      <c r="L22" s="58">
        <v>36.969696969696969</v>
      </c>
      <c r="M22" s="58">
        <v>58.653846153846153</v>
      </c>
      <c r="N22" s="74">
        <v>14.55072463768116</v>
      </c>
      <c r="O22" s="74">
        <v>14.55072463768116</v>
      </c>
      <c r="P22" s="56">
        <v>1</v>
      </c>
      <c r="Q22" s="69" t="s">
        <v>899</v>
      </c>
    </row>
    <row r="23" spans="1:17" ht="16" x14ac:dyDescent="0.2">
      <c r="A23" s="61" t="s">
        <v>125</v>
      </c>
      <c r="B23" s="61" t="s">
        <v>414</v>
      </c>
      <c r="C23" s="61" t="s">
        <v>415</v>
      </c>
      <c r="D23" s="61" t="s">
        <v>416</v>
      </c>
      <c r="E23" s="62" t="s">
        <v>828</v>
      </c>
      <c r="F23" s="62" t="s">
        <v>829</v>
      </c>
      <c r="G23" s="70" t="s">
        <v>898</v>
      </c>
      <c r="H23" s="63">
        <v>1988</v>
      </c>
      <c r="I23" s="63">
        <v>3155</v>
      </c>
      <c r="J23" s="63">
        <v>3817.55</v>
      </c>
      <c r="K23" s="63">
        <v>1167</v>
      </c>
      <c r="L23" s="64">
        <v>36.988906497622821</v>
      </c>
      <c r="M23" s="64">
        <v>58.70221327967807</v>
      </c>
      <c r="N23" s="71">
        <v>14.516129032258069</v>
      </c>
      <c r="O23" s="71">
        <v>14.516129032258069</v>
      </c>
      <c r="P23" s="62">
        <v>1</v>
      </c>
      <c r="Q23" s="72" t="s">
        <v>899</v>
      </c>
    </row>
    <row r="24" spans="1:17" ht="16" x14ac:dyDescent="0.2">
      <c r="A24" s="55" t="s">
        <v>125</v>
      </c>
      <c r="B24" s="67" t="s">
        <v>896</v>
      </c>
      <c r="C24" s="55" t="s">
        <v>415</v>
      </c>
      <c r="D24" s="55" t="s">
        <v>837</v>
      </c>
      <c r="E24" s="56" t="s">
        <v>827</v>
      </c>
      <c r="F24" s="56" t="s">
        <v>827</v>
      </c>
      <c r="G24" s="68" t="s">
        <v>897</v>
      </c>
      <c r="H24" s="57">
        <v>375</v>
      </c>
      <c r="I24" s="57">
        <v>3155</v>
      </c>
      <c r="J24" s="57">
        <v>3817.55</v>
      </c>
      <c r="K24" s="57">
        <v>2780</v>
      </c>
      <c r="L24" s="58">
        <v>88.114104595879567</v>
      </c>
      <c r="M24" s="58">
        <v>741.33333333333326</v>
      </c>
      <c r="N24" s="60"/>
      <c r="O24" s="60"/>
      <c r="P24" s="56">
        <v>0</v>
      </c>
      <c r="Q24" s="69"/>
    </row>
    <row r="25" spans="1:17" ht="16" x14ac:dyDescent="0.2">
      <c r="A25" s="61" t="s">
        <v>125</v>
      </c>
      <c r="B25" s="61" t="s">
        <v>331</v>
      </c>
      <c r="C25" s="61" t="s">
        <v>332</v>
      </c>
      <c r="D25" s="61" t="s">
        <v>333</v>
      </c>
      <c r="E25" s="62" t="s">
        <v>828</v>
      </c>
      <c r="F25" s="62" t="s">
        <v>829</v>
      </c>
      <c r="G25" s="78" t="s">
        <v>900</v>
      </c>
      <c r="H25" s="63">
        <v>303</v>
      </c>
      <c r="I25" s="63">
        <v>480</v>
      </c>
      <c r="J25" s="63">
        <v>580.79999999999995</v>
      </c>
      <c r="K25" s="63">
        <v>177</v>
      </c>
      <c r="L25" s="64">
        <v>36.875</v>
      </c>
      <c r="M25" s="64">
        <v>58.415841584158407</v>
      </c>
      <c r="N25" s="66">
        <v>0.33112582781456962</v>
      </c>
      <c r="O25" s="71">
        <v>14.77272727272727</v>
      </c>
      <c r="P25" s="62">
        <v>2</v>
      </c>
      <c r="Q25" s="72" t="s">
        <v>901</v>
      </c>
    </row>
    <row r="26" spans="1:17" ht="16" x14ac:dyDescent="0.2">
      <c r="A26" s="55" t="s">
        <v>125</v>
      </c>
      <c r="B26" s="55" t="s">
        <v>334</v>
      </c>
      <c r="C26" s="55" t="s">
        <v>335</v>
      </c>
      <c r="D26" s="55" t="s">
        <v>336</v>
      </c>
      <c r="E26" s="56" t="s">
        <v>828</v>
      </c>
      <c r="F26" s="56" t="s">
        <v>829</v>
      </c>
      <c r="G26" s="77" t="s">
        <v>900</v>
      </c>
      <c r="H26" s="57">
        <v>473</v>
      </c>
      <c r="I26" s="57">
        <v>750</v>
      </c>
      <c r="J26" s="57">
        <v>907.5</v>
      </c>
      <c r="K26" s="57">
        <v>277</v>
      </c>
      <c r="L26" s="58">
        <v>36.933333333333337</v>
      </c>
      <c r="M26" s="58">
        <v>58.562367864693442</v>
      </c>
      <c r="N26" s="60">
        <v>0</v>
      </c>
      <c r="O26" s="74">
        <v>14.52784503631961</v>
      </c>
      <c r="P26" s="56">
        <v>1</v>
      </c>
      <c r="Q26" s="69" t="s">
        <v>902</v>
      </c>
    </row>
    <row r="27" spans="1:17" ht="16" x14ac:dyDescent="0.2">
      <c r="A27" s="61" t="s">
        <v>125</v>
      </c>
      <c r="B27" s="61" t="s">
        <v>337</v>
      </c>
      <c r="C27" s="61" t="s">
        <v>338</v>
      </c>
      <c r="D27" s="61" t="s">
        <v>339</v>
      </c>
      <c r="E27" s="62" t="s">
        <v>828</v>
      </c>
      <c r="F27" s="62" t="s">
        <v>829</v>
      </c>
      <c r="G27" s="78" t="s">
        <v>900</v>
      </c>
      <c r="H27" s="63">
        <v>612</v>
      </c>
      <c r="I27" s="63">
        <v>970</v>
      </c>
      <c r="J27" s="63">
        <v>1173.7</v>
      </c>
      <c r="K27" s="63">
        <v>358</v>
      </c>
      <c r="L27" s="64">
        <v>36.907216494845358</v>
      </c>
      <c r="M27" s="64">
        <v>58.496732026143803</v>
      </c>
      <c r="N27" s="66">
        <v>0.16366612111292961</v>
      </c>
      <c r="O27" s="71">
        <v>14.606741573033711</v>
      </c>
      <c r="P27" s="62">
        <v>2</v>
      </c>
      <c r="Q27" s="72" t="s">
        <v>901</v>
      </c>
    </row>
    <row r="28" spans="1:17" ht="16" x14ac:dyDescent="0.2">
      <c r="A28" s="55" t="s">
        <v>125</v>
      </c>
      <c r="B28" s="55" t="s">
        <v>340</v>
      </c>
      <c r="C28" s="55" t="s">
        <v>341</v>
      </c>
      <c r="D28" s="55" t="s">
        <v>342</v>
      </c>
      <c r="E28" s="56" t="s">
        <v>828</v>
      </c>
      <c r="F28" s="56" t="s">
        <v>829</v>
      </c>
      <c r="G28" s="77" t="s">
        <v>900</v>
      </c>
      <c r="H28" s="57">
        <v>1251</v>
      </c>
      <c r="I28" s="57">
        <v>1985</v>
      </c>
      <c r="J28" s="57">
        <v>2401.85</v>
      </c>
      <c r="K28" s="57">
        <v>734</v>
      </c>
      <c r="L28" s="58">
        <v>36.977329974811077</v>
      </c>
      <c r="M28" s="58">
        <v>58.6730615507594</v>
      </c>
      <c r="N28" s="60">
        <v>0</v>
      </c>
      <c r="O28" s="74">
        <v>14.56043956043956</v>
      </c>
      <c r="P28" s="56">
        <v>1</v>
      </c>
      <c r="Q28" s="69" t="s">
        <v>902</v>
      </c>
    </row>
    <row r="29" spans="1:17" ht="16" x14ac:dyDescent="0.2">
      <c r="A29" s="61" t="s">
        <v>125</v>
      </c>
      <c r="B29" s="61" t="s">
        <v>343</v>
      </c>
      <c r="C29" s="61" t="s">
        <v>344</v>
      </c>
      <c r="D29" s="61" t="s">
        <v>345</v>
      </c>
      <c r="E29" s="62" t="s">
        <v>828</v>
      </c>
      <c r="F29" s="62" t="s">
        <v>829</v>
      </c>
      <c r="G29" s="78" t="s">
        <v>900</v>
      </c>
      <c r="H29" s="63">
        <v>1446</v>
      </c>
      <c r="I29" s="63">
        <v>2295</v>
      </c>
      <c r="J29" s="63">
        <v>2776.95</v>
      </c>
      <c r="K29" s="63">
        <v>849</v>
      </c>
      <c r="L29" s="64">
        <v>36.993464052287592</v>
      </c>
      <c r="M29" s="64">
        <v>58.713692946058103</v>
      </c>
      <c r="N29" s="66">
        <v>0</v>
      </c>
      <c r="O29" s="71">
        <v>14.48931116389549</v>
      </c>
      <c r="P29" s="62">
        <v>1</v>
      </c>
      <c r="Q29" s="72" t="s">
        <v>902</v>
      </c>
    </row>
    <row r="30" spans="1:17" ht="16" x14ac:dyDescent="0.2">
      <c r="A30" s="55" t="s">
        <v>125</v>
      </c>
      <c r="B30" s="67" t="s">
        <v>896</v>
      </c>
      <c r="C30" s="55" t="s">
        <v>409</v>
      </c>
      <c r="D30" s="55" t="s">
        <v>843</v>
      </c>
      <c r="E30" s="56" t="s">
        <v>827</v>
      </c>
      <c r="F30" s="56" t="s">
        <v>827</v>
      </c>
      <c r="G30" s="68" t="s">
        <v>897</v>
      </c>
      <c r="H30" s="57">
        <v>1988</v>
      </c>
      <c r="I30" s="57">
        <v>3490</v>
      </c>
      <c r="J30" s="57">
        <v>4222.8999999999996</v>
      </c>
      <c r="K30" s="57">
        <v>1502</v>
      </c>
      <c r="L30" s="58">
        <v>43.03724928366762</v>
      </c>
      <c r="M30" s="58">
        <v>75.553319919517108</v>
      </c>
      <c r="N30" s="60"/>
      <c r="O30" s="60"/>
      <c r="P30" s="56">
        <v>0</v>
      </c>
      <c r="Q30" s="69"/>
    </row>
    <row r="31" spans="1:17" ht="16" x14ac:dyDescent="0.2">
      <c r="A31" s="61" t="s">
        <v>125</v>
      </c>
      <c r="B31" s="61" t="s">
        <v>408</v>
      </c>
      <c r="C31" s="61" t="s">
        <v>409</v>
      </c>
      <c r="D31" s="61" t="s">
        <v>410</v>
      </c>
      <c r="E31" s="62" t="s">
        <v>828</v>
      </c>
      <c r="F31" s="62" t="s">
        <v>829</v>
      </c>
      <c r="G31" s="70" t="s">
        <v>898</v>
      </c>
      <c r="H31" s="63">
        <v>2199</v>
      </c>
      <c r="I31" s="63">
        <v>3490</v>
      </c>
      <c r="J31" s="63">
        <v>4222.8999999999996</v>
      </c>
      <c r="K31" s="63">
        <v>1291</v>
      </c>
      <c r="L31" s="64">
        <v>36.99140401146132</v>
      </c>
      <c r="M31" s="64">
        <v>58.708503865393361</v>
      </c>
      <c r="N31" s="71">
        <v>14.53125</v>
      </c>
      <c r="O31" s="71">
        <v>14.53125</v>
      </c>
      <c r="P31" s="62">
        <v>1</v>
      </c>
      <c r="Q31" s="72" t="s">
        <v>899</v>
      </c>
    </row>
    <row r="32" spans="1:17" ht="16" x14ac:dyDescent="0.2">
      <c r="A32" s="55" t="s">
        <v>125</v>
      </c>
      <c r="B32" s="55" t="s">
        <v>455</v>
      </c>
      <c r="C32" s="55" t="s">
        <v>456</v>
      </c>
      <c r="D32" s="55" t="s">
        <v>457</v>
      </c>
      <c r="E32" s="56" t="s">
        <v>828</v>
      </c>
      <c r="F32" s="56" t="s">
        <v>829</v>
      </c>
      <c r="G32" s="73" t="s">
        <v>898</v>
      </c>
      <c r="H32" s="57">
        <v>939</v>
      </c>
      <c r="I32" s="57">
        <v>1490</v>
      </c>
      <c r="J32" s="57">
        <v>1802.9</v>
      </c>
      <c r="K32" s="57">
        <v>551</v>
      </c>
      <c r="L32" s="58">
        <v>36.979865771812079</v>
      </c>
      <c r="M32" s="58">
        <v>58.679446219382328</v>
      </c>
      <c r="N32" s="74">
        <v>14.512195121951221</v>
      </c>
      <c r="O32" s="74">
        <v>14.512195121951221</v>
      </c>
      <c r="P32" s="56">
        <v>1</v>
      </c>
      <c r="Q32" s="69" t="s">
        <v>899</v>
      </c>
    </row>
    <row r="33" spans="1:17" ht="16" x14ac:dyDescent="0.2">
      <c r="A33" s="61" t="s">
        <v>125</v>
      </c>
      <c r="B33" s="75" t="s">
        <v>896</v>
      </c>
      <c r="C33" s="61" t="s">
        <v>456</v>
      </c>
      <c r="D33" s="61" t="s">
        <v>844</v>
      </c>
      <c r="E33" s="62" t="s">
        <v>827</v>
      </c>
      <c r="F33" s="62" t="s">
        <v>827</v>
      </c>
      <c r="G33" s="76" t="s">
        <v>897</v>
      </c>
      <c r="H33" s="63">
        <v>221</v>
      </c>
      <c r="I33" s="63">
        <v>1490</v>
      </c>
      <c r="J33" s="63">
        <v>1802.9</v>
      </c>
      <c r="K33" s="63">
        <v>1269</v>
      </c>
      <c r="L33" s="64">
        <v>85.167785234899327</v>
      </c>
      <c r="M33" s="64">
        <v>574.20814479638011</v>
      </c>
      <c r="N33" s="66"/>
      <c r="O33" s="66"/>
      <c r="P33" s="62">
        <v>0</v>
      </c>
      <c r="Q33" s="72"/>
    </row>
    <row r="34" spans="1:17" ht="16" x14ac:dyDescent="0.2">
      <c r="A34" s="55" t="s">
        <v>125</v>
      </c>
      <c r="B34" s="55" t="s">
        <v>365</v>
      </c>
      <c r="C34" s="55" t="s">
        <v>366</v>
      </c>
      <c r="D34" s="55" t="s">
        <v>367</v>
      </c>
      <c r="E34" s="56" t="s">
        <v>828</v>
      </c>
      <c r="F34" s="56" t="s">
        <v>829</v>
      </c>
      <c r="G34" s="77" t="s">
        <v>900</v>
      </c>
      <c r="H34" s="57">
        <v>306</v>
      </c>
      <c r="I34" s="57">
        <v>485</v>
      </c>
      <c r="J34" s="57">
        <v>586.85</v>
      </c>
      <c r="K34" s="57">
        <v>179</v>
      </c>
      <c r="L34" s="58">
        <v>36.907216494845358</v>
      </c>
      <c r="M34" s="58">
        <v>58.496732026143803</v>
      </c>
      <c r="N34" s="60">
        <v>0</v>
      </c>
      <c r="O34" s="74">
        <v>14.606741573033711</v>
      </c>
      <c r="P34" s="56">
        <v>1</v>
      </c>
      <c r="Q34" s="69" t="s">
        <v>902</v>
      </c>
    </row>
    <row r="35" spans="1:17" ht="16" x14ac:dyDescent="0.2">
      <c r="A35" s="61" t="s">
        <v>125</v>
      </c>
      <c r="B35" s="61" t="s">
        <v>371</v>
      </c>
      <c r="C35" s="61" t="s">
        <v>372</v>
      </c>
      <c r="D35" s="61" t="s">
        <v>373</v>
      </c>
      <c r="E35" s="62" t="s">
        <v>828</v>
      </c>
      <c r="F35" s="62" t="s">
        <v>829</v>
      </c>
      <c r="G35" s="70" t="s">
        <v>903</v>
      </c>
      <c r="H35" s="63">
        <v>599</v>
      </c>
      <c r="I35" s="63">
        <v>950</v>
      </c>
      <c r="J35" s="63">
        <v>1149.5</v>
      </c>
      <c r="K35" s="63">
        <v>351</v>
      </c>
      <c r="L35" s="64">
        <v>36.947368421052637</v>
      </c>
      <c r="M35" s="64">
        <v>58.597662771285478</v>
      </c>
      <c r="N35" s="66">
        <v>0</v>
      </c>
      <c r="O35" s="71">
        <v>14.531548757170169</v>
      </c>
      <c r="P35" s="62">
        <v>1</v>
      </c>
      <c r="Q35" s="72" t="s">
        <v>902</v>
      </c>
    </row>
    <row r="36" spans="1:17" ht="16" x14ac:dyDescent="0.2">
      <c r="A36" s="55" t="s">
        <v>125</v>
      </c>
      <c r="B36" s="55" t="s">
        <v>371</v>
      </c>
      <c r="C36" s="55" t="s">
        <v>372</v>
      </c>
      <c r="D36" s="55" t="s">
        <v>383</v>
      </c>
      <c r="E36" s="56" t="s">
        <v>828</v>
      </c>
      <c r="F36" s="56" t="s">
        <v>829</v>
      </c>
      <c r="G36" s="73" t="s">
        <v>903</v>
      </c>
      <c r="H36" s="57">
        <v>1440</v>
      </c>
      <c r="I36" s="57">
        <v>2285</v>
      </c>
      <c r="J36" s="57">
        <v>2764.85</v>
      </c>
      <c r="K36" s="57">
        <v>845</v>
      </c>
      <c r="L36" s="58">
        <v>36.980306345733041</v>
      </c>
      <c r="M36" s="58">
        <v>58.680555555555557</v>
      </c>
      <c r="N36" s="74">
        <v>14.55847255369928</v>
      </c>
      <c r="O36" s="74">
        <v>14.55847255369928</v>
      </c>
      <c r="P36" s="56">
        <v>1</v>
      </c>
      <c r="Q36" s="69" t="s">
        <v>899</v>
      </c>
    </row>
    <row r="37" spans="1:17" ht="16" x14ac:dyDescent="0.2">
      <c r="A37" s="61" t="s">
        <v>125</v>
      </c>
      <c r="B37" s="75" t="s">
        <v>896</v>
      </c>
      <c r="C37" s="61" t="s">
        <v>372</v>
      </c>
      <c r="D37" s="61" t="s">
        <v>847</v>
      </c>
      <c r="E37" s="62" t="s">
        <v>827</v>
      </c>
      <c r="F37" s="62" t="s">
        <v>827</v>
      </c>
      <c r="G37" s="76" t="s">
        <v>904</v>
      </c>
      <c r="H37" s="63">
        <v>243</v>
      </c>
      <c r="I37" s="63">
        <v>2285</v>
      </c>
      <c r="J37" s="63">
        <v>2764.85</v>
      </c>
      <c r="K37" s="63">
        <v>2042</v>
      </c>
      <c r="L37" s="64">
        <v>89.365426695842459</v>
      </c>
      <c r="M37" s="64">
        <v>840.329218106996</v>
      </c>
      <c r="N37" s="66"/>
      <c r="O37" s="66"/>
      <c r="P37" s="62">
        <v>0</v>
      </c>
      <c r="Q37" s="72"/>
    </row>
    <row r="38" spans="1:17" ht="16" x14ac:dyDescent="0.2">
      <c r="A38" s="55" t="s">
        <v>125</v>
      </c>
      <c r="B38" s="55" t="s">
        <v>368</v>
      </c>
      <c r="C38" s="55" t="s">
        <v>369</v>
      </c>
      <c r="D38" s="55" t="s">
        <v>370</v>
      </c>
      <c r="E38" s="56" t="s">
        <v>828</v>
      </c>
      <c r="F38" s="56" t="s">
        <v>829</v>
      </c>
      <c r="G38" s="77" t="s">
        <v>900</v>
      </c>
      <c r="H38" s="57">
        <v>438</v>
      </c>
      <c r="I38" s="57">
        <v>695</v>
      </c>
      <c r="J38" s="57">
        <v>840.95</v>
      </c>
      <c r="K38" s="57">
        <v>257</v>
      </c>
      <c r="L38" s="58">
        <v>36.978417266187051</v>
      </c>
      <c r="M38" s="58">
        <v>58.675799086757998</v>
      </c>
      <c r="N38" s="60">
        <v>0</v>
      </c>
      <c r="O38" s="74">
        <v>14.36031331592689</v>
      </c>
      <c r="P38" s="56">
        <v>1</v>
      </c>
      <c r="Q38" s="69" t="s">
        <v>902</v>
      </c>
    </row>
    <row r="39" spans="1:17" ht="16" x14ac:dyDescent="0.2">
      <c r="A39" s="61" t="s">
        <v>125</v>
      </c>
      <c r="B39" s="61" t="s">
        <v>380</v>
      </c>
      <c r="C39" s="61" t="s">
        <v>381</v>
      </c>
      <c r="D39" s="61" t="s">
        <v>382</v>
      </c>
      <c r="E39" s="62" t="s">
        <v>828</v>
      </c>
      <c r="F39" s="62" t="s">
        <v>829</v>
      </c>
      <c r="G39" s="70" t="s">
        <v>898</v>
      </c>
      <c r="H39" s="63">
        <v>1223</v>
      </c>
      <c r="I39" s="63">
        <v>1940</v>
      </c>
      <c r="J39" s="63">
        <v>2347.4</v>
      </c>
      <c r="K39" s="63">
        <v>717</v>
      </c>
      <c r="L39" s="64">
        <v>36.958762886597938</v>
      </c>
      <c r="M39" s="64">
        <v>58.626328699918233</v>
      </c>
      <c r="N39" s="71">
        <v>14.620431115276469</v>
      </c>
      <c r="O39" s="71">
        <v>14.620431115276469</v>
      </c>
      <c r="P39" s="62">
        <v>1</v>
      </c>
      <c r="Q39" s="72" t="s">
        <v>899</v>
      </c>
    </row>
    <row r="40" spans="1:17" ht="16" x14ac:dyDescent="0.2">
      <c r="A40" s="55" t="s">
        <v>125</v>
      </c>
      <c r="B40" s="67" t="s">
        <v>896</v>
      </c>
      <c r="C40" s="55" t="s">
        <v>381</v>
      </c>
      <c r="D40" s="55" t="s">
        <v>849</v>
      </c>
      <c r="E40" s="56" t="s">
        <v>827</v>
      </c>
      <c r="F40" s="56" t="s">
        <v>827</v>
      </c>
      <c r="G40" s="68" t="s">
        <v>897</v>
      </c>
      <c r="H40" s="57">
        <v>1065</v>
      </c>
      <c r="I40" s="57">
        <v>1940</v>
      </c>
      <c r="J40" s="57">
        <v>2347.4</v>
      </c>
      <c r="K40" s="57">
        <v>875</v>
      </c>
      <c r="L40" s="58">
        <v>45.103092783505147</v>
      </c>
      <c r="M40" s="58">
        <v>82.159624413145536</v>
      </c>
      <c r="N40" s="60"/>
      <c r="O40" s="60"/>
      <c r="P40" s="56">
        <v>0</v>
      </c>
      <c r="Q40" s="69"/>
    </row>
    <row r="41" spans="1:17" ht="16" x14ac:dyDescent="0.2">
      <c r="A41" s="61" t="s">
        <v>125</v>
      </c>
      <c r="B41" s="75" t="s">
        <v>896</v>
      </c>
      <c r="C41" s="61" t="s">
        <v>375</v>
      </c>
      <c r="D41" s="61" t="s">
        <v>850</v>
      </c>
      <c r="E41" s="62" t="s">
        <v>827</v>
      </c>
      <c r="F41" s="62" t="s">
        <v>827</v>
      </c>
      <c r="G41" s="76" t="s">
        <v>897</v>
      </c>
      <c r="H41" s="63">
        <v>1222</v>
      </c>
      <c r="I41" s="63">
        <v>275</v>
      </c>
      <c r="J41" s="63">
        <v>332.75</v>
      </c>
      <c r="K41" s="63">
        <v>-947</v>
      </c>
      <c r="L41" s="64">
        <v>-344.36363636363637</v>
      </c>
      <c r="M41" s="64">
        <v>-77.495908346972172</v>
      </c>
      <c r="N41" s="66"/>
      <c r="O41" s="66"/>
      <c r="P41" s="62">
        <v>0</v>
      </c>
      <c r="Q41" s="72"/>
    </row>
    <row r="42" spans="1:17" ht="16" x14ac:dyDescent="0.2">
      <c r="A42" s="55" t="s">
        <v>125</v>
      </c>
      <c r="B42" s="55" t="s">
        <v>374</v>
      </c>
      <c r="C42" s="55" t="s">
        <v>375</v>
      </c>
      <c r="D42" s="55" t="s">
        <v>376</v>
      </c>
      <c r="E42" s="56" t="s">
        <v>828</v>
      </c>
      <c r="F42" s="56" t="s">
        <v>829</v>
      </c>
      <c r="G42" s="73" t="s">
        <v>898</v>
      </c>
      <c r="H42" s="57">
        <v>174</v>
      </c>
      <c r="I42" s="57">
        <v>275</v>
      </c>
      <c r="J42" s="57">
        <v>332.75</v>
      </c>
      <c r="K42" s="57">
        <v>101</v>
      </c>
      <c r="L42" s="58">
        <v>36.727272727272727</v>
      </c>
      <c r="M42" s="58">
        <v>58.045977011494251</v>
      </c>
      <c r="N42" s="74">
        <v>14.47368421052632</v>
      </c>
      <c r="O42" s="74">
        <v>14.47368421052632</v>
      </c>
      <c r="P42" s="56">
        <v>1</v>
      </c>
      <c r="Q42" s="69" t="s">
        <v>899</v>
      </c>
    </row>
    <row r="43" spans="1:17" ht="16" x14ac:dyDescent="0.2">
      <c r="A43" s="61" t="s">
        <v>125</v>
      </c>
      <c r="B43" s="75" t="s">
        <v>896</v>
      </c>
      <c r="C43" s="61" t="s">
        <v>378</v>
      </c>
      <c r="D43" s="61" t="s">
        <v>851</v>
      </c>
      <c r="E43" s="62" t="s">
        <v>827</v>
      </c>
      <c r="F43" s="62" t="s">
        <v>827</v>
      </c>
      <c r="G43" s="76" t="s">
        <v>897</v>
      </c>
      <c r="H43" s="63">
        <v>1440</v>
      </c>
      <c r="I43" s="63">
        <v>365</v>
      </c>
      <c r="J43" s="63">
        <v>441.65</v>
      </c>
      <c r="K43" s="63">
        <v>-1075</v>
      </c>
      <c r="L43" s="64">
        <v>-294.52054794520552</v>
      </c>
      <c r="M43" s="64">
        <v>-74.652777777777786</v>
      </c>
      <c r="N43" s="66"/>
      <c r="O43" s="66"/>
      <c r="P43" s="62">
        <v>0</v>
      </c>
      <c r="Q43" s="72"/>
    </row>
    <row r="44" spans="1:17" ht="16" x14ac:dyDescent="0.2">
      <c r="A44" s="55" t="s">
        <v>125</v>
      </c>
      <c r="B44" s="55" t="s">
        <v>377</v>
      </c>
      <c r="C44" s="55" t="s">
        <v>378</v>
      </c>
      <c r="D44" s="55" t="s">
        <v>379</v>
      </c>
      <c r="E44" s="56" t="s">
        <v>828</v>
      </c>
      <c r="F44" s="56" t="s">
        <v>829</v>
      </c>
      <c r="G44" s="73" t="s">
        <v>898</v>
      </c>
      <c r="H44" s="57">
        <v>230</v>
      </c>
      <c r="I44" s="57">
        <v>365</v>
      </c>
      <c r="J44" s="57">
        <v>441.65</v>
      </c>
      <c r="K44" s="57">
        <v>135</v>
      </c>
      <c r="L44" s="58">
        <v>36.986301369863007</v>
      </c>
      <c r="M44" s="58">
        <v>58.695652173913047</v>
      </c>
      <c r="N44" s="74">
        <v>14.42786069651741</v>
      </c>
      <c r="O44" s="74">
        <v>14.42786069651741</v>
      </c>
      <c r="P44" s="56">
        <v>1</v>
      </c>
      <c r="Q44" s="69" t="s">
        <v>899</v>
      </c>
    </row>
    <row r="45" spans="1:17" ht="16" x14ac:dyDescent="0.2">
      <c r="A45" s="61" t="s">
        <v>125</v>
      </c>
      <c r="B45" s="61" t="s">
        <v>417</v>
      </c>
      <c r="C45" s="61" t="s">
        <v>418</v>
      </c>
      <c r="D45" s="61" t="s">
        <v>419</v>
      </c>
      <c r="E45" s="62" t="s">
        <v>828</v>
      </c>
      <c r="F45" s="62" t="s">
        <v>829</v>
      </c>
      <c r="G45" s="70" t="s">
        <v>898</v>
      </c>
      <c r="H45" s="63">
        <v>344</v>
      </c>
      <c r="I45" s="63">
        <v>545</v>
      </c>
      <c r="J45" s="63">
        <v>659.45</v>
      </c>
      <c r="K45" s="63">
        <v>201</v>
      </c>
      <c r="L45" s="64">
        <v>36.88073394495413</v>
      </c>
      <c r="M45" s="64">
        <v>58.430232558139537</v>
      </c>
      <c r="N45" s="71">
        <v>14.66666666666667</v>
      </c>
      <c r="O45" s="71">
        <v>14.66666666666667</v>
      </c>
      <c r="P45" s="62">
        <v>1</v>
      </c>
      <c r="Q45" s="72" t="s">
        <v>899</v>
      </c>
    </row>
    <row r="46" spans="1:17" ht="16" x14ac:dyDescent="0.2">
      <c r="A46" s="55" t="s">
        <v>125</v>
      </c>
      <c r="B46" s="67" t="s">
        <v>896</v>
      </c>
      <c r="C46" s="55" t="s">
        <v>418</v>
      </c>
      <c r="D46" s="55" t="s">
        <v>852</v>
      </c>
      <c r="E46" s="56" t="s">
        <v>827</v>
      </c>
      <c r="F46" s="56" t="s">
        <v>827</v>
      </c>
      <c r="G46" s="68" t="s">
        <v>897</v>
      </c>
      <c r="H46" s="57">
        <v>104</v>
      </c>
      <c r="I46" s="57">
        <v>545</v>
      </c>
      <c r="J46" s="57">
        <v>659.45</v>
      </c>
      <c r="K46" s="57">
        <v>441</v>
      </c>
      <c r="L46" s="58">
        <v>80.917431192660544</v>
      </c>
      <c r="M46" s="58">
        <v>424.03846153846149</v>
      </c>
      <c r="N46" s="60"/>
      <c r="O46" s="60"/>
      <c r="P46" s="56">
        <v>0</v>
      </c>
      <c r="Q46" s="69"/>
    </row>
    <row r="47" spans="1:17" ht="16" x14ac:dyDescent="0.2">
      <c r="A47" s="61" t="s">
        <v>125</v>
      </c>
      <c r="B47" s="61" t="s">
        <v>271</v>
      </c>
      <c r="C47" s="61" t="s">
        <v>272</v>
      </c>
      <c r="D47" s="61" t="s">
        <v>273</v>
      </c>
      <c r="E47" s="62" t="s">
        <v>828</v>
      </c>
      <c r="F47" s="62" t="s">
        <v>829</v>
      </c>
      <c r="G47" s="78" t="s">
        <v>900</v>
      </c>
      <c r="H47" s="63">
        <v>530</v>
      </c>
      <c r="I47" s="63">
        <v>840</v>
      </c>
      <c r="J47" s="63">
        <v>1016.4</v>
      </c>
      <c r="K47" s="63">
        <v>310</v>
      </c>
      <c r="L47" s="64">
        <v>36.904761904761912</v>
      </c>
      <c r="M47" s="64">
        <v>58.490566037735853</v>
      </c>
      <c r="N47" s="66">
        <v>0.1890359168241966</v>
      </c>
      <c r="O47" s="71">
        <v>14.71861471861472</v>
      </c>
      <c r="P47" s="62">
        <v>2</v>
      </c>
      <c r="Q47" s="72" t="s">
        <v>901</v>
      </c>
    </row>
    <row r="48" spans="1:17" ht="16" x14ac:dyDescent="0.2">
      <c r="A48" s="55" t="s">
        <v>125</v>
      </c>
      <c r="B48" s="55" t="s">
        <v>274</v>
      </c>
      <c r="C48" s="55" t="s">
        <v>275</v>
      </c>
      <c r="D48" s="55" t="s">
        <v>276</v>
      </c>
      <c r="E48" s="56" t="s">
        <v>828</v>
      </c>
      <c r="F48" s="56" t="s">
        <v>829</v>
      </c>
      <c r="G48" s="77" t="s">
        <v>900</v>
      </c>
      <c r="H48" s="57">
        <v>823</v>
      </c>
      <c r="I48" s="57">
        <v>1305</v>
      </c>
      <c r="J48" s="57">
        <v>1579.05</v>
      </c>
      <c r="K48" s="57">
        <v>482</v>
      </c>
      <c r="L48" s="58">
        <v>36.934865900383137</v>
      </c>
      <c r="M48" s="58">
        <v>58.566221142162817</v>
      </c>
      <c r="N48" s="60">
        <v>0.121654501216545</v>
      </c>
      <c r="O48" s="74">
        <v>14.623955431754879</v>
      </c>
      <c r="P48" s="56">
        <v>2</v>
      </c>
      <c r="Q48" s="69" t="s">
        <v>901</v>
      </c>
    </row>
    <row r="49" spans="1:17" ht="16" x14ac:dyDescent="0.2">
      <c r="A49" s="61" t="s">
        <v>125</v>
      </c>
      <c r="B49" s="61" t="s">
        <v>277</v>
      </c>
      <c r="C49" s="61" t="s">
        <v>278</v>
      </c>
      <c r="D49" s="61" t="s">
        <v>279</v>
      </c>
      <c r="E49" s="62" t="s">
        <v>828</v>
      </c>
      <c r="F49" s="62" t="s">
        <v>829</v>
      </c>
      <c r="G49" s="78" t="s">
        <v>900</v>
      </c>
      <c r="H49" s="63">
        <v>1097</v>
      </c>
      <c r="I49" s="63">
        <v>1740</v>
      </c>
      <c r="J49" s="63">
        <v>2105.4</v>
      </c>
      <c r="K49" s="63">
        <v>643</v>
      </c>
      <c r="L49" s="64">
        <v>36.954022988505749</v>
      </c>
      <c r="M49" s="64">
        <v>58.61440291704649</v>
      </c>
      <c r="N49" s="66">
        <v>9.1240875912408759E-2</v>
      </c>
      <c r="O49" s="71">
        <v>14.629049111807729</v>
      </c>
      <c r="P49" s="62">
        <v>2</v>
      </c>
      <c r="Q49" s="72" t="s">
        <v>901</v>
      </c>
    </row>
    <row r="50" spans="1:17" ht="16" x14ac:dyDescent="0.2">
      <c r="A50" s="55" t="s">
        <v>125</v>
      </c>
      <c r="B50" s="55" t="s">
        <v>283</v>
      </c>
      <c r="C50" s="55" t="s">
        <v>284</v>
      </c>
      <c r="D50" s="55" t="s">
        <v>285</v>
      </c>
      <c r="E50" s="56" t="s">
        <v>828</v>
      </c>
      <c r="F50" s="56" t="s">
        <v>829</v>
      </c>
      <c r="G50" s="77" t="s">
        <v>900</v>
      </c>
      <c r="H50" s="57">
        <v>215</v>
      </c>
      <c r="I50" s="57">
        <v>340</v>
      </c>
      <c r="J50" s="57">
        <v>411.4</v>
      </c>
      <c r="K50" s="57">
        <v>125</v>
      </c>
      <c r="L50" s="58">
        <v>36.764705882352942</v>
      </c>
      <c r="M50" s="58">
        <v>58.139534883720927</v>
      </c>
      <c r="N50" s="60">
        <v>0.46728971962616822</v>
      </c>
      <c r="O50" s="74">
        <v>14.973262032085559</v>
      </c>
      <c r="P50" s="56">
        <v>2</v>
      </c>
      <c r="Q50" s="69" t="s">
        <v>901</v>
      </c>
    </row>
    <row r="51" spans="1:17" ht="16" x14ac:dyDescent="0.2">
      <c r="A51" s="61" t="s">
        <v>125</v>
      </c>
      <c r="B51" s="61" t="s">
        <v>289</v>
      </c>
      <c r="C51" s="61" t="s">
        <v>290</v>
      </c>
      <c r="D51" s="61" t="s">
        <v>291</v>
      </c>
      <c r="E51" s="62" t="s">
        <v>828</v>
      </c>
      <c r="F51" s="62" t="s">
        <v>829</v>
      </c>
      <c r="G51" s="78" t="s">
        <v>900</v>
      </c>
      <c r="H51" s="63">
        <v>2451</v>
      </c>
      <c r="I51" s="63">
        <v>3890</v>
      </c>
      <c r="J51" s="63">
        <v>4706.8999999999996</v>
      </c>
      <c r="K51" s="63">
        <v>1439</v>
      </c>
      <c r="L51" s="64">
        <v>36.992287917737777</v>
      </c>
      <c r="M51" s="64">
        <v>58.710730314157487</v>
      </c>
      <c r="N51" s="66">
        <v>0</v>
      </c>
      <c r="O51" s="71">
        <v>14.532710280373831</v>
      </c>
      <c r="P51" s="62">
        <v>1</v>
      </c>
      <c r="Q51" s="72" t="s">
        <v>902</v>
      </c>
    </row>
    <row r="52" spans="1:17" ht="16" x14ac:dyDescent="0.2">
      <c r="A52" s="55" t="s">
        <v>125</v>
      </c>
      <c r="B52" s="67" t="s">
        <v>896</v>
      </c>
      <c r="C52" s="55" t="s">
        <v>403</v>
      </c>
      <c r="D52" s="55" t="s">
        <v>853</v>
      </c>
      <c r="E52" s="56" t="s">
        <v>827</v>
      </c>
      <c r="F52" s="56" t="s">
        <v>827</v>
      </c>
      <c r="G52" s="68" t="s">
        <v>897</v>
      </c>
      <c r="H52" s="57">
        <v>2199</v>
      </c>
      <c r="I52" s="57">
        <v>2395</v>
      </c>
      <c r="J52" s="57">
        <v>2897.95</v>
      </c>
      <c r="K52" s="57">
        <v>196</v>
      </c>
      <c r="L52" s="58">
        <v>8.1837160751565765</v>
      </c>
      <c r="M52" s="58">
        <v>8.9131423374261018</v>
      </c>
      <c r="N52" s="60"/>
      <c r="O52" s="60"/>
      <c r="P52" s="56">
        <v>0</v>
      </c>
      <c r="Q52" s="69"/>
    </row>
    <row r="53" spans="1:17" ht="16" x14ac:dyDescent="0.2">
      <c r="A53" s="61" t="s">
        <v>125</v>
      </c>
      <c r="B53" s="61" t="s">
        <v>402</v>
      </c>
      <c r="C53" s="61" t="s">
        <v>403</v>
      </c>
      <c r="D53" s="61" t="s">
        <v>404</v>
      </c>
      <c r="E53" s="62" t="s">
        <v>828</v>
      </c>
      <c r="F53" s="62" t="s">
        <v>829</v>
      </c>
      <c r="G53" s="70" t="s">
        <v>898</v>
      </c>
      <c r="H53" s="63">
        <v>1509</v>
      </c>
      <c r="I53" s="63">
        <v>2395</v>
      </c>
      <c r="J53" s="63">
        <v>2897.95</v>
      </c>
      <c r="K53" s="63">
        <v>886</v>
      </c>
      <c r="L53" s="64">
        <v>36.993736951983287</v>
      </c>
      <c r="M53" s="64">
        <v>58.714380384360503</v>
      </c>
      <c r="N53" s="71">
        <v>14.49165402124431</v>
      </c>
      <c r="O53" s="71">
        <v>14.49165402124431</v>
      </c>
      <c r="P53" s="62">
        <v>1</v>
      </c>
      <c r="Q53" s="72" t="s">
        <v>899</v>
      </c>
    </row>
    <row r="54" spans="1:17" ht="16" x14ac:dyDescent="0.2">
      <c r="A54" s="55" t="s">
        <v>125</v>
      </c>
      <c r="B54" s="55" t="s">
        <v>316</v>
      </c>
      <c r="C54" s="55" t="s">
        <v>317</v>
      </c>
      <c r="D54" s="55" t="s">
        <v>318</v>
      </c>
      <c r="E54" s="56" t="s">
        <v>828</v>
      </c>
      <c r="F54" s="56" t="s">
        <v>829</v>
      </c>
      <c r="G54" s="77" t="s">
        <v>900</v>
      </c>
      <c r="H54" s="57">
        <v>334</v>
      </c>
      <c r="I54" s="57">
        <v>530</v>
      </c>
      <c r="J54" s="57">
        <v>641.29999999999995</v>
      </c>
      <c r="K54" s="57">
        <v>196</v>
      </c>
      <c r="L54" s="58">
        <v>36.981132075471699</v>
      </c>
      <c r="M54" s="58">
        <v>58.682634730538922</v>
      </c>
      <c r="N54" s="60">
        <v>0</v>
      </c>
      <c r="O54" s="74">
        <v>14.38356164383562</v>
      </c>
      <c r="P54" s="56">
        <v>1</v>
      </c>
      <c r="Q54" s="69" t="s">
        <v>902</v>
      </c>
    </row>
    <row r="55" spans="1:17" ht="16" x14ac:dyDescent="0.2">
      <c r="A55" s="61" t="s">
        <v>125</v>
      </c>
      <c r="B55" s="61" t="s">
        <v>319</v>
      </c>
      <c r="C55" s="61" t="s">
        <v>320</v>
      </c>
      <c r="D55" s="61" t="s">
        <v>321</v>
      </c>
      <c r="E55" s="62" t="s">
        <v>828</v>
      </c>
      <c r="F55" s="62" t="s">
        <v>829</v>
      </c>
      <c r="G55" s="78" t="s">
        <v>900</v>
      </c>
      <c r="H55" s="63">
        <v>473</v>
      </c>
      <c r="I55" s="63">
        <v>750</v>
      </c>
      <c r="J55" s="63">
        <v>907.5</v>
      </c>
      <c r="K55" s="63">
        <v>277</v>
      </c>
      <c r="L55" s="64">
        <v>36.933333333333337</v>
      </c>
      <c r="M55" s="64">
        <v>58.562367864693442</v>
      </c>
      <c r="N55" s="66">
        <v>0</v>
      </c>
      <c r="O55" s="71">
        <v>14.52784503631961</v>
      </c>
      <c r="P55" s="62">
        <v>1</v>
      </c>
      <c r="Q55" s="72" t="s">
        <v>902</v>
      </c>
    </row>
    <row r="56" spans="1:17" ht="16" x14ac:dyDescent="0.2">
      <c r="A56" s="55" t="s">
        <v>125</v>
      </c>
      <c r="B56" s="55" t="s">
        <v>322</v>
      </c>
      <c r="C56" s="55" t="s">
        <v>323</v>
      </c>
      <c r="D56" s="55" t="s">
        <v>324</v>
      </c>
      <c r="E56" s="56" t="s">
        <v>828</v>
      </c>
      <c r="F56" s="56" t="s">
        <v>829</v>
      </c>
      <c r="G56" s="77" t="s">
        <v>900</v>
      </c>
      <c r="H56" s="57">
        <v>612</v>
      </c>
      <c r="I56" s="57">
        <v>970</v>
      </c>
      <c r="J56" s="57">
        <v>1173.7</v>
      </c>
      <c r="K56" s="57">
        <v>358</v>
      </c>
      <c r="L56" s="58">
        <v>36.907216494845358</v>
      </c>
      <c r="M56" s="58">
        <v>58.496732026143803</v>
      </c>
      <c r="N56" s="60">
        <v>0.16366612111292961</v>
      </c>
      <c r="O56" s="74">
        <v>14.606741573033711</v>
      </c>
      <c r="P56" s="56">
        <v>2</v>
      </c>
      <c r="Q56" s="69" t="s">
        <v>901</v>
      </c>
    </row>
    <row r="57" spans="1:17" ht="16" x14ac:dyDescent="0.2">
      <c r="A57" s="61" t="s">
        <v>125</v>
      </c>
      <c r="B57" s="61" t="s">
        <v>325</v>
      </c>
      <c r="C57" s="61" t="s">
        <v>326</v>
      </c>
      <c r="D57" s="61" t="s">
        <v>327</v>
      </c>
      <c r="E57" s="62" t="s">
        <v>828</v>
      </c>
      <c r="F57" s="62" t="s">
        <v>829</v>
      </c>
      <c r="G57" s="78" t="s">
        <v>900</v>
      </c>
      <c r="H57" s="63">
        <v>1320</v>
      </c>
      <c r="I57" s="63">
        <v>2095</v>
      </c>
      <c r="J57" s="63">
        <v>2534.9499999999998</v>
      </c>
      <c r="K57" s="63">
        <v>775</v>
      </c>
      <c r="L57" s="64">
        <v>36.992840095465397</v>
      </c>
      <c r="M57" s="64">
        <v>58.712121212121218</v>
      </c>
      <c r="N57" s="66">
        <v>0</v>
      </c>
      <c r="O57" s="71">
        <v>14.483954900260191</v>
      </c>
      <c r="P57" s="62">
        <v>1</v>
      </c>
      <c r="Q57" s="72" t="s">
        <v>902</v>
      </c>
    </row>
    <row r="58" spans="1:17" ht="16" x14ac:dyDescent="0.2">
      <c r="A58" s="55" t="s">
        <v>125</v>
      </c>
      <c r="B58" s="55" t="s">
        <v>328</v>
      </c>
      <c r="C58" s="55" t="s">
        <v>329</v>
      </c>
      <c r="D58" s="55" t="s">
        <v>330</v>
      </c>
      <c r="E58" s="56" t="s">
        <v>828</v>
      </c>
      <c r="F58" s="56" t="s">
        <v>829</v>
      </c>
      <c r="G58" s="77" t="s">
        <v>900</v>
      </c>
      <c r="H58" s="57">
        <v>1509</v>
      </c>
      <c r="I58" s="57">
        <v>2395</v>
      </c>
      <c r="J58" s="57">
        <v>2897.95</v>
      </c>
      <c r="K58" s="57">
        <v>886</v>
      </c>
      <c r="L58" s="58">
        <v>36.993736951983287</v>
      </c>
      <c r="M58" s="58">
        <v>58.714380384360503</v>
      </c>
      <c r="N58" s="60">
        <v>0</v>
      </c>
      <c r="O58" s="74">
        <v>14.49165402124431</v>
      </c>
      <c r="P58" s="56">
        <v>1</v>
      </c>
      <c r="Q58" s="69" t="s">
        <v>902</v>
      </c>
    </row>
    <row r="59" spans="1:17" ht="16" x14ac:dyDescent="0.2">
      <c r="A59" s="61" t="s">
        <v>125</v>
      </c>
      <c r="B59" s="61" t="s">
        <v>253</v>
      </c>
      <c r="C59" s="61" t="s">
        <v>254</v>
      </c>
      <c r="D59" s="61" t="s">
        <v>255</v>
      </c>
      <c r="E59" s="62" t="s">
        <v>828</v>
      </c>
      <c r="F59" s="62" t="s">
        <v>829</v>
      </c>
      <c r="G59" s="78" t="s">
        <v>900</v>
      </c>
      <c r="H59" s="63">
        <v>312</v>
      </c>
      <c r="I59" s="63">
        <v>495</v>
      </c>
      <c r="J59" s="63">
        <v>598.95000000000005</v>
      </c>
      <c r="K59" s="63">
        <v>183</v>
      </c>
      <c r="L59" s="64">
        <v>36.969696969696969</v>
      </c>
      <c r="M59" s="64">
        <v>58.653846153846153</v>
      </c>
      <c r="N59" s="66">
        <v>0</v>
      </c>
      <c r="O59" s="71">
        <v>14.285714285714279</v>
      </c>
      <c r="P59" s="62">
        <v>1</v>
      </c>
      <c r="Q59" s="72" t="s">
        <v>902</v>
      </c>
    </row>
    <row r="60" spans="1:17" ht="16" x14ac:dyDescent="0.2">
      <c r="A60" s="55" t="s">
        <v>125</v>
      </c>
      <c r="B60" s="55" t="s">
        <v>256</v>
      </c>
      <c r="C60" s="55" t="s">
        <v>257</v>
      </c>
      <c r="D60" s="55" t="s">
        <v>258</v>
      </c>
      <c r="E60" s="56" t="s">
        <v>828</v>
      </c>
      <c r="F60" s="56" t="s">
        <v>829</v>
      </c>
      <c r="G60" s="77" t="s">
        <v>900</v>
      </c>
      <c r="H60" s="57">
        <v>495</v>
      </c>
      <c r="I60" s="57">
        <v>785</v>
      </c>
      <c r="J60" s="57">
        <v>949.85</v>
      </c>
      <c r="K60" s="57">
        <v>290</v>
      </c>
      <c r="L60" s="58">
        <v>36.942675159235669</v>
      </c>
      <c r="M60" s="58">
        <v>58.585858585858588</v>
      </c>
      <c r="N60" s="60">
        <v>0</v>
      </c>
      <c r="O60" s="74">
        <v>14.58333333333333</v>
      </c>
      <c r="P60" s="56">
        <v>1</v>
      </c>
      <c r="Q60" s="69" t="s">
        <v>902</v>
      </c>
    </row>
    <row r="61" spans="1:17" ht="16" x14ac:dyDescent="0.2">
      <c r="A61" s="61" t="s">
        <v>125</v>
      </c>
      <c r="B61" s="61" t="s">
        <v>259</v>
      </c>
      <c r="C61" s="61" t="s">
        <v>260</v>
      </c>
      <c r="D61" s="61" t="s">
        <v>261</v>
      </c>
      <c r="E61" s="62" t="s">
        <v>828</v>
      </c>
      <c r="F61" s="62" t="s">
        <v>829</v>
      </c>
      <c r="G61" s="78" t="s">
        <v>900</v>
      </c>
      <c r="H61" s="63">
        <v>627</v>
      </c>
      <c r="I61" s="63">
        <v>995</v>
      </c>
      <c r="J61" s="63">
        <v>1203.95</v>
      </c>
      <c r="K61" s="63">
        <v>368</v>
      </c>
      <c r="L61" s="64">
        <v>36.984924623115567</v>
      </c>
      <c r="M61" s="64">
        <v>58.692185007974487</v>
      </c>
      <c r="N61" s="66">
        <v>0</v>
      </c>
      <c r="O61" s="71">
        <v>14.416058394160579</v>
      </c>
      <c r="P61" s="62">
        <v>1</v>
      </c>
      <c r="Q61" s="72" t="s">
        <v>902</v>
      </c>
    </row>
    <row r="62" spans="1:17" ht="16" x14ac:dyDescent="0.2">
      <c r="A62" s="55" t="s">
        <v>125</v>
      </c>
      <c r="B62" s="55" t="s">
        <v>262</v>
      </c>
      <c r="C62" s="55" t="s">
        <v>263</v>
      </c>
      <c r="D62" s="55" t="s">
        <v>264</v>
      </c>
      <c r="E62" s="56" t="s">
        <v>828</v>
      </c>
      <c r="F62" s="56" t="s">
        <v>829</v>
      </c>
      <c r="G62" s="77" t="s">
        <v>900</v>
      </c>
      <c r="H62" s="57">
        <v>1465</v>
      </c>
      <c r="I62" s="57">
        <v>2325</v>
      </c>
      <c r="J62" s="57">
        <v>2813.25</v>
      </c>
      <c r="K62" s="57">
        <v>860</v>
      </c>
      <c r="L62" s="58">
        <v>36.989247311827953</v>
      </c>
      <c r="M62" s="58">
        <v>58.703071672354938</v>
      </c>
      <c r="N62" s="60">
        <v>0</v>
      </c>
      <c r="O62" s="74">
        <v>14.5426114151681</v>
      </c>
      <c r="P62" s="56">
        <v>1</v>
      </c>
      <c r="Q62" s="69" t="s">
        <v>902</v>
      </c>
    </row>
    <row r="63" spans="1:17" ht="16" x14ac:dyDescent="0.2">
      <c r="A63" s="61" t="s">
        <v>125</v>
      </c>
      <c r="B63" s="61" t="s">
        <v>265</v>
      </c>
      <c r="C63" s="61" t="s">
        <v>266</v>
      </c>
      <c r="D63" s="61" t="s">
        <v>267</v>
      </c>
      <c r="E63" s="62" t="s">
        <v>828</v>
      </c>
      <c r="F63" s="62" t="s">
        <v>829</v>
      </c>
      <c r="G63" s="78" t="s">
        <v>900</v>
      </c>
      <c r="H63" s="63">
        <v>1635</v>
      </c>
      <c r="I63" s="63">
        <v>2595</v>
      </c>
      <c r="J63" s="63">
        <v>3139.95</v>
      </c>
      <c r="K63" s="63">
        <v>960</v>
      </c>
      <c r="L63" s="64">
        <v>36.994219653179186</v>
      </c>
      <c r="M63" s="64">
        <v>58.715596330275233</v>
      </c>
      <c r="N63" s="66">
        <v>0</v>
      </c>
      <c r="O63" s="71">
        <v>14.495798319327729</v>
      </c>
      <c r="P63" s="62">
        <v>1</v>
      </c>
      <c r="Q63" s="72" t="s">
        <v>902</v>
      </c>
    </row>
    <row r="64" spans="1:17" ht="16" x14ac:dyDescent="0.2">
      <c r="A64" s="55" t="s">
        <v>125</v>
      </c>
      <c r="B64" s="55" t="s">
        <v>193</v>
      </c>
      <c r="C64" s="55" t="s">
        <v>194</v>
      </c>
      <c r="D64" s="55" t="s">
        <v>195</v>
      </c>
      <c r="E64" s="56" t="s">
        <v>828</v>
      </c>
      <c r="F64" s="56" t="s">
        <v>829</v>
      </c>
      <c r="G64" s="77" t="s">
        <v>900</v>
      </c>
      <c r="H64" s="57">
        <v>171</v>
      </c>
      <c r="I64" s="57">
        <v>270</v>
      </c>
      <c r="J64" s="57">
        <v>326.7</v>
      </c>
      <c r="K64" s="57">
        <v>99</v>
      </c>
      <c r="L64" s="58">
        <v>36.666666666666657</v>
      </c>
      <c r="M64" s="58">
        <v>57.894736842105267</v>
      </c>
      <c r="N64" s="74">
        <v>0.58823529411764708</v>
      </c>
      <c r="O64" s="74">
        <v>14.76510067114094</v>
      </c>
      <c r="P64" s="56">
        <v>2</v>
      </c>
      <c r="Q64" s="69" t="s">
        <v>901</v>
      </c>
    </row>
    <row r="65" spans="1:17" ht="16" x14ac:dyDescent="0.2">
      <c r="A65" s="61" t="s">
        <v>125</v>
      </c>
      <c r="B65" s="61" t="s">
        <v>184</v>
      </c>
      <c r="C65" s="61" t="s">
        <v>185</v>
      </c>
      <c r="D65" s="61" t="s">
        <v>186</v>
      </c>
      <c r="E65" s="62" t="s">
        <v>828</v>
      </c>
      <c r="F65" s="62" t="s">
        <v>829</v>
      </c>
      <c r="G65" s="78" t="s">
        <v>900</v>
      </c>
      <c r="H65" s="63">
        <v>530</v>
      </c>
      <c r="I65" s="63">
        <v>840</v>
      </c>
      <c r="J65" s="63">
        <v>1016.4</v>
      </c>
      <c r="K65" s="63">
        <v>310</v>
      </c>
      <c r="L65" s="64">
        <v>36.904761904761912</v>
      </c>
      <c r="M65" s="64">
        <v>58.490566037735853</v>
      </c>
      <c r="N65" s="66">
        <v>0.1890359168241966</v>
      </c>
      <c r="O65" s="71">
        <v>14.71861471861472</v>
      </c>
      <c r="P65" s="62">
        <v>2</v>
      </c>
      <c r="Q65" s="72" t="s">
        <v>901</v>
      </c>
    </row>
    <row r="66" spans="1:17" ht="16" x14ac:dyDescent="0.2">
      <c r="A66" s="55" t="s">
        <v>125</v>
      </c>
      <c r="B66" s="55" t="s">
        <v>187</v>
      </c>
      <c r="C66" s="55" t="s">
        <v>188</v>
      </c>
      <c r="D66" s="55" t="s">
        <v>189</v>
      </c>
      <c r="E66" s="56" t="s">
        <v>828</v>
      </c>
      <c r="F66" s="56" t="s">
        <v>829</v>
      </c>
      <c r="G66" s="77" t="s">
        <v>900</v>
      </c>
      <c r="H66" s="57">
        <v>756</v>
      </c>
      <c r="I66" s="57">
        <v>1200</v>
      </c>
      <c r="J66" s="57">
        <v>1452</v>
      </c>
      <c r="K66" s="57">
        <v>444</v>
      </c>
      <c r="L66" s="58">
        <v>37</v>
      </c>
      <c r="M66" s="58">
        <v>58.730158730158728</v>
      </c>
      <c r="N66" s="60">
        <v>0</v>
      </c>
      <c r="O66" s="74">
        <v>14.54545454545454</v>
      </c>
      <c r="P66" s="56">
        <v>1</v>
      </c>
      <c r="Q66" s="69" t="s">
        <v>902</v>
      </c>
    </row>
    <row r="67" spans="1:17" ht="16" x14ac:dyDescent="0.2">
      <c r="A67" s="61" t="s">
        <v>125</v>
      </c>
      <c r="B67" s="61" t="s">
        <v>190</v>
      </c>
      <c r="C67" s="61" t="s">
        <v>191</v>
      </c>
      <c r="D67" s="61" t="s">
        <v>192</v>
      </c>
      <c r="E67" s="62" t="s">
        <v>828</v>
      </c>
      <c r="F67" s="62" t="s">
        <v>829</v>
      </c>
      <c r="G67" s="78" t="s">
        <v>900</v>
      </c>
      <c r="H67" s="63">
        <v>958</v>
      </c>
      <c r="I67" s="63">
        <v>1520</v>
      </c>
      <c r="J67" s="63">
        <v>1839.2</v>
      </c>
      <c r="K67" s="63">
        <v>562</v>
      </c>
      <c r="L67" s="64">
        <v>36.973684210526322</v>
      </c>
      <c r="M67" s="64">
        <v>58.663883089770351</v>
      </c>
      <c r="N67" s="66">
        <v>0</v>
      </c>
      <c r="O67" s="71">
        <v>14.593301435406699</v>
      </c>
      <c r="P67" s="62">
        <v>1</v>
      </c>
      <c r="Q67" s="72" t="s">
        <v>902</v>
      </c>
    </row>
    <row r="68" spans="1:17" ht="16" x14ac:dyDescent="0.2">
      <c r="A68" s="55" t="s">
        <v>125</v>
      </c>
      <c r="B68" s="55" t="s">
        <v>196</v>
      </c>
      <c r="C68" s="55" t="s">
        <v>197</v>
      </c>
      <c r="D68" s="55" t="s">
        <v>198</v>
      </c>
      <c r="E68" s="56" t="s">
        <v>828</v>
      </c>
      <c r="F68" s="56" t="s">
        <v>829</v>
      </c>
      <c r="G68" s="77" t="s">
        <v>900</v>
      </c>
      <c r="H68" s="57">
        <v>1991</v>
      </c>
      <c r="I68" s="57">
        <v>3160</v>
      </c>
      <c r="J68" s="57">
        <v>3823.6</v>
      </c>
      <c r="K68" s="57">
        <v>1169</v>
      </c>
      <c r="L68" s="58">
        <v>36.993670886075947</v>
      </c>
      <c r="M68" s="58">
        <v>58.714213962832751</v>
      </c>
      <c r="N68" s="60">
        <v>0</v>
      </c>
      <c r="O68" s="74">
        <v>14.55696202531646</v>
      </c>
      <c r="P68" s="56">
        <v>1</v>
      </c>
      <c r="Q68" s="69" t="s">
        <v>902</v>
      </c>
    </row>
    <row r="69" spans="1:17" ht="16" x14ac:dyDescent="0.2">
      <c r="A69" s="61" t="s">
        <v>125</v>
      </c>
      <c r="B69" s="61" t="s">
        <v>199</v>
      </c>
      <c r="C69" s="61" t="s">
        <v>200</v>
      </c>
      <c r="D69" s="61" t="s">
        <v>201</v>
      </c>
      <c r="E69" s="62" t="s">
        <v>828</v>
      </c>
      <c r="F69" s="62" t="s">
        <v>829</v>
      </c>
      <c r="G69" s="78" t="s">
        <v>900</v>
      </c>
      <c r="H69" s="63">
        <v>2262</v>
      </c>
      <c r="I69" s="63">
        <v>3590</v>
      </c>
      <c r="J69" s="63">
        <v>4343.8999999999996</v>
      </c>
      <c r="K69" s="63">
        <v>1328</v>
      </c>
      <c r="L69" s="64">
        <v>36.991643454039</v>
      </c>
      <c r="M69" s="64">
        <v>58.709106984969047</v>
      </c>
      <c r="N69" s="66">
        <v>0</v>
      </c>
      <c r="O69" s="71">
        <v>14.531645569620251</v>
      </c>
      <c r="P69" s="62">
        <v>1</v>
      </c>
      <c r="Q69" s="72" t="s">
        <v>902</v>
      </c>
    </row>
    <row r="70" spans="1:17" ht="16" x14ac:dyDescent="0.2">
      <c r="A70" s="55" t="s">
        <v>125</v>
      </c>
      <c r="B70" s="55" t="s">
        <v>132</v>
      </c>
      <c r="C70" s="55" t="s">
        <v>133</v>
      </c>
      <c r="D70" s="55" t="s">
        <v>134</v>
      </c>
      <c r="E70" s="56" t="s">
        <v>828</v>
      </c>
      <c r="F70" s="56" t="s">
        <v>829</v>
      </c>
      <c r="G70" s="77" t="s">
        <v>900</v>
      </c>
      <c r="H70" s="57">
        <v>1223</v>
      </c>
      <c r="I70" s="57">
        <v>1940</v>
      </c>
      <c r="J70" s="57">
        <v>2347.4</v>
      </c>
      <c r="K70" s="57">
        <v>717</v>
      </c>
      <c r="L70" s="58">
        <v>36.958762886597938</v>
      </c>
      <c r="M70" s="58">
        <v>58.626328699918233</v>
      </c>
      <c r="N70" s="60">
        <v>8.1833060556464818E-2</v>
      </c>
      <c r="O70" s="74">
        <v>14.620431115276469</v>
      </c>
      <c r="P70" s="56">
        <v>2</v>
      </c>
      <c r="Q70" s="69" t="s">
        <v>901</v>
      </c>
    </row>
    <row r="71" spans="1:17" ht="16" x14ac:dyDescent="0.2">
      <c r="A71" s="61" t="s">
        <v>125</v>
      </c>
      <c r="B71" s="75" t="s">
        <v>896</v>
      </c>
      <c r="C71" s="61" t="s">
        <v>127</v>
      </c>
      <c r="D71" s="61" t="s">
        <v>128</v>
      </c>
      <c r="E71" s="62" t="s">
        <v>828</v>
      </c>
      <c r="F71" s="62" t="s">
        <v>829</v>
      </c>
      <c r="G71" s="78" t="s">
        <v>900</v>
      </c>
      <c r="H71" s="63">
        <v>618</v>
      </c>
      <c r="I71" s="63">
        <v>980</v>
      </c>
      <c r="J71" s="63">
        <v>1185.8</v>
      </c>
      <c r="K71" s="63">
        <v>362</v>
      </c>
      <c r="L71" s="64">
        <v>36.938775510204081</v>
      </c>
      <c r="M71" s="64">
        <v>58.576051779935277</v>
      </c>
      <c r="N71" s="66">
        <v>0.16207455429497569</v>
      </c>
      <c r="O71" s="71">
        <v>14.65677179962894</v>
      </c>
      <c r="P71" s="62">
        <v>2</v>
      </c>
      <c r="Q71" s="72" t="s">
        <v>901</v>
      </c>
    </row>
    <row r="72" spans="1:17" ht="16" x14ac:dyDescent="0.2">
      <c r="A72" s="55" t="s">
        <v>125</v>
      </c>
      <c r="B72" s="55" t="s">
        <v>129</v>
      </c>
      <c r="C72" s="55" t="s">
        <v>130</v>
      </c>
      <c r="D72" s="55" t="s">
        <v>131</v>
      </c>
      <c r="E72" s="56" t="s">
        <v>828</v>
      </c>
      <c r="F72" s="56" t="s">
        <v>829</v>
      </c>
      <c r="G72" s="77" t="s">
        <v>900</v>
      </c>
      <c r="H72" s="57">
        <v>927</v>
      </c>
      <c r="I72" s="57">
        <v>1470</v>
      </c>
      <c r="J72" s="57">
        <v>1778.7</v>
      </c>
      <c r="K72" s="57">
        <v>543</v>
      </c>
      <c r="L72" s="58">
        <v>36.938775510204081</v>
      </c>
      <c r="M72" s="58">
        <v>58.576051779935277</v>
      </c>
      <c r="N72" s="60">
        <v>0.10799136069114471</v>
      </c>
      <c r="O72" s="74">
        <v>14.58590852904821</v>
      </c>
      <c r="P72" s="56">
        <v>2</v>
      </c>
      <c r="Q72" s="69" t="s">
        <v>901</v>
      </c>
    </row>
    <row r="73" spans="1:17" ht="16" x14ac:dyDescent="0.2">
      <c r="A73" s="61" t="s">
        <v>125</v>
      </c>
      <c r="B73" s="61" t="s">
        <v>135</v>
      </c>
      <c r="C73" s="61" t="s">
        <v>136</v>
      </c>
      <c r="D73" s="61" t="s">
        <v>138</v>
      </c>
      <c r="E73" s="62" t="s">
        <v>828</v>
      </c>
      <c r="F73" s="62" t="s">
        <v>829</v>
      </c>
      <c r="G73" s="70" t="s">
        <v>903</v>
      </c>
      <c r="H73" s="63">
        <v>2435</v>
      </c>
      <c r="I73" s="63">
        <v>3865</v>
      </c>
      <c r="J73" s="63">
        <v>4676.6499999999996</v>
      </c>
      <c r="K73" s="63">
        <v>1430</v>
      </c>
      <c r="L73" s="64">
        <v>36.998706338939193</v>
      </c>
      <c r="M73" s="64">
        <v>58.726899383983579</v>
      </c>
      <c r="N73" s="66">
        <v>0</v>
      </c>
      <c r="O73" s="71">
        <v>14.534336782690501</v>
      </c>
      <c r="P73" s="62">
        <v>1</v>
      </c>
      <c r="Q73" s="72" t="s">
        <v>902</v>
      </c>
    </row>
    <row r="74" spans="1:17" ht="16" x14ac:dyDescent="0.2">
      <c r="A74" s="55" t="s">
        <v>125</v>
      </c>
      <c r="B74" s="55" t="s">
        <v>135</v>
      </c>
      <c r="C74" s="55" t="s">
        <v>136</v>
      </c>
      <c r="D74" s="55" t="s">
        <v>137</v>
      </c>
      <c r="E74" s="56" t="s">
        <v>828</v>
      </c>
      <c r="F74" s="56" t="s">
        <v>829</v>
      </c>
      <c r="G74" s="73" t="s">
        <v>903</v>
      </c>
      <c r="H74" s="57">
        <v>275</v>
      </c>
      <c r="I74" s="57">
        <v>435</v>
      </c>
      <c r="J74" s="57">
        <v>526.35</v>
      </c>
      <c r="K74" s="57">
        <v>160</v>
      </c>
      <c r="L74" s="58">
        <v>36.781609195402297</v>
      </c>
      <c r="M74" s="58">
        <v>58.18181818181818</v>
      </c>
      <c r="N74" s="60">
        <v>0.36496350364963498</v>
      </c>
      <c r="O74" s="74">
        <v>14.58333333333333</v>
      </c>
      <c r="P74" s="56">
        <v>2</v>
      </c>
      <c r="Q74" s="69" t="s">
        <v>901</v>
      </c>
    </row>
    <row r="75" spans="1:17" ht="16" x14ac:dyDescent="0.2">
      <c r="A75" s="61" t="s">
        <v>125</v>
      </c>
      <c r="B75" s="61" t="s">
        <v>139</v>
      </c>
      <c r="C75" s="61" t="s">
        <v>140</v>
      </c>
      <c r="D75" s="61" t="s">
        <v>141</v>
      </c>
      <c r="E75" s="62" t="s">
        <v>828</v>
      </c>
      <c r="F75" s="62" t="s">
        <v>829</v>
      </c>
      <c r="G75" s="78" t="s">
        <v>900</v>
      </c>
      <c r="H75" s="63">
        <v>2732</v>
      </c>
      <c r="I75" s="63">
        <v>4335</v>
      </c>
      <c r="J75" s="63">
        <v>5245.35</v>
      </c>
      <c r="K75" s="63">
        <v>1603</v>
      </c>
      <c r="L75" s="64">
        <v>36.978085351787783</v>
      </c>
      <c r="M75" s="64">
        <v>58.674963396778907</v>
      </c>
      <c r="N75" s="66">
        <v>3.661662394727206E-2</v>
      </c>
      <c r="O75" s="71">
        <v>14.54926624737945</v>
      </c>
      <c r="P75" s="62">
        <v>2</v>
      </c>
      <c r="Q75" s="72" t="s">
        <v>901</v>
      </c>
    </row>
    <row r="76" spans="1:17" ht="16" x14ac:dyDescent="0.2">
      <c r="A76" s="55" t="s">
        <v>125</v>
      </c>
      <c r="B76" s="55" t="s">
        <v>142</v>
      </c>
      <c r="C76" s="55" t="s">
        <v>143</v>
      </c>
      <c r="D76" s="55" t="s">
        <v>144</v>
      </c>
      <c r="E76" s="56" t="s">
        <v>828</v>
      </c>
      <c r="F76" s="56" t="s">
        <v>829</v>
      </c>
      <c r="G76" s="77" t="s">
        <v>900</v>
      </c>
      <c r="H76" s="57">
        <v>413</v>
      </c>
      <c r="I76" s="57">
        <v>655</v>
      </c>
      <c r="J76" s="57">
        <v>792.55</v>
      </c>
      <c r="K76" s="57">
        <v>242</v>
      </c>
      <c r="L76" s="58">
        <v>36.946564885496187</v>
      </c>
      <c r="M76" s="58">
        <v>58.595641646489113</v>
      </c>
      <c r="N76" s="60">
        <v>0</v>
      </c>
      <c r="O76" s="74">
        <v>14.40443213296399</v>
      </c>
      <c r="P76" s="56">
        <v>1</v>
      </c>
      <c r="Q76" s="69" t="s">
        <v>902</v>
      </c>
    </row>
    <row r="77" spans="1:17" ht="16" x14ac:dyDescent="0.2">
      <c r="A77" s="61" t="s">
        <v>125</v>
      </c>
      <c r="B77" s="61" t="s">
        <v>145</v>
      </c>
      <c r="C77" s="61" t="s">
        <v>146</v>
      </c>
      <c r="D77" s="61" t="s">
        <v>147</v>
      </c>
      <c r="E77" s="62" t="s">
        <v>828</v>
      </c>
      <c r="F77" s="62" t="s">
        <v>829</v>
      </c>
      <c r="G77" s="78" t="s">
        <v>900</v>
      </c>
      <c r="H77" s="63">
        <v>608</v>
      </c>
      <c r="I77" s="63">
        <v>965</v>
      </c>
      <c r="J77" s="63">
        <v>1167.6500000000001</v>
      </c>
      <c r="K77" s="63">
        <v>357</v>
      </c>
      <c r="L77" s="64">
        <v>36.994818652849737</v>
      </c>
      <c r="M77" s="64">
        <v>58.717105263157897</v>
      </c>
      <c r="N77" s="66">
        <v>0</v>
      </c>
      <c r="O77" s="71">
        <v>14.50094161958569</v>
      </c>
      <c r="P77" s="62">
        <v>1</v>
      </c>
      <c r="Q77" s="72" t="s">
        <v>902</v>
      </c>
    </row>
    <row r="78" spans="1:17" ht="16" x14ac:dyDescent="0.2">
      <c r="A78" s="55" t="s">
        <v>125</v>
      </c>
      <c r="B78" s="55" t="s">
        <v>148</v>
      </c>
      <c r="C78" s="55" t="s">
        <v>149</v>
      </c>
      <c r="D78" s="55" t="s">
        <v>150</v>
      </c>
      <c r="E78" s="56" t="s">
        <v>828</v>
      </c>
      <c r="F78" s="56" t="s">
        <v>829</v>
      </c>
      <c r="G78" s="77" t="s">
        <v>900</v>
      </c>
      <c r="H78" s="57">
        <v>772</v>
      </c>
      <c r="I78" s="57">
        <v>1225</v>
      </c>
      <c r="J78" s="57">
        <v>1482.25</v>
      </c>
      <c r="K78" s="57">
        <v>453</v>
      </c>
      <c r="L78" s="58">
        <v>36.979591836734691</v>
      </c>
      <c r="M78" s="58">
        <v>58.678756476683937</v>
      </c>
      <c r="N78" s="60">
        <v>0</v>
      </c>
      <c r="O78" s="74">
        <v>14.54005934718101</v>
      </c>
      <c r="P78" s="56">
        <v>1</v>
      </c>
      <c r="Q78" s="69" t="s">
        <v>902</v>
      </c>
    </row>
    <row r="79" spans="1:17" ht="16" x14ac:dyDescent="0.2">
      <c r="A79" s="61" t="s">
        <v>125</v>
      </c>
      <c r="B79" s="61" t="s">
        <v>157</v>
      </c>
      <c r="C79" s="61" t="s">
        <v>158</v>
      </c>
      <c r="D79" s="61" t="s">
        <v>159</v>
      </c>
      <c r="E79" s="62" t="s">
        <v>828</v>
      </c>
      <c r="F79" s="62" t="s">
        <v>829</v>
      </c>
      <c r="G79" s="78" t="s">
        <v>900</v>
      </c>
      <c r="H79" s="63">
        <v>1610</v>
      </c>
      <c r="I79" s="63">
        <v>2555</v>
      </c>
      <c r="J79" s="63">
        <v>3091.55</v>
      </c>
      <c r="K79" s="63">
        <v>945</v>
      </c>
      <c r="L79" s="64">
        <v>36.986301369863007</v>
      </c>
      <c r="M79" s="64">
        <v>58.695652173913047</v>
      </c>
      <c r="N79" s="66">
        <v>0</v>
      </c>
      <c r="O79" s="71">
        <v>14.509246088193461</v>
      </c>
      <c r="P79" s="62">
        <v>1</v>
      </c>
      <c r="Q79" s="72" t="s">
        <v>902</v>
      </c>
    </row>
    <row r="80" spans="1:17" ht="16" x14ac:dyDescent="0.2">
      <c r="A80" s="55" t="s">
        <v>125</v>
      </c>
      <c r="B80" s="55" t="s">
        <v>160</v>
      </c>
      <c r="C80" s="55" t="s">
        <v>161</v>
      </c>
      <c r="D80" s="55" t="s">
        <v>162</v>
      </c>
      <c r="E80" s="56" t="s">
        <v>828</v>
      </c>
      <c r="F80" s="56" t="s">
        <v>829</v>
      </c>
      <c r="G80" s="77" t="s">
        <v>900</v>
      </c>
      <c r="H80" s="57">
        <v>1843</v>
      </c>
      <c r="I80" s="57">
        <v>2925</v>
      </c>
      <c r="J80" s="57">
        <v>3539.25</v>
      </c>
      <c r="K80" s="57">
        <v>1082</v>
      </c>
      <c r="L80" s="58">
        <v>36.991452991452988</v>
      </c>
      <c r="M80" s="58">
        <v>58.708627238198588</v>
      </c>
      <c r="N80" s="60">
        <v>0</v>
      </c>
      <c r="O80" s="74">
        <v>14.543194530764451</v>
      </c>
      <c r="P80" s="56">
        <v>1</v>
      </c>
      <c r="Q80" s="69" t="s">
        <v>902</v>
      </c>
    </row>
    <row r="81" spans="1:17" ht="16" x14ac:dyDescent="0.2">
      <c r="A81" s="61" t="s">
        <v>125</v>
      </c>
      <c r="B81" s="75" t="s">
        <v>896</v>
      </c>
      <c r="C81" s="61" t="s">
        <v>459</v>
      </c>
      <c r="D81" s="61" t="s">
        <v>835</v>
      </c>
      <c r="E81" s="62" t="s">
        <v>827</v>
      </c>
      <c r="F81" s="62" t="s">
        <v>827</v>
      </c>
      <c r="G81" s="76" t="s">
        <v>897</v>
      </c>
      <c r="H81" s="63">
        <v>198</v>
      </c>
      <c r="I81" s="63">
        <v>2395</v>
      </c>
      <c r="J81" s="63">
        <v>2897.95</v>
      </c>
      <c r="K81" s="63">
        <v>2197</v>
      </c>
      <c r="L81" s="64">
        <v>91.732776617954073</v>
      </c>
      <c r="M81" s="64">
        <v>1109.59595959596</v>
      </c>
      <c r="N81" s="66"/>
      <c r="O81" s="66"/>
      <c r="P81" s="62">
        <v>0</v>
      </c>
      <c r="Q81" s="72"/>
    </row>
    <row r="82" spans="1:17" ht="16" x14ac:dyDescent="0.2">
      <c r="A82" s="55" t="s">
        <v>125</v>
      </c>
      <c r="B82" s="55" t="s">
        <v>458</v>
      </c>
      <c r="C82" s="55" t="s">
        <v>459</v>
      </c>
      <c r="D82" s="55" t="s">
        <v>460</v>
      </c>
      <c r="E82" s="56" t="s">
        <v>828</v>
      </c>
      <c r="F82" s="56" t="s">
        <v>829</v>
      </c>
      <c r="G82" s="73" t="s">
        <v>898</v>
      </c>
      <c r="H82" s="57">
        <v>1509</v>
      </c>
      <c r="I82" s="57">
        <v>2395</v>
      </c>
      <c r="J82" s="57">
        <v>2897.95</v>
      </c>
      <c r="K82" s="57">
        <v>886</v>
      </c>
      <c r="L82" s="58">
        <v>36.993736951983287</v>
      </c>
      <c r="M82" s="58">
        <v>58.714380384360503</v>
      </c>
      <c r="N82" s="74">
        <v>14.49165402124431</v>
      </c>
      <c r="O82" s="74">
        <v>14.49165402124431</v>
      </c>
      <c r="P82" s="56">
        <v>1</v>
      </c>
      <c r="Q82" s="69" t="s">
        <v>899</v>
      </c>
    </row>
    <row r="83" spans="1:17" ht="16" x14ac:dyDescent="0.2">
      <c r="A83" s="61" t="s">
        <v>125</v>
      </c>
      <c r="B83" s="75" t="s">
        <v>896</v>
      </c>
      <c r="C83" s="61" t="s">
        <v>432</v>
      </c>
      <c r="D83" s="61" t="s">
        <v>859</v>
      </c>
      <c r="E83" s="62" t="s">
        <v>827</v>
      </c>
      <c r="F83" s="62" t="s">
        <v>827</v>
      </c>
      <c r="G83" s="76" t="s">
        <v>897</v>
      </c>
      <c r="H83" s="63">
        <v>101</v>
      </c>
      <c r="I83" s="63">
        <v>550</v>
      </c>
      <c r="J83" s="63">
        <v>665.5</v>
      </c>
      <c r="K83" s="63">
        <v>449</v>
      </c>
      <c r="L83" s="64">
        <v>81.63636363636364</v>
      </c>
      <c r="M83" s="64">
        <v>444.55445544554459</v>
      </c>
      <c r="N83" s="66"/>
      <c r="O83" s="66"/>
      <c r="P83" s="62">
        <v>0</v>
      </c>
      <c r="Q83" s="72"/>
    </row>
    <row r="84" spans="1:17" ht="16" x14ac:dyDescent="0.2">
      <c r="A84" s="55" t="s">
        <v>125</v>
      </c>
      <c r="B84" s="55" t="s">
        <v>431</v>
      </c>
      <c r="C84" s="55" t="s">
        <v>432</v>
      </c>
      <c r="D84" s="55" t="s">
        <v>433</v>
      </c>
      <c r="E84" s="56" t="s">
        <v>828</v>
      </c>
      <c r="F84" s="56" t="s">
        <v>829</v>
      </c>
      <c r="G84" s="73" t="s">
        <v>898</v>
      </c>
      <c r="H84" s="57">
        <v>347</v>
      </c>
      <c r="I84" s="57">
        <v>550</v>
      </c>
      <c r="J84" s="57">
        <v>665.5</v>
      </c>
      <c r="K84" s="57">
        <v>203</v>
      </c>
      <c r="L84" s="58">
        <v>36.909090909090907</v>
      </c>
      <c r="M84" s="58">
        <v>58.501440922190213</v>
      </c>
      <c r="N84" s="74">
        <v>14.52145214521452</v>
      </c>
      <c r="O84" s="74">
        <v>14.52145214521452</v>
      </c>
      <c r="P84" s="56">
        <v>1</v>
      </c>
      <c r="Q84" s="69" t="s">
        <v>899</v>
      </c>
    </row>
    <row r="85" spans="1:17" ht="16" x14ac:dyDescent="0.2">
      <c r="A85" s="61" t="s">
        <v>125</v>
      </c>
      <c r="B85" s="61" t="s">
        <v>241</v>
      </c>
      <c r="C85" s="61" t="s">
        <v>242</v>
      </c>
      <c r="D85" s="61" t="s">
        <v>243</v>
      </c>
      <c r="E85" s="62" t="s">
        <v>828</v>
      </c>
      <c r="F85" s="62" t="s">
        <v>829</v>
      </c>
      <c r="G85" s="78" t="s">
        <v>900</v>
      </c>
      <c r="H85" s="63">
        <v>177</v>
      </c>
      <c r="I85" s="63">
        <v>280</v>
      </c>
      <c r="J85" s="63">
        <v>338.8</v>
      </c>
      <c r="K85" s="63">
        <v>103</v>
      </c>
      <c r="L85" s="64">
        <v>36.785714285714292</v>
      </c>
      <c r="M85" s="64">
        <v>58.192090395480221</v>
      </c>
      <c r="N85" s="71">
        <v>0.56818181818181823</v>
      </c>
      <c r="O85" s="71">
        <v>14.935064935064929</v>
      </c>
      <c r="P85" s="62">
        <v>2</v>
      </c>
      <c r="Q85" s="72" t="s">
        <v>901</v>
      </c>
    </row>
    <row r="86" spans="1:17" ht="16" x14ac:dyDescent="0.2">
      <c r="A86" s="55" t="s">
        <v>125</v>
      </c>
      <c r="B86" s="55" t="s">
        <v>244</v>
      </c>
      <c r="C86" s="55" t="s">
        <v>245</v>
      </c>
      <c r="D86" s="55" t="s">
        <v>246</v>
      </c>
      <c r="E86" s="56" t="s">
        <v>828</v>
      </c>
      <c r="F86" s="56" t="s">
        <v>829</v>
      </c>
      <c r="G86" s="77" t="s">
        <v>900</v>
      </c>
      <c r="H86" s="57">
        <v>246</v>
      </c>
      <c r="I86" s="57">
        <v>390</v>
      </c>
      <c r="J86" s="57">
        <v>471.9</v>
      </c>
      <c r="K86" s="57">
        <v>144</v>
      </c>
      <c r="L86" s="58">
        <v>36.923076923076927</v>
      </c>
      <c r="M86" s="58">
        <v>58.536585365853647</v>
      </c>
      <c r="N86" s="60">
        <v>0</v>
      </c>
      <c r="O86" s="74">
        <v>14.41860465116279</v>
      </c>
      <c r="P86" s="56">
        <v>1</v>
      </c>
      <c r="Q86" s="69" t="s">
        <v>902</v>
      </c>
    </row>
    <row r="87" spans="1:17" ht="16" x14ac:dyDescent="0.2">
      <c r="A87" s="61" t="s">
        <v>125</v>
      </c>
      <c r="B87" s="61" t="s">
        <v>232</v>
      </c>
      <c r="C87" s="61" t="s">
        <v>233</v>
      </c>
      <c r="D87" s="61" t="s">
        <v>234</v>
      </c>
      <c r="E87" s="62" t="s">
        <v>828</v>
      </c>
      <c r="F87" s="62" t="s">
        <v>829</v>
      </c>
      <c r="G87" s="78" t="s">
        <v>900</v>
      </c>
      <c r="H87" s="63">
        <v>268</v>
      </c>
      <c r="I87" s="63">
        <v>425</v>
      </c>
      <c r="J87" s="63">
        <v>514.25</v>
      </c>
      <c r="K87" s="63">
        <v>157</v>
      </c>
      <c r="L87" s="64">
        <v>36.941176470588232</v>
      </c>
      <c r="M87" s="64">
        <v>58.582089552238813</v>
      </c>
      <c r="N87" s="66">
        <v>0</v>
      </c>
      <c r="O87" s="71">
        <v>14.52991452991453</v>
      </c>
      <c r="P87" s="62">
        <v>1</v>
      </c>
      <c r="Q87" s="72" t="s">
        <v>902</v>
      </c>
    </row>
    <row r="88" spans="1:17" ht="16" x14ac:dyDescent="0.2">
      <c r="A88" s="55" t="s">
        <v>125</v>
      </c>
      <c r="B88" s="55" t="s">
        <v>235</v>
      </c>
      <c r="C88" s="55" t="s">
        <v>236</v>
      </c>
      <c r="D88" s="55" t="s">
        <v>237</v>
      </c>
      <c r="E88" s="56" t="s">
        <v>828</v>
      </c>
      <c r="F88" s="56" t="s">
        <v>829</v>
      </c>
      <c r="G88" s="77" t="s">
        <v>900</v>
      </c>
      <c r="H88" s="57">
        <v>454</v>
      </c>
      <c r="I88" s="57">
        <v>720</v>
      </c>
      <c r="J88" s="57">
        <v>871.2</v>
      </c>
      <c r="K88" s="57">
        <v>266</v>
      </c>
      <c r="L88" s="58">
        <v>36.944444444444443</v>
      </c>
      <c r="M88" s="58">
        <v>58.590308370044063</v>
      </c>
      <c r="N88" s="60">
        <v>0</v>
      </c>
      <c r="O88" s="74">
        <v>14.646464646464651</v>
      </c>
      <c r="P88" s="56">
        <v>1</v>
      </c>
      <c r="Q88" s="69" t="s">
        <v>902</v>
      </c>
    </row>
    <row r="89" spans="1:17" ht="16" x14ac:dyDescent="0.2">
      <c r="A89" s="61" t="s">
        <v>125</v>
      </c>
      <c r="B89" s="61" t="s">
        <v>238</v>
      </c>
      <c r="C89" s="61" t="s">
        <v>239</v>
      </c>
      <c r="D89" s="61" t="s">
        <v>240</v>
      </c>
      <c r="E89" s="62" t="s">
        <v>828</v>
      </c>
      <c r="F89" s="62" t="s">
        <v>829</v>
      </c>
      <c r="G89" s="78" t="s">
        <v>900</v>
      </c>
      <c r="H89" s="63">
        <v>596</v>
      </c>
      <c r="I89" s="63">
        <v>945</v>
      </c>
      <c r="J89" s="63">
        <v>1143.45</v>
      </c>
      <c r="K89" s="63">
        <v>349</v>
      </c>
      <c r="L89" s="64">
        <v>36.93121693121693</v>
      </c>
      <c r="M89" s="64">
        <v>58.557046979865767</v>
      </c>
      <c r="N89" s="66">
        <v>0.16806722689075629</v>
      </c>
      <c r="O89" s="71">
        <v>14.61538461538462</v>
      </c>
      <c r="P89" s="62">
        <v>2</v>
      </c>
      <c r="Q89" s="72" t="s">
        <v>901</v>
      </c>
    </row>
    <row r="90" spans="1:17" ht="16" x14ac:dyDescent="0.2">
      <c r="A90" s="55" t="s">
        <v>125</v>
      </c>
      <c r="B90" s="55" t="s">
        <v>247</v>
      </c>
      <c r="C90" s="55" t="s">
        <v>248</v>
      </c>
      <c r="D90" s="55" t="s">
        <v>249</v>
      </c>
      <c r="E90" s="56" t="s">
        <v>828</v>
      </c>
      <c r="F90" s="56" t="s">
        <v>829</v>
      </c>
      <c r="G90" s="77" t="s">
        <v>900</v>
      </c>
      <c r="H90" s="57">
        <v>1166</v>
      </c>
      <c r="I90" s="57">
        <v>1850</v>
      </c>
      <c r="J90" s="57">
        <v>2238.5</v>
      </c>
      <c r="K90" s="57">
        <v>684</v>
      </c>
      <c r="L90" s="58">
        <v>36.972972972972983</v>
      </c>
      <c r="M90" s="58">
        <v>58.662092624356767</v>
      </c>
      <c r="N90" s="60">
        <v>0</v>
      </c>
      <c r="O90" s="74">
        <v>14.53831041257367</v>
      </c>
      <c r="P90" s="56">
        <v>1</v>
      </c>
      <c r="Q90" s="69" t="s">
        <v>902</v>
      </c>
    </row>
    <row r="91" spans="1:17" ht="16" x14ac:dyDescent="0.2">
      <c r="A91" s="61" t="s">
        <v>125</v>
      </c>
      <c r="B91" s="61" t="s">
        <v>250</v>
      </c>
      <c r="C91" s="61" t="s">
        <v>251</v>
      </c>
      <c r="D91" s="61" t="s">
        <v>252</v>
      </c>
      <c r="E91" s="62" t="s">
        <v>828</v>
      </c>
      <c r="F91" s="62" t="s">
        <v>829</v>
      </c>
      <c r="G91" s="78" t="s">
        <v>900</v>
      </c>
      <c r="H91" s="63">
        <v>1377</v>
      </c>
      <c r="I91" s="63">
        <v>2185</v>
      </c>
      <c r="J91" s="63">
        <v>2643.85</v>
      </c>
      <c r="K91" s="63">
        <v>808</v>
      </c>
      <c r="L91" s="64">
        <v>36.979405034324941</v>
      </c>
      <c r="M91" s="64">
        <v>58.678286129266517</v>
      </c>
      <c r="N91" s="66">
        <v>0</v>
      </c>
      <c r="O91" s="71">
        <v>14.559068219633939</v>
      </c>
      <c r="P91" s="62">
        <v>1</v>
      </c>
      <c r="Q91" s="72" t="s">
        <v>902</v>
      </c>
    </row>
    <row r="92" spans="1:17" ht="16" x14ac:dyDescent="0.2">
      <c r="A92" s="55" t="s">
        <v>125</v>
      </c>
      <c r="B92" s="55" t="s">
        <v>464</v>
      </c>
      <c r="C92" s="55" t="s">
        <v>465</v>
      </c>
      <c r="D92" s="55" t="s">
        <v>466</v>
      </c>
      <c r="E92" s="56" t="s">
        <v>828</v>
      </c>
      <c r="F92" s="56" t="s">
        <v>829</v>
      </c>
      <c r="G92" s="77" t="s">
        <v>900</v>
      </c>
      <c r="H92" s="57">
        <v>199</v>
      </c>
      <c r="I92" s="57">
        <v>315</v>
      </c>
      <c r="J92" s="57">
        <v>381.15</v>
      </c>
      <c r="K92" s="57">
        <v>116</v>
      </c>
      <c r="L92" s="58">
        <v>36.82539682539683</v>
      </c>
      <c r="M92" s="58">
        <v>58.291457286432163</v>
      </c>
      <c r="N92" s="74">
        <v>5.2910052910052912</v>
      </c>
      <c r="O92" s="74">
        <v>14.367816091954021</v>
      </c>
      <c r="P92" s="56">
        <v>2</v>
      </c>
      <c r="Q92" s="69" t="s">
        <v>905</v>
      </c>
    </row>
    <row r="93" spans="1:17" ht="16" x14ac:dyDescent="0.2">
      <c r="A93" s="61" t="s">
        <v>125</v>
      </c>
      <c r="B93" s="61" t="s">
        <v>268</v>
      </c>
      <c r="C93" s="61" t="s">
        <v>269</v>
      </c>
      <c r="D93" s="61" t="s">
        <v>270</v>
      </c>
      <c r="E93" s="62" t="s">
        <v>828</v>
      </c>
      <c r="F93" s="62" t="s">
        <v>829</v>
      </c>
      <c r="G93" s="78" t="s">
        <v>900</v>
      </c>
      <c r="H93" s="63">
        <v>186</v>
      </c>
      <c r="I93" s="63">
        <v>295</v>
      </c>
      <c r="J93" s="63">
        <v>356.95</v>
      </c>
      <c r="K93" s="63">
        <v>109</v>
      </c>
      <c r="L93" s="64">
        <v>36.949152542372879</v>
      </c>
      <c r="M93" s="64">
        <v>58.602150537634422</v>
      </c>
      <c r="N93" s="66">
        <v>0</v>
      </c>
      <c r="O93" s="71">
        <v>14.110429447852759</v>
      </c>
      <c r="P93" s="62">
        <v>1</v>
      </c>
      <c r="Q93" s="72" t="s">
        <v>902</v>
      </c>
    </row>
    <row r="94" spans="1:17" ht="16" x14ac:dyDescent="0.2">
      <c r="A94" s="55" t="s">
        <v>125</v>
      </c>
      <c r="B94" s="55" t="s">
        <v>387</v>
      </c>
      <c r="C94" s="55" t="s">
        <v>388</v>
      </c>
      <c r="D94" s="55" t="s">
        <v>389</v>
      </c>
      <c r="E94" s="56" t="s">
        <v>828</v>
      </c>
      <c r="F94" s="56" t="s">
        <v>829</v>
      </c>
      <c r="G94" s="73" t="s">
        <v>898</v>
      </c>
      <c r="H94" s="57">
        <v>243</v>
      </c>
      <c r="I94" s="57">
        <v>385</v>
      </c>
      <c r="J94" s="57">
        <v>465.85</v>
      </c>
      <c r="K94" s="57">
        <v>142</v>
      </c>
      <c r="L94" s="58">
        <v>36.883116883116877</v>
      </c>
      <c r="M94" s="58">
        <v>58.436213991769549</v>
      </c>
      <c r="N94" s="74">
        <v>14.62264150943396</v>
      </c>
      <c r="O94" s="74">
        <v>14.62264150943396</v>
      </c>
      <c r="P94" s="56">
        <v>1</v>
      </c>
      <c r="Q94" s="69" t="s">
        <v>899</v>
      </c>
    </row>
    <row r="95" spans="1:17" ht="16" x14ac:dyDescent="0.2">
      <c r="A95" s="61" t="s">
        <v>125</v>
      </c>
      <c r="B95" s="75" t="s">
        <v>896</v>
      </c>
      <c r="C95" s="61" t="s">
        <v>388</v>
      </c>
      <c r="D95" s="61" t="s">
        <v>860</v>
      </c>
      <c r="E95" s="62" t="s">
        <v>827</v>
      </c>
      <c r="F95" s="62" t="s">
        <v>827</v>
      </c>
      <c r="G95" s="76" t="s">
        <v>897</v>
      </c>
      <c r="H95" s="63">
        <v>536</v>
      </c>
      <c r="I95" s="63">
        <v>385</v>
      </c>
      <c r="J95" s="63">
        <v>465.85</v>
      </c>
      <c r="K95" s="63">
        <v>-151</v>
      </c>
      <c r="L95" s="64">
        <v>-39.220779220779221</v>
      </c>
      <c r="M95" s="64">
        <v>-28.171641791044781</v>
      </c>
      <c r="N95" s="66"/>
      <c r="O95" s="66"/>
      <c r="P95" s="62">
        <v>0</v>
      </c>
      <c r="Q95" s="72"/>
    </row>
    <row r="96" spans="1:17" ht="16" x14ac:dyDescent="0.2">
      <c r="A96" s="55" t="s">
        <v>125</v>
      </c>
      <c r="B96" s="55" t="s">
        <v>390</v>
      </c>
      <c r="C96" s="55" t="s">
        <v>391</v>
      </c>
      <c r="D96" s="55" t="s">
        <v>392</v>
      </c>
      <c r="E96" s="56" t="s">
        <v>828</v>
      </c>
      <c r="F96" s="56" t="s">
        <v>829</v>
      </c>
      <c r="G96" s="73" t="s">
        <v>898</v>
      </c>
      <c r="H96" s="57">
        <v>372</v>
      </c>
      <c r="I96" s="57">
        <v>590</v>
      </c>
      <c r="J96" s="57">
        <v>713.9</v>
      </c>
      <c r="K96" s="57">
        <v>218</v>
      </c>
      <c r="L96" s="58">
        <v>36.949152542372879</v>
      </c>
      <c r="M96" s="58">
        <v>58.602150537634422</v>
      </c>
      <c r="N96" s="74">
        <v>14.46153846153846</v>
      </c>
      <c r="O96" s="74">
        <v>14.46153846153846</v>
      </c>
      <c r="P96" s="56">
        <v>1</v>
      </c>
      <c r="Q96" s="69" t="s">
        <v>899</v>
      </c>
    </row>
    <row r="97" spans="1:17" ht="16" x14ac:dyDescent="0.2">
      <c r="A97" s="61" t="s">
        <v>125</v>
      </c>
      <c r="B97" s="75" t="s">
        <v>896</v>
      </c>
      <c r="C97" s="61" t="s">
        <v>391</v>
      </c>
      <c r="D97" s="61" t="s">
        <v>861</v>
      </c>
      <c r="E97" s="62" t="s">
        <v>827</v>
      </c>
      <c r="F97" s="62" t="s">
        <v>827</v>
      </c>
      <c r="G97" s="76" t="s">
        <v>897</v>
      </c>
      <c r="H97" s="63">
        <v>1036</v>
      </c>
      <c r="I97" s="63">
        <v>590</v>
      </c>
      <c r="J97" s="63">
        <v>713.9</v>
      </c>
      <c r="K97" s="63">
        <v>-446</v>
      </c>
      <c r="L97" s="64">
        <v>-75.593220338983045</v>
      </c>
      <c r="M97" s="64">
        <v>-43.050193050193037</v>
      </c>
      <c r="N97" s="66"/>
      <c r="O97" s="66"/>
      <c r="P97" s="62">
        <v>0</v>
      </c>
      <c r="Q97" s="72"/>
    </row>
    <row r="98" spans="1:17" ht="16" x14ac:dyDescent="0.2">
      <c r="A98" s="55" t="s">
        <v>125</v>
      </c>
      <c r="B98" s="55" t="s">
        <v>393</v>
      </c>
      <c r="C98" s="55" t="s">
        <v>394</v>
      </c>
      <c r="D98" s="55" t="s">
        <v>395</v>
      </c>
      <c r="E98" s="56" t="s">
        <v>828</v>
      </c>
      <c r="F98" s="56" t="s">
        <v>829</v>
      </c>
      <c r="G98" s="73" t="s">
        <v>898</v>
      </c>
      <c r="H98" s="57">
        <v>536</v>
      </c>
      <c r="I98" s="57">
        <v>850</v>
      </c>
      <c r="J98" s="57">
        <v>1028.5</v>
      </c>
      <c r="K98" s="57">
        <v>314</v>
      </c>
      <c r="L98" s="58">
        <v>36.941176470588232</v>
      </c>
      <c r="M98" s="58">
        <v>58.582089552238813</v>
      </c>
      <c r="N98" s="74">
        <v>14.52991452991453</v>
      </c>
      <c r="O98" s="74">
        <v>14.52991452991453</v>
      </c>
      <c r="P98" s="56">
        <v>1</v>
      </c>
      <c r="Q98" s="69" t="s">
        <v>899</v>
      </c>
    </row>
    <row r="99" spans="1:17" ht="16" x14ac:dyDescent="0.2">
      <c r="A99" s="61" t="s">
        <v>125</v>
      </c>
      <c r="B99" s="75" t="s">
        <v>896</v>
      </c>
      <c r="C99" s="61" t="s">
        <v>394</v>
      </c>
      <c r="D99" s="61" t="s">
        <v>862</v>
      </c>
      <c r="E99" s="62" t="s">
        <v>827</v>
      </c>
      <c r="F99" s="62" t="s">
        <v>827</v>
      </c>
      <c r="G99" s="76" t="s">
        <v>897</v>
      </c>
      <c r="H99" s="63">
        <v>1251</v>
      </c>
      <c r="I99" s="63">
        <v>850</v>
      </c>
      <c r="J99" s="63">
        <v>1028.5</v>
      </c>
      <c r="K99" s="63">
        <v>-401</v>
      </c>
      <c r="L99" s="64">
        <v>-47.17647058823529</v>
      </c>
      <c r="M99" s="64">
        <v>-32.054356514788168</v>
      </c>
      <c r="N99" s="66"/>
      <c r="O99" s="66"/>
      <c r="P99" s="62">
        <v>0</v>
      </c>
      <c r="Q99" s="72"/>
    </row>
    <row r="100" spans="1:17" ht="16" x14ac:dyDescent="0.2">
      <c r="A100" s="55" t="s">
        <v>125</v>
      </c>
      <c r="B100" s="67" t="s">
        <v>896</v>
      </c>
      <c r="C100" s="55" t="s">
        <v>397</v>
      </c>
      <c r="D100" s="55" t="s">
        <v>863</v>
      </c>
      <c r="E100" s="56" t="s">
        <v>827</v>
      </c>
      <c r="F100" s="56" t="s">
        <v>827</v>
      </c>
      <c r="G100" s="68" t="s">
        <v>897</v>
      </c>
      <c r="H100" s="57">
        <v>1509</v>
      </c>
      <c r="I100" s="57">
        <v>1645</v>
      </c>
      <c r="J100" s="57">
        <v>1990.45</v>
      </c>
      <c r="K100" s="57">
        <v>136</v>
      </c>
      <c r="L100" s="58">
        <v>8.2674772036474167</v>
      </c>
      <c r="M100" s="58">
        <v>9.0125911199469844</v>
      </c>
      <c r="N100" s="60"/>
      <c r="O100" s="60"/>
      <c r="P100" s="56">
        <v>0</v>
      </c>
      <c r="Q100" s="69"/>
    </row>
    <row r="101" spans="1:17" ht="16" x14ac:dyDescent="0.2">
      <c r="A101" s="61" t="s">
        <v>125</v>
      </c>
      <c r="B101" s="61" t="s">
        <v>396</v>
      </c>
      <c r="C101" s="61" t="s">
        <v>397</v>
      </c>
      <c r="D101" s="61" t="s">
        <v>398</v>
      </c>
      <c r="E101" s="62" t="s">
        <v>828</v>
      </c>
      <c r="F101" s="62" t="s">
        <v>829</v>
      </c>
      <c r="G101" s="70" t="s">
        <v>898</v>
      </c>
      <c r="H101" s="63">
        <v>1037</v>
      </c>
      <c r="I101" s="63">
        <v>1645</v>
      </c>
      <c r="J101" s="63">
        <v>1990.45</v>
      </c>
      <c r="K101" s="63">
        <v>608</v>
      </c>
      <c r="L101" s="64">
        <v>36.960486322188451</v>
      </c>
      <c r="M101" s="64">
        <v>58.630665380906457</v>
      </c>
      <c r="N101" s="71">
        <v>14.58563535911602</v>
      </c>
      <c r="O101" s="71">
        <v>14.58563535911602</v>
      </c>
      <c r="P101" s="62">
        <v>1</v>
      </c>
      <c r="Q101" s="72" t="s">
        <v>899</v>
      </c>
    </row>
    <row r="102" spans="1:17" ht="16" x14ac:dyDescent="0.2">
      <c r="A102" s="55" t="s">
        <v>125</v>
      </c>
      <c r="B102" s="67" t="s">
        <v>896</v>
      </c>
      <c r="C102" s="55" t="s">
        <v>400</v>
      </c>
      <c r="D102" s="55" t="s">
        <v>864</v>
      </c>
      <c r="E102" s="56" t="s">
        <v>827</v>
      </c>
      <c r="F102" s="56" t="s">
        <v>827</v>
      </c>
      <c r="G102" s="68" t="s">
        <v>897</v>
      </c>
      <c r="H102" s="57">
        <v>1975</v>
      </c>
      <c r="I102" s="57">
        <v>1985</v>
      </c>
      <c r="J102" s="57">
        <v>2401.85</v>
      </c>
      <c r="K102" s="57">
        <v>10</v>
      </c>
      <c r="L102" s="58">
        <v>0.50377833753148615</v>
      </c>
      <c r="M102" s="58">
        <v>0.50632911392405067</v>
      </c>
      <c r="N102" s="60"/>
      <c r="O102" s="60"/>
      <c r="P102" s="56">
        <v>0</v>
      </c>
      <c r="Q102" s="69"/>
    </row>
    <row r="103" spans="1:17" ht="16" x14ac:dyDescent="0.2">
      <c r="A103" s="61" t="s">
        <v>125</v>
      </c>
      <c r="B103" s="61" t="s">
        <v>399</v>
      </c>
      <c r="C103" s="61" t="s">
        <v>400</v>
      </c>
      <c r="D103" s="61" t="s">
        <v>401</v>
      </c>
      <c r="E103" s="62" t="s">
        <v>828</v>
      </c>
      <c r="F103" s="62" t="s">
        <v>829</v>
      </c>
      <c r="G103" s="70" t="s">
        <v>898</v>
      </c>
      <c r="H103" s="63">
        <v>1251</v>
      </c>
      <c r="I103" s="63">
        <v>1985</v>
      </c>
      <c r="J103" s="63">
        <v>2401.85</v>
      </c>
      <c r="K103" s="63">
        <v>734</v>
      </c>
      <c r="L103" s="64">
        <v>36.977329974811077</v>
      </c>
      <c r="M103" s="64">
        <v>58.6730615507594</v>
      </c>
      <c r="N103" s="71">
        <v>14.56043956043956</v>
      </c>
      <c r="O103" s="71">
        <v>14.56043956043956</v>
      </c>
      <c r="P103" s="62">
        <v>1</v>
      </c>
      <c r="Q103" s="72" t="s">
        <v>899</v>
      </c>
    </row>
    <row r="104" spans="1:17" ht="16" x14ac:dyDescent="0.2">
      <c r="A104" s="55" t="s">
        <v>125</v>
      </c>
      <c r="B104" s="55" t="s">
        <v>286</v>
      </c>
      <c r="C104" s="55" t="s">
        <v>287</v>
      </c>
      <c r="D104" s="55" t="s">
        <v>288</v>
      </c>
      <c r="E104" s="56" t="s">
        <v>828</v>
      </c>
      <c r="F104" s="56" t="s">
        <v>829</v>
      </c>
      <c r="G104" s="77" t="s">
        <v>900</v>
      </c>
      <c r="H104" s="57">
        <v>2174</v>
      </c>
      <c r="I104" s="57">
        <v>3450</v>
      </c>
      <c r="J104" s="57">
        <v>4174.5</v>
      </c>
      <c r="K104" s="57">
        <v>1276</v>
      </c>
      <c r="L104" s="58">
        <v>36.985507246376812</v>
      </c>
      <c r="M104" s="58">
        <v>58.693652253909853</v>
      </c>
      <c r="N104" s="60">
        <v>0</v>
      </c>
      <c r="O104" s="74">
        <v>14.541622760800839</v>
      </c>
      <c r="P104" s="56">
        <v>1</v>
      </c>
      <c r="Q104" s="69" t="s">
        <v>902</v>
      </c>
    </row>
    <row r="105" spans="1:17" ht="16" x14ac:dyDescent="0.2">
      <c r="A105" s="61" t="s">
        <v>125</v>
      </c>
      <c r="B105" s="61" t="s">
        <v>350</v>
      </c>
      <c r="C105" s="61" t="s">
        <v>351</v>
      </c>
      <c r="D105" s="61" t="s">
        <v>352</v>
      </c>
      <c r="E105" s="62" t="s">
        <v>828</v>
      </c>
      <c r="F105" s="62" t="s">
        <v>829</v>
      </c>
      <c r="G105" s="78" t="s">
        <v>900</v>
      </c>
      <c r="H105" s="63">
        <v>290</v>
      </c>
      <c r="I105" s="63">
        <v>460</v>
      </c>
      <c r="J105" s="63">
        <v>556.6</v>
      </c>
      <c r="K105" s="63">
        <v>170</v>
      </c>
      <c r="L105" s="64">
        <v>36.95652173913043</v>
      </c>
      <c r="M105" s="64">
        <v>58.620689655172413</v>
      </c>
      <c r="N105" s="66">
        <v>0</v>
      </c>
      <c r="O105" s="71">
        <v>14.62450592885375</v>
      </c>
      <c r="P105" s="62">
        <v>1</v>
      </c>
      <c r="Q105" s="72" t="s">
        <v>902</v>
      </c>
    </row>
    <row r="106" spans="1:17" ht="16" x14ac:dyDescent="0.2">
      <c r="A106" s="55" t="s">
        <v>125</v>
      </c>
      <c r="B106" s="55" t="s">
        <v>353</v>
      </c>
      <c r="C106" s="55" t="s">
        <v>354</v>
      </c>
      <c r="D106" s="55" t="s">
        <v>355</v>
      </c>
      <c r="E106" s="56" t="s">
        <v>828</v>
      </c>
      <c r="F106" s="56" t="s">
        <v>829</v>
      </c>
      <c r="G106" s="77" t="s">
        <v>900</v>
      </c>
      <c r="H106" s="57">
        <v>473</v>
      </c>
      <c r="I106" s="57">
        <v>750</v>
      </c>
      <c r="J106" s="57">
        <v>907.5</v>
      </c>
      <c r="K106" s="57">
        <v>277</v>
      </c>
      <c r="L106" s="58">
        <v>36.933333333333337</v>
      </c>
      <c r="M106" s="58">
        <v>58.562367864693442</v>
      </c>
      <c r="N106" s="60">
        <v>0</v>
      </c>
      <c r="O106" s="74">
        <v>14.52784503631961</v>
      </c>
      <c r="P106" s="56">
        <v>1</v>
      </c>
      <c r="Q106" s="69" t="s">
        <v>902</v>
      </c>
    </row>
    <row r="107" spans="1:17" ht="16" x14ac:dyDescent="0.2">
      <c r="A107" s="61" t="s">
        <v>125</v>
      </c>
      <c r="B107" s="61" t="s">
        <v>356</v>
      </c>
      <c r="C107" s="61" t="s">
        <v>357</v>
      </c>
      <c r="D107" s="61" t="s">
        <v>358</v>
      </c>
      <c r="E107" s="62" t="s">
        <v>828</v>
      </c>
      <c r="F107" s="62" t="s">
        <v>829</v>
      </c>
      <c r="G107" s="78" t="s">
        <v>900</v>
      </c>
      <c r="H107" s="63">
        <v>624</v>
      </c>
      <c r="I107" s="63">
        <v>990</v>
      </c>
      <c r="J107" s="63">
        <v>1197.9000000000001</v>
      </c>
      <c r="K107" s="63">
        <v>366</v>
      </c>
      <c r="L107" s="64">
        <v>36.969696969696969</v>
      </c>
      <c r="M107" s="64">
        <v>58.653846153846153</v>
      </c>
      <c r="N107" s="66">
        <v>0</v>
      </c>
      <c r="O107" s="71">
        <v>14.4954128440367</v>
      </c>
      <c r="P107" s="62">
        <v>1</v>
      </c>
      <c r="Q107" s="72" t="s">
        <v>902</v>
      </c>
    </row>
    <row r="108" spans="1:17" ht="16" x14ac:dyDescent="0.2">
      <c r="A108" s="55" t="s">
        <v>125</v>
      </c>
      <c r="B108" s="55" t="s">
        <v>359</v>
      </c>
      <c r="C108" s="55" t="s">
        <v>360</v>
      </c>
      <c r="D108" s="55" t="s">
        <v>361</v>
      </c>
      <c r="E108" s="56" t="s">
        <v>828</v>
      </c>
      <c r="F108" s="56" t="s">
        <v>829</v>
      </c>
      <c r="G108" s="77" t="s">
        <v>900</v>
      </c>
      <c r="H108" s="57">
        <v>1226</v>
      </c>
      <c r="I108" s="57">
        <v>1945</v>
      </c>
      <c r="J108" s="57">
        <v>2353.4499999999998</v>
      </c>
      <c r="K108" s="57">
        <v>719</v>
      </c>
      <c r="L108" s="58">
        <v>36.966580976863753</v>
      </c>
      <c r="M108" s="58">
        <v>58.646003262642743</v>
      </c>
      <c r="N108" s="60">
        <v>8.1632653061224497E-2</v>
      </c>
      <c r="O108" s="74">
        <v>14.579439252336449</v>
      </c>
      <c r="P108" s="56">
        <v>2</v>
      </c>
      <c r="Q108" s="69" t="s">
        <v>901</v>
      </c>
    </row>
    <row r="109" spans="1:17" ht="16" x14ac:dyDescent="0.2">
      <c r="A109" s="61" t="s">
        <v>125</v>
      </c>
      <c r="B109" s="61" t="s">
        <v>362</v>
      </c>
      <c r="C109" s="61" t="s">
        <v>363</v>
      </c>
      <c r="D109" s="61" t="s">
        <v>364</v>
      </c>
      <c r="E109" s="62" t="s">
        <v>828</v>
      </c>
      <c r="F109" s="62" t="s">
        <v>829</v>
      </c>
      <c r="G109" s="78" t="s">
        <v>900</v>
      </c>
      <c r="H109" s="63">
        <v>1434</v>
      </c>
      <c r="I109" s="63">
        <v>2275</v>
      </c>
      <c r="J109" s="63">
        <v>2752.75</v>
      </c>
      <c r="K109" s="63">
        <v>841</v>
      </c>
      <c r="L109" s="64">
        <v>36.967032967032956</v>
      </c>
      <c r="M109" s="64">
        <v>58.647140864714089</v>
      </c>
      <c r="N109" s="66">
        <v>6.978367062107467E-2</v>
      </c>
      <c r="O109" s="71">
        <v>14.536741214057511</v>
      </c>
      <c r="P109" s="62">
        <v>2</v>
      </c>
      <c r="Q109" s="72" t="s">
        <v>901</v>
      </c>
    </row>
    <row r="110" spans="1:17" ht="16" x14ac:dyDescent="0.2">
      <c r="A110" s="55" t="s">
        <v>125</v>
      </c>
      <c r="B110" s="67" t="s">
        <v>896</v>
      </c>
      <c r="C110" s="55" t="s">
        <v>385</v>
      </c>
      <c r="D110" s="55" t="s">
        <v>870</v>
      </c>
      <c r="E110" s="56" t="s">
        <v>827</v>
      </c>
      <c r="F110" s="56" t="s">
        <v>827</v>
      </c>
      <c r="G110" s="68" t="s">
        <v>897</v>
      </c>
      <c r="H110" s="57">
        <v>372</v>
      </c>
      <c r="I110" s="57">
        <v>1690</v>
      </c>
      <c r="J110" s="57">
        <v>2044.9</v>
      </c>
      <c r="K110" s="57">
        <v>1318</v>
      </c>
      <c r="L110" s="58">
        <v>77.988165680473372</v>
      </c>
      <c r="M110" s="58">
        <v>354.30107526881721</v>
      </c>
      <c r="N110" s="60"/>
      <c r="O110" s="60"/>
      <c r="P110" s="56">
        <v>0</v>
      </c>
      <c r="Q110" s="69"/>
    </row>
    <row r="111" spans="1:17" ht="16" x14ac:dyDescent="0.2">
      <c r="A111" s="61" t="s">
        <v>125</v>
      </c>
      <c r="B111" s="61" t="s">
        <v>384</v>
      </c>
      <c r="C111" s="61" t="s">
        <v>385</v>
      </c>
      <c r="D111" s="61" t="s">
        <v>386</v>
      </c>
      <c r="E111" s="62" t="s">
        <v>828</v>
      </c>
      <c r="F111" s="62" t="s">
        <v>829</v>
      </c>
      <c r="G111" s="70" t="s">
        <v>898</v>
      </c>
      <c r="H111" s="63">
        <v>1065</v>
      </c>
      <c r="I111" s="63">
        <v>1690</v>
      </c>
      <c r="J111" s="63">
        <v>2044.9</v>
      </c>
      <c r="K111" s="63">
        <v>625</v>
      </c>
      <c r="L111" s="64">
        <v>36.982248520710058</v>
      </c>
      <c r="M111" s="64">
        <v>58.685446009389672</v>
      </c>
      <c r="N111" s="71">
        <v>14.516129032258069</v>
      </c>
      <c r="O111" s="71">
        <v>14.516129032258069</v>
      </c>
      <c r="P111" s="62">
        <v>1</v>
      </c>
      <c r="Q111" s="72" t="s">
        <v>899</v>
      </c>
    </row>
    <row r="112" spans="1:17" ht="16" x14ac:dyDescent="0.2">
      <c r="A112" s="55" t="s">
        <v>125</v>
      </c>
      <c r="B112" s="55" t="s">
        <v>346</v>
      </c>
      <c r="C112" s="55" t="s">
        <v>347</v>
      </c>
      <c r="D112" s="55" t="s">
        <v>348</v>
      </c>
      <c r="E112" s="56" t="s">
        <v>828</v>
      </c>
      <c r="F112" s="56" t="s">
        <v>829</v>
      </c>
      <c r="G112" s="77" t="s">
        <v>900</v>
      </c>
      <c r="H112" s="57">
        <v>174</v>
      </c>
      <c r="I112" s="57">
        <v>275</v>
      </c>
      <c r="J112" s="57">
        <v>332.75</v>
      </c>
      <c r="K112" s="57">
        <v>101</v>
      </c>
      <c r="L112" s="58">
        <v>36.727272727272727</v>
      </c>
      <c r="M112" s="58">
        <v>58.045977011494251</v>
      </c>
      <c r="N112" s="74">
        <v>0.57803468208092479</v>
      </c>
      <c r="O112" s="74">
        <v>14.47368421052632</v>
      </c>
      <c r="P112" s="56">
        <v>2</v>
      </c>
      <c r="Q112" s="69" t="s">
        <v>901</v>
      </c>
    </row>
    <row r="113" spans="1:17" ht="16" x14ac:dyDescent="0.2">
      <c r="A113" s="61" t="s">
        <v>125</v>
      </c>
      <c r="B113" s="61" t="s">
        <v>151</v>
      </c>
      <c r="C113" s="61" t="s">
        <v>152</v>
      </c>
      <c r="D113" s="61" t="s">
        <v>153</v>
      </c>
      <c r="E113" s="62" t="s">
        <v>828</v>
      </c>
      <c r="F113" s="62" t="s">
        <v>829</v>
      </c>
      <c r="G113" s="78" t="s">
        <v>900</v>
      </c>
      <c r="H113" s="63">
        <v>177</v>
      </c>
      <c r="I113" s="63">
        <v>280</v>
      </c>
      <c r="J113" s="63">
        <v>338.8</v>
      </c>
      <c r="K113" s="63">
        <v>103</v>
      </c>
      <c r="L113" s="64">
        <v>36.785714285714292</v>
      </c>
      <c r="M113" s="64">
        <v>58.192090395480221</v>
      </c>
      <c r="N113" s="71">
        <v>0.56818181818181823</v>
      </c>
      <c r="O113" s="71">
        <v>14.935064935064929</v>
      </c>
      <c r="P113" s="62">
        <v>2</v>
      </c>
      <c r="Q113" s="72" t="s">
        <v>901</v>
      </c>
    </row>
    <row r="114" spans="1:17" ht="16" x14ac:dyDescent="0.2">
      <c r="A114" s="55" t="s">
        <v>125</v>
      </c>
      <c r="B114" s="55" t="s">
        <v>202</v>
      </c>
      <c r="C114" s="55" t="s">
        <v>203</v>
      </c>
      <c r="D114" s="55" t="s">
        <v>204</v>
      </c>
      <c r="E114" s="56" t="s">
        <v>828</v>
      </c>
      <c r="F114" s="56" t="s">
        <v>829</v>
      </c>
      <c r="G114" s="77" t="s">
        <v>900</v>
      </c>
      <c r="H114" s="57">
        <v>413</v>
      </c>
      <c r="I114" s="57">
        <v>655</v>
      </c>
      <c r="J114" s="57">
        <v>792.55</v>
      </c>
      <c r="K114" s="57">
        <v>242</v>
      </c>
      <c r="L114" s="58">
        <v>36.946564885496187</v>
      </c>
      <c r="M114" s="58">
        <v>58.595641646489113</v>
      </c>
      <c r="N114" s="60">
        <v>0</v>
      </c>
      <c r="O114" s="74">
        <v>14.40443213296399</v>
      </c>
      <c r="P114" s="56">
        <v>1</v>
      </c>
      <c r="Q114" s="69" t="s">
        <v>902</v>
      </c>
    </row>
    <row r="115" spans="1:17" ht="16" x14ac:dyDescent="0.2">
      <c r="A115" s="61" t="s">
        <v>125</v>
      </c>
      <c r="B115" s="61" t="s">
        <v>205</v>
      </c>
      <c r="C115" s="61" t="s">
        <v>206</v>
      </c>
      <c r="D115" s="61" t="s">
        <v>207</v>
      </c>
      <c r="E115" s="62" t="s">
        <v>828</v>
      </c>
      <c r="F115" s="62" t="s">
        <v>829</v>
      </c>
      <c r="G115" s="78" t="s">
        <v>900</v>
      </c>
      <c r="H115" s="63">
        <v>775</v>
      </c>
      <c r="I115" s="63">
        <v>1230</v>
      </c>
      <c r="J115" s="63">
        <v>1488.3</v>
      </c>
      <c r="K115" s="63">
        <v>455</v>
      </c>
      <c r="L115" s="64">
        <v>36.991869918699187</v>
      </c>
      <c r="M115" s="64">
        <v>58.709677419354833</v>
      </c>
      <c r="N115" s="66">
        <v>0</v>
      </c>
      <c r="O115" s="71">
        <v>14.47562776957164</v>
      </c>
      <c r="P115" s="62">
        <v>1</v>
      </c>
      <c r="Q115" s="72" t="s">
        <v>902</v>
      </c>
    </row>
    <row r="116" spans="1:17" ht="16" x14ac:dyDescent="0.2">
      <c r="A116" s="55" t="s">
        <v>125</v>
      </c>
      <c r="B116" s="55" t="s">
        <v>208</v>
      </c>
      <c r="C116" s="55" t="s">
        <v>209</v>
      </c>
      <c r="D116" s="55" t="s">
        <v>210</v>
      </c>
      <c r="E116" s="56" t="s">
        <v>828</v>
      </c>
      <c r="F116" s="56" t="s">
        <v>829</v>
      </c>
      <c r="G116" s="77" t="s">
        <v>900</v>
      </c>
      <c r="H116" s="57">
        <v>549</v>
      </c>
      <c r="I116" s="57">
        <v>870</v>
      </c>
      <c r="J116" s="57">
        <v>1052.7</v>
      </c>
      <c r="K116" s="57">
        <v>321</v>
      </c>
      <c r="L116" s="58">
        <v>36.896551724137943</v>
      </c>
      <c r="M116" s="58">
        <v>58.469945355191257</v>
      </c>
      <c r="N116" s="60">
        <v>0.18248175182481749</v>
      </c>
      <c r="O116" s="74">
        <v>14.61377870563674</v>
      </c>
      <c r="P116" s="56">
        <v>2</v>
      </c>
      <c r="Q116" s="69" t="s">
        <v>901</v>
      </c>
    </row>
    <row r="117" spans="1:17" ht="16" x14ac:dyDescent="0.2">
      <c r="A117" s="61" t="s">
        <v>125</v>
      </c>
      <c r="B117" s="61" t="s">
        <v>211</v>
      </c>
      <c r="C117" s="61" t="s">
        <v>212</v>
      </c>
      <c r="D117" s="61" t="s">
        <v>213</v>
      </c>
      <c r="E117" s="62" t="s">
        <v>828</v>
      </c>
      <c r="F117" s="62" t="s">
        <v>829</v>
      </c>
      <c r="G117" s="78" t="s">
        <v>900</v>
      </c>
      <c r="H117" s="63">
        <v>196</v>
      </c>
      <c r="I117" s="63">
        <v>310</v>
      </c>
      <c r="J117" s="63">
        <v>375.1</v>
      </c>
      <c r="K117" s="63">
        <v>114</v>
      </c>
      <c r="L117" s="64">
        <v>36.774193548387103</v>
      </c>
      <c r="M117" s="64">
        <v>58.163265306122447</v>
      </c>
      <c r="N117" s="71">
        <v>0.51282051282051277</v>
      </c>
      <c r="O117" s="71">
        <v>14.619883040935671</v>
      </c>
      <c r="P117" s="62">
        <v>2</v>
      </c>
      <c r="Q117" s="72" t="s">
        <v>901</v>
      </c>
    </row>
    <row r="118" spans="1:17" ht="16" x14ac:dyDescent="0.2">
      <c r="A118" s="55" t="s">
        <v>125</v>
      </c>
      <c r="B118" s="55" t="s">
        <v>214</v>
      </c>
      <c r="C118" s="55" t="s">
        <v>215</v>
      </c>
      <c r="D118" s="55" t="s">
        <v>216</v>
      </c>
      <c r="E118" s="56" t="s">
        <v>828</v>
      </c>
      <c r="F118" s="56" t="s">
        <v>829</v>
      </c>
      <c r="G118" s="77" t="s">
        <v>900</v>
      </c>
      <c r="H118" s="57">
        <v>1569</v>
      </c>
      <c r="I118" s="57">
        <v>2490</v>
      </c>
      <c r="J118" s="57">
        <v>3012.9</v>
      </c>
      <c r="K118" s="57">
        <v>921</v>
      </c>
      <c r="L118" s="58">
        <v>36.98795180722891</v>
      </c>
      <c r="M118" s="58">
        <v>58.699808795411087</v>
      </c>
      <c r="N118" s="60">
        <v>0</v>
      </c>
      <c r="O118" s="74">
        <v>14.525547445255469</v>
      </c>
      <c r="P118" s="56">
        <v>1</v>
      </c>
      <c r="Q118" s="69" t="s">
        <v>902</v>
      </c>
    </row>
    <row r="119" spans="1:17" ht="16" x14ac:dyDescent="0.2">
      <c r="A119" s="61" t="s">
        <v>125</v>
      </c>
      <c r="B119" s="61" t="s">
        <v>217</v>
      </c>
      <c r="C119" s="61" t="s">
        <v>218</v>
      </c>
      <c r="D119" s="61" t="s">
        <v>219</v>
      </c>
      <c r="E119" s="62" t="s">
        <v>828</v>
      </c>
      <c r="F119" s="62" t="s">
        <v>829</v>
      </c>
      <c r="G119" s="78" t="s">
        <v>900</v>
      </c>
      <c r="H119" s="63">
        <v>1796</v>
      </c>
      <c r="I119" s="63">
        <v>2850</v>
      </c>
      <c r="J119" s="63">
        <v>3448.5</v>
      </c>
      <c r="K119" s="63">
        <v>1054</v>
      </c>
      <c r="L119" s="64">
        <v>36.982456140350877</v>
      </c>
      <c r="M119" s="64">
        <v>58.685968819599111</v>
      </c>
      <c r="N119" s="66">
        <v>0</v>
      </c>
      <c r="O119" s="71">
        <v>14.54081632653061</v>
      </c>
      <c r="P119" s="62">
        <v>1</v>
      </c>
      <c r="Q119" s="72" t="s">
        <v>902</v>
      </c>
    </row>
    <row r="120" spans="1:17" ht="16" x14ac:dyDescent="0.2">
      <c r="A120" s="55" t="s">
        <v>125</v>
      </c>
      <c r="B120" s="55" t="s">
        <v>411</v>
      </c>
      <c r="C120" s="55" t="s">
        <v>412</v>
      </c>
      <c r="D120" s="55" t="s">
        <v>413</v>
      </c>
      <c r="E120" s="56" t="s">
        <v>828</v>
      </c>
      <c r="F120" s="56" t="s">
        <v>829</v>
      </c>
      <c r="G120" s="73" t="s">
        <v>898</v>
      </c>
      <c r="H120" s="57">
        <v>1342</v>
      </c>
      <c r="I120" s="57">
        <v>2130</v>
      </c>
      <c r="J120" s="57">
        <v>2577.3000000000002</v>
      </c>
      <c r="K120" s="57">
        <v>788</v>
      </c>
      <c r="L120" s="58">
        <v>36.995305164319248</v>
      </c>
      <c r="M120" s="58">
        <v>58.718330849478392</v>
      </c>
      <c r="N120" s="74">
        <v>14.505119453924911</v>
      </c>
      <c r="O120" s="74">
        <v>14.505119453924911</v>
      </c>
      <c r="P120" s="56">
        <v>1</v>
      </c>
      <c r="Q120" s="69" t="s">
        <v>899</v>
      </c>
    </row>
    <row r="121" spans="1:17" ht="16" x14ac:dyDescent="0.2">
      <c r="A121" s="61" t="s">
        <v>125</v>
      </c>
      <c r="B121" s="75" t="s">
        <v>896</v>
      </c>
      <c r="C121" s="61" t="s">
        <v>412</v>
      </c>
      <c r="D121" s="61" t="s">
        <v>871</v>
      </c>
      <c r="E121" s="62" t="s">
        <v>827</v>
      </c>
      <c r="F121" s="62" t="s">
        <v>827</v>
      </c>
      <c r="G121" s="76" t="s">
        <v>897</v>
      </c>
      <c r="H121" s="63">
        <v>343</v>
      </c>
      <c r="I121" s="63">
        <v>2130</v>
      </c>
      <c r="J121" s="63">
        <v>2577.3000000000002</v>
      </c>
      <c r="K121" s="63">
        <v>1787</v>
      </c>
      <c r="L121" s="64">
        <v>83.896713615023472</v>
      </c>
      <c r="M121" s="64">
        <v>520.99125364431484</v>
      </c>
      <c r="N121" s="66"/>
      <c r="O121" s="66"/>
      <c r="P121" s="62">
        <v>0</v>
      </c>
      <c r="Q121" s="72"/>
    </row>
    <row r="122" spans="1:17" ht="16" x14ac:dyDescent="0.2">
      <c r="A122" s="55" t="s">
        <v>125</v>
      </c>
      <c r="B122" s="55" t="s">
        <v>154</v>
      </c>
      <c r="C122" s="55" t="s">
        <v>155</v>
      </c>
      <c r="D122" s="55" t="s">
        <v>349</v>
      </c>
      <c r="E122" s="56" t="s">
        <v>828</v>
      </c>
      <c r="F122" s="56" t="s">
        <v>829</v>
      </c>
      <c r="G122" s="73" t="s">
        <v>903</v>
      </c>
      <c r="H122" s="57">
        <v>230</v>
      </c>
      <c r="I122" s="57">
        <v>365</v>
      </c>
      <c r="J122" s="57">
        <v>441.65</v>
      </c>
      <c r="K122" s="57">
        <v>135</v>
      </c>
      <c r="L122" s="58">
        <v>36.986301369863007</v>
      </c>
      <c r="M122" s="58">
        <v>58.695652173913047</v>
      </c>
      <c r="N122" s="60">
        <v>0</v>
      </c>
      <c r="O122" s="74">
        <v>14.42786069651741</v>
      </c>
      <c r="P122" s="56">
        <v>1</v>
      </c>
      <c r="Q122" s="69" t="s">
        <v>902</v>
      </c>
    </row>
    <row r="123" spans="1:17" ht="16" x14ac:dyDescent="0.2">
      <c r="A123" s="61" t="s">
        <v>125</v>
      </c>
      <c r="B123" s="61" t="s">
        <v>154</v>
      </c>
      <c r="C123" s="61" t="s">
        <v>155</v>
      </c>
      <c r="D123" s="61" t="s">
        <v>156</v>
      </c>
      <c r="E123" s="62" t="s">
        <v>828</v>
      </c>
      <c r="F123" s="62" t="s">
        <v>829</v>
      </c>
      <c r="G123" s="70" t="s">
        <v>903</v>
      </c>
      <c r="H123" s="63">
        <v>246</v>
      </c>
      <c r="I123" s="63">
        <v>390</v>
      </c>
      <c r="J123" s="63">
        <v>471.9</v>
      </c>
      <c r="K123" s="63">
        <v>144</v>
      </c>
      <c r="L123" s="64">
        <v>36.923076923076927</v>
      </c>
      <c r="M123" s="64">
        <v>58.536585365853647</v>
      </c>
      <c r="N123" s="66">
        <v>0</v>
      </c>
      <c r="O123" s="71">
        <v>14.41860465116279</v>
      </c>
      <c r="P123" s="62">
        <v>1</v>
      </c>
      <c r="Q123" s="72" t="s">
        <v>902</v>
      </c>
    </row>
    <row r="124" spans="1:17" ht="16" x14ac:dyDescent="0.2">
      <c r="A124" s="55" t="s">
        <v>125</v>
      </c>
      <c r="B124" s="67" t="s">
        <v>896</v>
      </c>
      <c r="C124" s="55" t="s">
        <v>444</v>
      </c>
      <c r="D124" s="55" t="s">
        <v>872</v>
      </c>
      <c r="E124" s="56" t="s">
        <v>827</v>
      </c>
      <c r="F124" s="56" t="s">
        <v>827</v>
      </c>
      <c r="G124" s="68" t="s">
        <v>897</v>
      </c>
      <c r="H124" s="57">
        <v>41</v>
      </c>
      <c r="I124" s="57">
        <v>890</v>
      </c>
      <c r="J124" s="57">
        <v>1076.9000000000001</v>
      </c>
      <c r="K124" s="57">
        <v>849</v>
      </c>
      <c r="L124" s="58">
        <v>95.393258426966284</v>
      </c>
      <c r="M124" s="58">
        <v>2070.731707317073</v>
      </c>
      <c r="N124" s="60"/>
      <c r="O124" s="60"/>
      <c r="P124" s="56">
        <v>0</v>
      </c>
      <c r="Q124" s="69"/>
    </row>
    <row r="125" spans="1:17" ht="16" x14ac:dyDescent="0.2">
      <c r="A125" s="61" t="s">
        <v>125</v>
      </c>
      <c r="B125" s="61" t="s">
        <v>443</v>
      </c>
      <c r="C125" s="61" t="s">
        <v>444</v>
      </c>
      <c r="D125" s="61" t="s">
        <v>445</v>
      </c>
      <c r="E125" s="62" t="s">
        <v>828</v>
      </c>
      <c r="F125" s="62" t="s">
        <v>829</v>
      </c>
      <c r="G125" s="70" t="s">
        <v>898</v>
      </c>
      <c r="H125" s="63">
        <v>561</v>
      </c>
      <c r="I125" s="63">
        <v>890</v>
      </c>
      <c r="J125" s="63">
        <v>1076.9000000000001</v>
      </c>
      <c r="K125" s="63">
        <v>329</v>
      </c>
      <c r="L125" s="64">
        <v>36.966292134831463</v>
      </c>
      <c r="M125" s="64">
        <v>58.645276292335112</v>
      </c>
      <c r="N125" s="71">
        <v>14.489795918367349</v>
      </c>
      <c r="O125" s="71">
        <v>14.489795918367349</v>
      </c>
      <c r="P125" s="62">
        <v>1</v>
      </c>
      <c r="Q125" s="72" t="s">
        <v>899</v>
      </c>
    </row>
    <row r="126" spans="1:17" ht="16" x14ac:dyDescent="0.2">
      <c r="A126" s="55" t="s">
        <v>125</v>
      </c>
      <c r="B126" s="55" t="s">
        <v>301</v>
      </c>
      <c r="C126" s="55" t="s">
        <v>302</v>
      </c>
      <c r="D126" s="55" t="s">
        <v>303</v>
      </c>
      <c r="E126" s="56" t="s">
        <v>828</v>
      </c>
      <c r="F126" s="56" t="s">
        <v>829</v>
      </c>
      <c r="G126" s="77" t="s">
        <v>900</v>
      </c>
      <c r="H126" s="57">
        <v>372</v>
      </c>
      <c r="I126" s="57">
        <v>590</v>
      </c>
      <c r="J126" s="57">
        <v>713.9</v>
      </c>
      <c r="K126" s="57">
        <v>218</v>
      </c>
      <c r="L126" s="58">
        <v>36.949152542372879</v>
      </c>
      <c r="M126" s="58">
        <v>58.602150537634422</v>
      </c>
      <c r="N126" s="60">
        <v>0</v>
      </c>
      <c r="O126" s="74">
        <v>14.46153846153846</v>
      </c>
      <c r="P126" s="56">
        <v>1</v>
      </c>
      <c r="Q126" s="69" t="s">
        <v>902</v>
      </c>
    </row>
    <row r="127" spans="1:17" ht="16" x14ac:dyDescent="0.2">
      <c r="A127" s="61" t="s">
        <v>125</v>
      </c>
      <c r="B127" s="61" t="s">
        <v>304</v>
      </c>
      <c r="C127" s="61" t="s">
        <v>305</v>
      </c>
      <c r="D127" s="61" t="s">
        <v>306</v>
      </c>
      <c r="E127" s="62" t="s">
        <v>828</v>
      </c>
      <c r="F127" s="62" t="s">
        <v>829</v>
      </c>
      <c r="G127" s="78" t="s">
        <v>900</v>
      </c>
      <c r="H127" s="63">
        <v>435</v>
      </c>
      <c r="I127" s="63">
        <v>690</v>
      </c>
      <c r="J127" s="63">
        <v>834.9</v>
      </c>
      <c r="K127" s="63">
        <v>255</v>
      </c>
      <c r="L127" s="64">
        <v>36.95652173913043</v>
      </c>
      <c r="M127" s="64">
        <v>58.620689655172413</v>
      </c>
      <c r="N127" s="66">
        <v>0</v>
      </c>
      <c r="O127" s="71">
        <v>14.47368421052632</v>
      </c>
      <c r="P127" s="62">
        <v>1</v>
      </c>
      <c r="Q127" s="72" t="s">
        <v>902</v>
      </c>
    </row>
    <row r="128" spans="1:17" ht="16" x14ac:dyDescent="0.2">
      <c r="A128" s="55" t="s">
        <v>125</v>
      </c>
      <c r="B128" s="55" t="s">
        <v>307</v>
      </c>
      <c r="C128" s="55" t="s">
        <v>308</v>
      </c>
      <c r="D128" s="55" t="s">
        <v>309</v>
      </c>
      <c r="E128" s="56" t="s">
        <v>828</v>
      </c>
      <c r="F128" s="56" t="s">
        <v>829</v>
      </c>
      <c r="G128" s="77" t="s">
        <v>900</v>
      </c>
      <c r="H128" s="57">
        <v>265</v>
      </c>
      <c r="I128" s="57">
        <v>420</v>
      </c>
      <c r="J128" s="57">
        <v>508.2</v>
      </c>
      <c r="K128" s="57">
        <v>155</v>
      </c>
      <c r="L128" s="58">
        <v>36.904761904761912</v>
      </c>
      <c r="M128" s="58">
        <v>58.490566037735853</v>
      </c>
      <c r="N128" s="60">
        <v>0</v>
      </c>
      <c r="O128" s="74">
        <v>14.71861471861472</v>
      </c>
      <c r="P128" s="56">
        <v>1</v>
      </c>
      <c r="Q128" s="69" t="s">
        <v>902</v>
      </c>
    </row>
    <row r="129" spans="1:17" ht="16" x14ac:dyDescent="0.2">
      <c r="A129" s="61" t="s">
        <v>125</v>
      </c>
      <c r="B129" s="61" t="s">
        <v>313</v>
      </c>
      <c r="C129" s="61" t="s">
        <v>314</v>
      </c>
      <c r="D129" s="61" t="s">
        <v>315</v>
      </c>
      <c r="E129" s="62" t="s">
        <v>828</v>
      </c>
      <c r="F129" s="62" t="s">
        <v>829</v>
      </c>
      <c r="G129" s="78" t="s">
        <v>900</v>
      </c>
      <c r="H129" s="63">
        <v>2294</v>
      </c>
      <c r="I129" s="63">
        <v>3640</v>
      </c>
      <c r="J129" s="63">
        <v>4404.3999999999996</v>
      </c>
      <c r="K129" s="63">
        <v>1346</v>
      </c>
      <c r="L129" s="64">
        <v>36.978021978021978</v>
      </c>
      <c r="M129" s="64">
        <v>58.674803836094164</v>
      </c>
      <c r="N129" s="66">
        <v>4.3610989969472311E-2</v>
      </c>
      <c r="O129" s="71">
        <v>14.58541458541459</v>
      </c>
      <c r="P129" s="62">
        <v>2</v>
      </c>
      <c r="Q129" s="72" t="s">
        <v>901</v>
      </c>
    </row>
    <row r="130" spans="1:17" ht="16" x14ac:dyDescent="0.2">
      <c r="A130" s="55" t="s">
        <v>125</v>
      </c>
      <c r="B130" s="55" t="s">
        <v>292</v>
      </c>
      <c r="C130" s="55" t="s">
        <v>293</v>
      </c>
      <c r="D130" s="55" t="s">
        <v>294</v>
      </c>
      <c r="E130" s="56" t="s">
        <v>828</v>
      </c>
      <c r="F130" s="56" t="s">
        <v>829</v>
      </c>
      <c r="G130" s="77" t="s">
        <v>900</v>
      </c>
      <c r="H130" s="57">
        <v>492</v>
      </c>
      <c r="I130" s="57">
        <v>780</v>
      </c>
      <c r="J130" s="57">
        <v>943.8</v>
      </c>
      <c r="K130" s="57">
        <v>288</v>
      </c>
      <c r="L130" s="58">
        <v>36.923076923076927</v>
      </c>
      <c r="M130" s="58">
        <v>58.536585365853647</v>
      </c>
      <c r="N130" s="60">
        <v>0.20366598778004069</v>
      </c>
      <c r="O130" s="74">
        <v>14.68531468531468</v>
      </c>
      <c r="P130" s="56">
        <v>2</v>
      </c>
      <c r="Q130" s="69" t="s">
        <v>901</v>
      </c>
    </row>
    <row r="131" spans="1:17" ht="16" x14ac:dyDescent="0.2">
      <c r="A131" s="61" t="s">
        <v>125</v>
      </c>
      <c r="B131" s="61" t="s">
        <v>298</v>
      </c>
      <c r="C131" s="61" t="s">
        <v>299</v>
      </c>
      <c r="D131" s="61" t="s">
        <v>300</v>
      </c>
      <c r="E131" s="62" t="s">
        <v>828</v>
      </c>
      <c r="F131" s="62" t="s">
        <v>829</v>
      </c>
      <c r="G131" s="78" t="s">
        <v>900</v>
      </c>
      <c r="H131" s="63">
        <v>876</v>
      </c>
      <c r="I131" s="63">
        <v>1390</v>
      </c>
      <c r="J131" s="63">
        <v>1681.9</v>
      </c>
      <c r="K131" s="63">
        <v>514</v>
      </c>
      <c r="L131" s="64">
        <v>36.978417266187051</v>
      </c>
      <c r="M131" s="64">
        <v>58.675799086757998</v>
      </c>
      <c r="N131" s="66">
        <v>0</v>
      </c>
      <c r="O131" s="71">
        <v>14.509803921568629</v>
      </c>
      <c r="P131" s="62">
        <v>1</v>
      </c>
      <c r="Q131" s="72" t="s">
        <v>902</v>
      </c>
    </row>
    <row r="132" spans="1:17" ht="16" x14ac:dyDescent="0.2">
      <c r="A132" s="55" t="s">
        <v>125</v>
      </c>
      <c r="B132" s="55" t="s">
        <v>310</v>
      </c>
      <c r="C132" s="55" t="s">
        <v>311</v>
      </c>
      <c r="D132" s="55" t="s">
        <v>312</v>
      </c>
      <c r="E132" s="56" t="s">
        <v>828</v>
      </c>
      <c r="F132" s="56" t="s">
        <v>829</v>
      </c>
      <c r="G132" s="77" t="s">
        <v>900</v>
      </c>
      <c r="H132" s="57">
        <v>2064</v>
      </c>
      <c r="I132" s="57">
        <v>3275</v>
      </c>
      <c r="J132" s="57">
        <v>3962.75</v>
      </c>
      <c r="K132" s="57">
        <v>1211</v>
      </c>
      <c r="L132" s="58">
        <v>36.977099236641223</v>
      </c>
      <c r="M132" s="58">
        <v>58.672480620155042</v>
      </c>
      <c r="N132" s="60">
        <v>4.8473097430925843E-2</v>
      </c>
      <c r="O132" s="74">
        <v>14.539400665926751</v>
      </c>
      <c r="P132" s="56">
        <v>2</v>
      </c>
      <c r="Q132" s="69" t="s">
        <v>901</v>
      </c>
    </row>
    <row r="133" spans="1:17" ht="16" x14ac:dyDescent="0.2">
      <c r="A133" s="61" t="s">
        <v>125</v>
      </c>
      <c r="B133" s="61" t="s">
        <v>295</v>
      </c>
      <c r="C133" s="61" t="s">
        <v>296</v>
      </c>
      <c r="D133" s="61" t="s">
        <v>297</v>
      </c>
      <c r="E133" s="62" t="s">
        <v>828</v>
      </c>
      <c r="F133" s="62" t="s">
        <v>829</v>
      </c>
      <c r="G133" s="78" t="s">
        <v>900</v>
      </c>
      <c r="H133" s="63">
        <v>709</v>
      </c>
      <c r="I133" s="63">
        <v>1125</v>
      </c>
      <c r="J133" s="63">
        <v>1361.25</v>
      </c>
      <c r="K133" s="63">
        <v>416</v>
      </c>
      <c r="L133" s="64">
        <v>36.977777777777767</v>
      </c>
      <c r="M133" s="64">
        <v>58.674188998589557</v>
      </c>
      <c r="N133" s="66">
        <v>0</v>
      </c>
      <c r="O133" s="71">
        <v>14.53957996768982</v>
      </c>
      <c r="P133" s="62">
        <v>1</v>
      </c>
      <c r="Q133" s="72" t="s">
        <v>902</v>
      </c>
    </row>
    <row r="134" spans="1:17" ht="16" x14ac:dyDescent="0.2">
      <c r="A134" s="55" t="s">
        <v>125</v>
      </c>
      <c r="B134" s="55" t="s">
        <v>163</v>
      </c>
      <c r="C134" s="55" t="s">
        <v>164</v>
      </c>
      <c r="D134" s="55" t="s">
        <v>165</v>
      </c>
      <c r="E134" s="56" t="s">
        <v>828</v>
      </c>
      <c r="F134" s="56" t="s">
        <v>829</v>
      </c>
      <c r="G134" s="77" t="s">
        <v>900</v>
      </c>
      <c r="H134" s="57">
        <v>498</v>
      </c>
      <c r="I134" s="57">
        <v>790</v>
      </c>
      <c r="J134" s="57">
        <v>955.9</v>
      </c>
      <c r="K134" s="57">
        <v>292</v>
      </c>
      <c r="L134" s="58">
        <v>36.962025316455701</v>
      </c>
      <c r="M134" s="58">
        <v>58.634538152610439</v>
      </c>
      <c r="N134" s="60">
        <v>0</v>
      </c>
      <c r="O134" s="74">
        <v>14.48275862068966</v>
      </c>
      <c r="P134" s="56">
        <v>1</v>
      </c>
      <c r="Q134" s="69" t="s">
        <v>902</v>
      </c>
    </row>
    <row r="135" spans="1:17" ht="16" x14ac:dyDescent="0.2">
      <c r="A135" s="61" t="s">
        <v>125</v>
      </c>
      <c r="B135" s="61" t="s">
        <v>166</v>
      </c>
      <c r="C135" s="61" t="s">
        <v>167</v>
      </c>
      <c r="D135" s="61" t="s">
        <v>168</v>
      </c>
      <c r="E135" s="62" t="s">
        <v>828</v>
      </c>
      <c r="F135" s="62" t="s">
        <v>829</v>
      </c>
      <c r="G135" s="78" t="s">
        <v>900</v>
      </c>
      <c r="H135" s="63">
        <v>728</v>
      </c>
      <c r="I135" s="63">
        <v>1155</v>
      </c>
      <c r="J135" s="63">
        <v>1397.55</v>
      </c>
      <c r="K135" s="63">
        <v>427</v>
      </c>
      <c r="L135" s="64">
        <v>36.969696969696969</v>
      </c>
      <c r="M135" s="64">
        <v>58.653846153846153</v>
      </c>
      <c r="N135" s="66">
        <v>0</v>
      </c>
      <c r="O135" s="71">
        <v>14.46540880503145</v>
      </c>
      <c r="P135" s="62">
        <v>1</v>
      </c>
      <c r="Q135" s="72" t="s">
        <v>902</v>
      </c>
    </row>
    <row r="136" spans="1:17" ht="16" x14ac:dyDescent="0.2">
      <c r="A136" s="55" t="s">
        <v>125</v>
      </c>
      <c r="B136" s="55" t="s">
        <v>169</v>
      </c>
      <c r="C136" s="55" t="s">
        <v>170</v>
      </c>
      <c r="D136" s="55" t="s">
        <v>171</v>
      </c>
      <c r="E136" s="56" t="s">
        <v>828</v>
      </c>
      <c r="F136" s="56" t="s">
        <v>829</v>
      </c>
      <c r="G136" s="77" t="s">
        <v>900</v>
      </c>
      <c r="H136" s="57">
        <v>923</v>
      </c>
      <c r="I136" s="57">
        <v>1465</v>
      </c>
      <c r="J136" s="57">
        <v>1772.65</v>
      </c>
      <c r="K136" s="57">
        <v>542</v>
      </c>
      <c r="L136" s="58">
        <v>36.996587030716718</v>
      </c>
      <c r="M136" s="58">
        <v>58.721560130010829</v>
      </c>
      <c r="N136" s="60">
        <v>0</v>
      </c>
      <c r="O136" s="74">
        <v>14.516129032258069</v>
      </c>
      <c r="P136" s="56">
        <v>1</v>
      </c>
      <c r="Q136" s="69" t="s">
        <v>902</v>
      </c>
    </row>
    <row r="137" spans="1:17" ht="16" x14ac:dyDescent="0.2">
      <c r="A137" s="61" t="s">
        <v>125</v>
      </c>
      <c r="B137" s="61" t="s">
        <v>172</v>
      </c>
      <c r="C137" s="61" t="s">
        <v>173</v>
      </c>
      <c r="D137" s="61" t="s">
        <v>174</v>
      </c>
      <c r="E137" s="62" t="s">
        <v>828</v>
      </c>
      <c r="F137" s="62" t="s">
        <v>829</v>
      </c>
      <c r="G137" s="78" t="s">
        <v>900</v>
      </c>
      <c r="H137" s="63">
        <v>262</v>
      </c>
      <c r="I137" s="63">
        <v>415</v>
      </c>
      <c r="J137" s="63">
        <v>502.15</v>
      </c>
      <c r="K137" s="63">
        <v>153</v>
      </c>
      <c r="L137" s="64">
        <v>36.867469879518069</v>
      </c>
      <c r="M137" s="64">
        <v>58.396946564885504</v>
      </c>
      <c r="N137" s="66">
        <v>0.38314176245210718</v>
      </c>
      <c r="O137" s="71">
        <v>14.410480349344979</v>
      </c>
      <c r="P137" s="62">
        <v>2</v>
      </c>
      <c r="Q137" s="72" t="s">
        <v>901</v>
      </c>
    </row>
    <row r="138" spans="1:17" ht="16" x14ac:dyDescent="0.2">
      <c r="A138" s="55" t="s">
        <v>125</v>
      </c>
      <c r="B138" s="55" t="s">
        <v>175</v>
      </c>
      <c r="C138" s="55" t="s">
        <v>176</v>
      </c>
      <c r="D138" s="55" t="s">
        <v>177</v>
      </c>
      <c r="E138" s="56" t="s">
        <v>828</v>
      </c>
      <c r="F138" s="56" t="s">
        <v>829</v>
      </c>
      <c r="G138" s="77" t="s">
        <v>900</v>
      </c>
      <c r="H138" s="57">
        <v>202</v>
      </c>
      <c r="I138" s="57">
        <v>320</v>
      </c>
      <c r="J138" s="57">
        <v>387.2</v>
      </c>
      <c r="K138" s="57">
        <v>118</v>
      </c>
      <c r="L138" s="58">
        <v>36.875</v>
      </c>
      <c r="M138" s="58">
        <v>58.415841584158407</v>
      </c>
      <c r="N138" s="60">
        <v>0</v>
      </c>
      <c r="O138" s="74">
        <v>14.77272727272727</v>
      </c>
      <c r="P138" s="56">
        <v>1</v>
      </c>
      <c r="Q138" s="69" t="s">
        <v>902</v>
      </c>
    </row>
    <row r="139" spans="1:17" ht="16" x14ac:dyDescent="0.2">
      <c r="A139" s="61" t="s">
        <v>125</v>
      </c>
      <c r="B139" s="61" t="s">
        <v>178</v>
      </c>
      <c r="C139" s="61" t="s">
        <v>179</v>
      </c>
      <c r="D139" s="61" t="s">
        <v>180</v>
      </c>
      <c r="E139" s="62" t="s">
        <v>828</v>
      </c>
      <c r="F139" s="62" t="s">
        <v>829</v>
      </c>
      <c r="G139" s="78" t="s">
        <v>900</v>
      </c>
      <c r="H139" s="63">
        <v>1988</v>
      </c>
      <c r="I139" s="63">
        <v>3155</v>
      </c>
      <c r="J139" s="63">
        <v>3817.55</v>
      </c>
      <c r="K139" s="63">
        <v>1167</v>
      </c>
      <c r="L139" s="64">
        <v>36.988906497622821</v>
      </c>
      <c r="M139" s="64">
        <v>58.70221327967807</v>
      </c>
      <c r="N139" s="66">
        <v>0</v>
      </c>
      <c r="O139" s="71">
        <v>14.516129032258069</v>
      </c>
      <c r="P139" s="62">
        <v>1</v>
      </c>
      <c r="Q139" s="72" t="s">
        <v>902</v>
      </c>
    </row>
    <row r="140" spans="1:17" ht="16" x14ac:dyDescent="0.2">
      <c r="A140" s="55" t="s">
        <v>125</v>
      </c>
      <c r="B140" s="55" t="s">
        <v>181</v>
      </c>
      <c r="C140" s="55" t="s">
        <v>182</v>
      </c>
      <c r="D140" s="55" t="s">
        <v>183</v>
      </c>
      <c r="E140" s="56" t="s">
        <v>828</v>
      </c>
      <c r="F140" s="56" t="s">
        <v>829</v>
      </c>
      <c r="G140" s="77" t="s">
        <v>900</v>
      </c>
      <c r="H140" s="57">
        <v>2183</v>
      </c>
      <c r="I140" s="57">
        <v>3465</v>
      </c>
      <c r="J140" s="57">
        <v>4192.6499999999996</v>
      </c>
      <c r="K140" s="57">
        <v>1282</v>
      </c>
      <c r="L140" s="58">
        <v>36.998556998557</v>
      </c>
      <c r="M140" s="58">
        <v>58.726523133302798</v>
      </c>
      <c r="N140" s="60">
        <v>0</v>
      </c>
      <c r="O140" s="74">
        <v>14.53305351521511</v>
      </c>
      <c r="P140" s="56">
        <v>1</v>
      </c>
      <c r="Q140" s="69" t="s">
        <v>902</v>
      </c>
    </row>
    <row r="141" spans="1:17" ht="16" x14ac:dyDescent="0.2">
      <c r="A141" s="61" t="s">
        <v>125</v>
      </c>
      <c r="B141" s="61" t="s">
        <v>220</v>
      </c>
      <c r="C141" s="61" t="s">
        <v>221</v>
      </c>
      <c r="D141" s="61" t="s">
        <v>222</v>
      </c>
      <c r="E141" s="62" t="s">
        <v>828</v>
      </c>
      <c r="F141" s="62" t="s">
        <v>829</v>
      </c>
      <c r="G141" s="78" t="s">
        <v>900</v>
      </c>
      <c r="H141" s="63">
        <v>508</v>
      </c>
      <c r="I141" s="63">
        <v>805</v>
      </c>
      <c r="J141" s="63">
        <v>974.05</v>
      </c>
      <c r="K141" s="63">
        <v>297</v>
      </c>
      <c r="L141" s="64">
        <v>36.894409937888199</v>
      </c>
      <c r="M141" s="64">
        <v>58.464566929133852</v>
      </c>
      <c r="N141" s="66">
        <v>0.1972386587771203</v>
      </c>
      <c r="O141" s="71">
        <v>14.67268623024831</v>
      </c>
      <c r="P141" s="62">
        <v>2</v>
      </c>
      <c r="Q141" s="72" t="s">
        <v>901</v>
      </c>
    </row>
    <row r="142" spans="1:17" ht="16" x14ac:dyDescent="0.2">
      <c r="A142" s="55" t="s">
        <v>125</v>
      </c>
      <c r="B142" s="55" t="s">
        <v>223</v>
      </c>
      <c r="C142" s="55" t="s">
        <v>224</v>
      </c>
      <c r="D142" s="55" t="s">
        <v>225</v>
      </c>
      <c r="E142" s="56" t="s">
        <v>828</v>
      </c>
      <c r="F142" s="56" t="s">
        <v>829</v>
      </c>
      <c r="G142" s="77" t="s">
        <v>900</v>
      </c>
      <c r="H142" s="57">
        <v>722</v>
      </c>
      <c r="I142" s="57">
        <v>1145</v>
      </c>
      <c r="J142" s="57">
        <v>1385.45</v>
      </c>
      <c r="K142" s="57">
        <v>423</v>
      </c>
      <c r="L142" s="58">
        <v>36.943231441048027</v>
      </c>
      <c r="M142" s="58">
        <v>58.587257617728532</v>
      </c>
      <c r="N142" s="60">
        <v>0.13869625520110959</v>
      </c>
      <c r="O142" s="74">
        <v>14.603174603174599</v>
      </c>
      <c r="P142" s="56">
        <v>2</v>
      </c>
      <c r="Q142" s="69" t="s">
        <v>901</v>
      </c>
    </row>
    <row r="143" spans="1:17" ht="16" x14ac:dyDescent="0.2">
      <c r="A143" s="61" t="s">
        <v>125</v>
      </c>
      <c r="B143" s="61" t="s">
        <v>226</v>
      </c>
      <c r="C143" s="61" t="s">
        <v>227</v>
      </c>
      <c r="D143" s="61" t="s">
        <v>228</v>
      </c>
      <c r="E143" s="62" t="s">
        <v>828</v>
      </c>
      <c r="F143" s="62" t="s">
        <v>829</v>
      </c>
      <c r="G143" s="78" t="s">
        <v>900</v>
      </c>
      <c r="H143" s="63">
        <v>999</v>
      </c>
      <c r="I143" s="63">
        <v>1585</v>
      </c>
      <c r="J143" s="63">
        <v>1917.85</v>
      </c>
      <c r="K143" s="63">
        <v>586</v>
      </c>
      <c r="L143" s="64">
        <v>36.971608832807583</v>
      </c>
      <c r="M143" s="64">
        <v>58.658658658658659</v>
      </c>
      <c r="N143" s="66">
        <v>0</v>
      </c>
      <c r="O143" s="71">
        <v>14.56422018348624</v>
      </c>
      <c r="P143" s="62">
        <v>1</v>
      </c>
      <c r="Q143" s="72" t="s">
        <v>902</v>
      </c>
    </row>
    <row r="144" spans="1:17" ht="16" x14ac:dyDescent="0.2">
      <c r="A144" s="55" t="s">
        <v>125</v>
      </c>
      <c r="B144" s="55" t="s">
        <v>229</v>
      </c>
      <c r="C144" s="55" t="s">
        <v>230</v>
      </c>
      <c r="D144" s="55" t="s">
        <v>231</v>
      </c>
      <c r="E144" s="56" t="s">
        <v>828</v>
      </c>
      <c r="F144" s="56" t="s">
        <v>829</v>
      </c>
      <c r="G144" s="77" t="s">
        <v>900</v>
      </c>
      <c r="H144" s="57">
        <v>98</v>
      </c>
      <c r="I144" s="57">
        <v>155</v>
      </c>
      <c r="J144" s="57">
        <v>187.55</v>
      </c>
      <c r="K144" s="57">
        <v>57</v>
      </c>
      <c r="L144" s="58">
        <v>36.774193548387103</v>
      </c>
      <c r="M144" s="58">
        <v>58.163265306122447</v>
      </c>
      <c r="N144" s="60">
        <v>0</v>
      </c>
      <c r="O144" s="74">
        <v>13.95348837209302</v>
      </c>
      <c r="P144" s="56">
        <v>1</v>
      </c>
      <c r="Q144" s="69" t="s">
        <v>902</v>
      </c>
    </row>
    <row r="145" spans="1:17" ht="16" x14ac:dyDescent="0.2">
      <c r="A145" s="61" t="s">
        <v>125</v>
      </c>
      <c r="B145" s="61" t="s">
        <v>452</v>
      </c>
      <c r="C145" s="61" t="s">
        <v>453</v>
      </c>
      <c r="D145" s="61" t="s">
        <v>454</v>
      </c>
      <c r="E145" s="62" t="s">
        <v>828</v>
      </c>
      <c r="F145" s="62" t="s">
        <v>829</v>
      </c>
      <c r="G145" s="70" t="s">
        <v>898</v>
      </c>
      <c r="H145" s="63">
        <v>114</v>
      </c>
      <c r="I145" s="63">
        <v>180</v>
      </c>
      <c r="J145" s="63">
        <v>217.8</v>
      </c>
      <c r="K145" s="63">
        <v>66</v>
      </c>
      <c r="L145" s="64">
        <v>36.666666666666657</v>
      </c>
      <c r="M145" s="64">
        <v>57.894736842105267</v>
      </c>
      <c r="N145" s="71">
        <v>15.15151515151515</v>
      </c>
      <c r="O145" s="71">
        <v>15.15151515151515</v>
      </c>
      <c r="P145" s="62">
        <v>1</v>
      </c>
      <c r="Q145" s="72" t="s">
        <v>899</v>
      </c>
    </row>
    <row r="146" spans="1:17" ht="16" x14ac:dyDescent="0.2">
      <c r="A146" s="55" t="s">
        <v>125</v>
      </c>
      <c r="B146" s="67" t="s">
        <v>896</v>
      </c>
      <c r="C146" s="55" t="s">
        <v>453</v>
      </c>
      <c r="D146" s="55" t="s">
        <v>878</v>
      </c>
      <c r="E146" s="56" t="s">
        <v>827</v>
      </c>
      <c r="F146" s="56" t="s">
        <v>827</v>
      </c>
      <c r="G146" s="68" t="s">
        <v>897</v>
      </c>
      <c r="H146" s="57">
        <v>1509</v>
      </c>
      <c r="I146" s="57">
        <v>180</v>
      </c>
      <c r="J146" s="57">
        <v>217.8</v>
      </c>
      <c r="K146" s="57">
        <v>-1329</v>
      </c>
      <c r="L146" s="58">
        <v>-738.33333333333337</v>
      </c>
      <c r="M146" s="58">
        <v>-88.071570576540765</v>
      </c>
      <c r="N146" s="60"/>
      <c r="O146" s="60"/>
      <c r="P146" s="56">
        <v>0</v>
      </c>
      <c r="Q146" s="69"/>
    </row>
    <row r="147" spans="1:17" ht="16" x14ac:dyDescent="0.2">
      <c r="A147" s="61" t="s">
        <v>125</v>
      </c>
      <c r="B147" s="75" t="s">
        <v>896</v>
      </c>
      <c r="C147" s="61" t="s">
        <v>450</v>
      </c>
      <c r="D147" s="61" t="s">
        <v>457</v>
      </c>
      <c r="E147" s="62" t="s">
        <v>827</v>
      </c>
      <c r="F147" s="62" t="s">
        <v>827</v>
      </c>
      <c r="G147" s="76" t="s">
        <v>897</v>
      </c>
      <c r="H147" s="63">
        <v>939</v>
      </c>
      <c r="I147" s="63">
        <v>65</v>
      </c>
      <c r="J147" s="63">
        <v>78.650000000000006</v>
      </c>
      <c r="K147" s="63">
        <v>-874</v>
      </c>
      <c r="L147" s="64">
        <v>-1344.615384615385</v>
      </c>
      <c r="M147" s="64">
        <v>-93.077742279020242</v>
      </c>
      <c r="N147" s="66"/>
      <c r="O147" s="66"/>
      <c r="P147" s="62">
        <v>0</v>
      </c>
      <c r="Q147" s="72"/>
    </row>
    <row r="148" spans="1:17" ht="16" x14ac:dyDescent="0.2">
      <c r="A148" s="55" t="s">
        <v>125</v>
      </c>
      <c r="B148" s="55" t="s">
        <v>449</v>
      </c>
      <c r="C148" s="55" t="s">
        <v>450</v>
      </c>
      <c r="D148" s="55" t="s">
        <v>451</v>
      </c>
      <c r="E148" s="56" t="s">
        <v>828</v>
      </c>
      <c r="F148" s="56" t="s">
        <v>829</v>
      </c>
      <c r="G148" s="73" t="s">
        <v>898</v>
      </c>
      <c r="H148" s="57">
        <v>41</v>
      </c>
      <c r="I148" s="57">
        <v>65</v>
      </c>
      <c r="J148" s="57">
        <v>78.650000000000006</v>
      </c>
      <c r="K148" s="57">
        <v>24</v>
      </c>
      <c r="L148" s="58">
        <v>36.923076923076927</v>
      </c>
      <c r="M148" s="58">
        <v>58.536585365853647</v>
      </c>
      <c r="N148" s="74">
        <v>13.888888888888889</v>
      </c>
      <c r="O148" s="74">
        <v>13.888888888888889</v>
      </c>
      <c r="P148" s="56">
        <v>1</v>
      </c>
      <c r="Q148" s="69" t="s">
        <v>899</v>
      </c>
    </row>
    <row r="149" spans="1:17" ht="16" x14ac:dyDescent="0.2">
      <c r="A149" s="61" t="s">
        <v>125</v>
      </c>
      <c r="B149" s="75" t="s">
        <v>896</v>
      </c>
      <c r="C149" s="61" t="s">
        <v>447</v>
      </c>
      <c r="D149" s="61" t="s">
        <v>879</v>
      </c>
      <c r="E149" s="62" t="s">
        <v>827</v>
      </c>
      <c r="F149" s="62" t="s">
        <v>827</v>
      </c>
      <c r="G149" s="76" t="s">
        <v>897</v>
      </c>
      <c r="H149" s="63">
        <v>113</v>
      </c>
      <c r="I149" s="63">
        <v>135</v>
      </c>
      <c r="J149" s="63">
        <v>163.35</v>
      </c>
      <c r="K149" s="63">
        <v>22</v>
      </c>
      <c r="L149" s="64">
        <v>16.296296296296301</v>
      </c>
      <c r="M149" s="64">
        <v>19.46902654867257</v>
      </c>
      <c r="N149" s="66"/>
      <c r="O149" s="66"/>
      <c r="P149" s="62">
        <v>0</v>
      </c>
      <c r="Q149" s="72"/>
    </row>
    <row r="150" spans="1:17" ht="16" x14ac:dyDescent="0.2">
      <c r="A150" s="55" t="s">
        <v>125</v>
      </c>
      <c r="B150" s="55" t="s">
        <v>446</v>
      </c>
      <c r="C150" s="55" t="s">
        <v>447</v>
      </c>
      <c r="D150" s="55" t="s">
        <v>448</v>
      </c>
      <c r="E150" s="56" t="s">
        <v>828</v>
      </c>
      <c r="F150" s="56" t="s">
        <v>829</v>
      </c>
      <c r="G150" s="73" t="s">
        <v>898</v>
      </c>
      <c r="H150" s="57">
        <v>86</v>
      </c>
      <c r="I150" s="57">
        <v>135</v>
      </c>
      <c r="J150" s="57">
        <v>163.35</v>
      </c>
      <c r="K150" s="57">
        <v>49</v>
      </c>
      <c r="L150" s="58">
        <v>36.296296296296298</v>
      </c>
      <c r="M150" s="58">
        <v>56.97674418604651</v>
      </c>
      <c r="N150" s="74">
        <v>14.66666666666667</v>
      </c>
      <c r="O150" s="74">
        <v>14.66666666666667</v>
      </c>
      <c r="P150" s="56">
        <v>1</v>
      </c>
      <c r="Q150" s="69" t="s">
        <v>899</v>
      </c>
    </row>
    <row r="151" spans="1:17" ht="16" x14ac:dyDescent="0.2">
      <c r="A151" s="61" t="s">
        <v>125</v>
      </c>
      <c r="B151" s="61" t="s">
        <v>440</v>
      </c>
      <c r="C151" s="61" t="s">
        <v>441</v>
      </c>
      <c r="D151" s="61" t="s">
        <v>442</v>
      </c>
      <c r="E151" s="62" t="s">
        <v>828</v>
      </c>
      <c r="F151" s="62" t="s">
        <v>829</v>
      </c>
      <c r="G151" s="78" t="s">
        <v>900</v>
      </c>
      <c r="H151" s="63">
        <v>189</v>
      </c>
      <c r="I151" s="63">
        <v>300</v>
      </c>
      <c r="J151" s="63">
        <v>363</v>
      </c>
      <c r="K151" s="63">
        <v>111</v>
      </c>
      <c r="L151" s="64">
        <v>37</v>
      </c>
      <c r="M151" s="64">
        <v>58.730158730158728</v>
      </c>
      <c r="N151" s="71">
        <v>122.35294117647059</v>
      </c>
      <c r="O151" s="71">
        <v>14.54545454545454</v>
      </c>
      <c r="P151" s="62">
        <v>1</v>
      </c>
      <c r="Q151" s="72" t="s">
        <v>906</v>
      </c>
    </row>
    <row r="152" spans="1:17" x14ac:dyDescent="0.2">
      <c r="D152" s="79" t="s">
        <v>814</v>
      </c>
      <c r="H152" s="80">
        <f>SUM(H6:H151)</f>
        <v>117221</v>
      </c>
      <c r="I152" s="80">
        <f>SUM(I6:I151)</f>
        <v>185825</v>
      </c>
      <c r="J152" s="80">
        <f>SUM(J6:J151)</f>
        <v>224848.24999999988</v>
      </c>
      <c r="K152" s="80">
        <f>SUM(K6:K151)</f>
        <v>68604</v>
      </c>
      <c r="L152" s="81">
        <f>AVERAGE(L6:L151)</f>
        <v>13.671590411044949</v>
      </c>
      <c r="M152" s="81">
        <f>AVERAGE(M6:M151)</f>
        <v>101.84620436368169</v>
      </c>
      <c r="N152" s="82">
        <f>AVERAGE(N6:N151)</f>
        <v>4.9137968935950012</v>
      </c>
      <c r="O152" s="82">
        <f>AVERAGE(O6:O151)</f>
        <v>14.537832321214466</v>
      </c>
      <c r="P152" s="83">
        <f>SUM(P6:P151)</f>
        <v>146</v>
      </c>
    </row>
  </sheetData>
  <autoFilter ref="A5:Q151" xr:uid="{00000000-0009-0000-0000-000006000000}"/>
  <mergeCells count="3">
    <mergeCell ref="A3:Q3"/>
    <mergeCell ref="A2:Q2"/>
    <mergeCell ref="A1:Q1"/>
  </mergeCells>
  <conditionalFormatting sqref="L6:L151">
    <cfRule type="colorScale" priority="1">
      <colorScale>
        <cfvo type="num" val="0"/>
        <cfvo type="num" val="30"/>
        <cfvo type="num" val="5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3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30" customWidth="1"/>
    <col min="3" max="3" width="36" customWidth="1"/>
    <col min="4" max="4" width="8" customWidth="1"/>
    <col min="5" max="5" width="18" customWidth="1"/>
    <col min="6" max="6" width="12" customWidth="1"/>
    <col min="7" max="8" width="16" customWidth="1"/>
    <col min="9" max="10" width="14" customWidth="1"/>
  </cols>
  <sheetData>
    <row r="1" spans="1:10" ht="30" customHeight="1" x14ac:dyDescent="0.2">
      <c r="A1" s="84" t="s">
        <v>111</v>
      </c>
      <c r="B1" s="84" t="s">
        <v>114</v>
      </c>
      <c r="C1" s="84" t="s">
        <v>907</v>
      </c>
      <c r="D1" s="84" t="s">
        <v>908</v>
      </c>
      <c r="E1" s="84" t="s">
        <v>909</v>
      </c>
      <c r="F1" s="84" t="s">
        <v>815</v>
      </c>
      <c r="G1" s="84" t="s">
        <v>910</v>
      </c>
      <c r="H1" s="84" t="s">
        <v>911</v>
      </c>
      <c r="I1" s="84" t="s">
        <v>912</v>
      </c>
      <c r="J1" s="84" t="s">
        <v>913</v>
      </c>
    </row>
    <row r="2" spans="1:10" x14ac:dyDescent="0.2">
      <c r="A2" s="85" t="s">
        <v>467</v>
      </c>
      <c r="B2" s="85" t="s">
        <v>914</v>
      </c>
      <c r="C2" s="85" t="s">
        <v>915</v>
      </c>
      <c r="D2" s="86" t="s">
        <v>916</v>
      </c>
      <c r="E2" s="87" t="s">
        <v>917</v>
      </c>
      <c r="F2" s="88" t="s">
        <v>918</v>
      </c>
      <c r="G2" s="89">
        <v>270.76</v>
      </c>
      <c r="H2" s="89">
        <v>327.62</v>
      </c>
      <c r="I2" s="90"/>
      <c r="J2" s="91"/>
    </row>
    <row r="3" spans="1:10" x14ac:dyDescent="0.2">
      <c r="A3" s="61" t="s">
        <v>467</v>
      </c>
      <c r="B3" s="61" t="s">
        <v>914</v>
      </c>
      <c r="C3" s="61" t="s">
        <v>915</v>
      </c>
      <c r="D3" s="62" t="s">
        <v>916</v>
      </c>
      <c r="E3" s="92" t="s">
        <v>919</v>
      </c>
      <c r="F3" s="62" t="s">
        <v>829</v>
      </c>
      <c r="G3" s="63">
        <v>416.55</v>
      </c>
      <c r="H3" s="63">
        <v>504.03</v>
      </c>
      <c r="I3" s="65"/>
      <c r="J3" s="66"/>
    </row>
    <row r="4" spans="1:10" x14ac:dyDescent="0.2">
      <c r="A4" s="93" t="s">
        <v>467</v>
      </c>
      <c r="B4" s="93" t="s">
        <v>914</v>
      </c>
      <c r="C4" s="93" t="s">
        <v>920</v>
      </c>
      <c r="D4" s="94" t="s">
        <v>916</v>
      </c>
      <c r="E4" s="95" t="s">
        <v>917</v>
      </c>
      <c r="F4" s="96" t="s">
        <v>918</v>
      </c>
      <c r="G4" s="97">
        <v>186.62</v>
      </c>
      <c r="H4" s="97">
        <v>225.81</v>
      </c>
      <c r="I4" s="98"/>
      <c r="J4" s="99"/>
    </row>
    <row r="5" spans="1:10" x14ac:dyDescent="0.2">
      <c r="A5" s="55" t="s">
        <v>467</v>
      </c>
      <c r="B5" s="55" t="s">
        <v>914</v>
      </c>
      <c r="C5" s="55" t="s">
        <v>920</v>
      </c>
      <c r="D5" s="56" t="s">
        <v>916</v>
      </c>
      <c r="E5" s="100" t="s">
        <v>919</v>
      </c>
      <c r="F5" s="56" t="s">
        <v>829</v>
      </c>
      <c r="G5" s="57">
        <v>287.10000000000002</v>
      </c>
      <c r="H5" s="57">
        <v>347.39</v>
      </c>
      <c r="I5" s="59"/>
      <c r="J5" s="60"/>
    </row>
    <row r="6" spans="1:10" x14ac:dyDescent="0.2">
      <c r="A6" s="85" t="s">
        <v>467</v>
      </c>
      <c r="B6" s="85" t="s">
        <v>921</v>
      </c>
      <c r="C6" s="85" t="s">
        <v>922</v>
      </c>
      <c r="D6" s="86" t="s">
        <v>916</v>
      </c>
      <c r="E6" s="87" t="s">
        <v>917</v>
      </c>
      <c r="F6" s="88" t="s">
        <v>918</v>
      </c>
      <c r="G6" s="89">
        <v>217.14</v>
      </c>
      <c r="H6" s="89">
        <v>262.74</v>
      </c>
      <c r="I6" s="90"/>
      <c r="J6" s="91"/>
    </row>
    <row r="7" spans="1:10" x14ac:dyDescent="0.2">
      <c r="A7" s="61" t="s">
        <v>467</v>
      </c>
      <c r="B7" s="61" t="s">
        <v>921</v>
      </c>
      <c r="C7" s="61" t="s">
        <v>922</v>
      </c>
      <c r="D7" s="62" t="s">
        <v>916</v>
      </c>
      <c r="E7" s="92" t="s">
        <v>919</v>
      </c>
      <c r="F7" s="62" t="s">
        <v>829</v>
      </c>
      <c r="G7" s="63">
        <v>334.05</v>
      </c>
      <c r="H7" s="63">
        <v>404.2</v>
      </c>
      <c r="I7" s="65"/>
      <c r="J7" s="66"/>
    </row>
    <row r="8" spans="1:10" x14ac:dyDescent="0.2">
      <c r="A8" s="93" t="s">
        <v>467</v>
      </c>
      <c r="B8" s="93" t="s">
        <v>921</v>
      </c>
      <c r="C8" s="93" t="s">
        <v>923</v>
      </c>
      <c r="D8" s="94" t="s">
        <v>916</v>
      </c>
      <c r="E8" s="95" t="s">
        <v>917</v>
      </c>
      <c r="F8" s="96" t="s">
        <v>918</v>
      </c>
      <c r="G8" s="97">
        <v>228.96</v>
      </c>
      <c r="H8" s="97">
        <v>277.04000000000002</v>
      </c>
      <c r="I8" s="98"/>
      <c r="J8" s="99"/>
    </row>
    <row r="9" spans="1:10" x14ac:dyDescent="0.2">
      <c r="A9" s="55" t="s">
        <v>467</v>
      </c>
      <c r="B9" s="55" t="s">
        <v>921</v>
      </c>
      <c r="C9" s="55" t="s">
        <v>923</v>
      </c>
      <c r="D9" s="56" t="s">
        <v>916</v>
      </c>
      <c r="E9" s="100" t="s">
        <v>919</v>
      </c>
      <c r="F9" s="56" t="s">
        <v>829</v>
      </c>
      <c r="G9" s="57">
        <v>352.25</v>
      </c>
      <c r="H9" s="57">
        <v>426.22</v>
      </c>
      <c r="I9" s="59"/>
      <c r="J9" s="60"/>
    </row>
    <row r="10" spans="1:10" x14ac:dyDescent="0.2">
      <c r="A10" s="85" t="s">
        <v>467</v>
      </c>
      <c r="B10" s="85" t="s">
        <v>924</v>
      </c>
      <c r="C10" s="85" t="s">
        <v>925</v>
      </c>
      <c r="D10" s="86" t="s">
        <v>926</v>
      </c>
      <c r="E10" s="87" t="s">
        <v>917</v>
      </c>
      <c r="F10" s="88" t="s">
        <v>918</v>
      </c>
      <c r="G10" s="89">
        <v>226.62</v>
      </c>
      <c r="H10" s="89">
        <v>274.20999999999998</v>
      </c>
      <c r="I10" s="90"/>
      <c r="J10" s="91"/>
    </row>
    <row r="11" spans="1:10" x14ac:dyDescent="0.2">
      <c r="A11" s="61" t="s">
        <v>467</v>
      </c>
      <c r="B11" s="61" t="s">
        <v>924</v>
      </c>
      <c r="C11" s="61" t="s">
        <v>925</v>
      </c>
      <c r="D11" s="62" t="s">
        <v>926</v>
      </c>
      <c r="E11" s="92" t="s">
        <v>919</v>
      </c>
      <c r="F11" s="62" t="s">
        <v>829</v>
      </c>
      <c r="G11" s="63">
        <v>348.65</v>
      </c>
      <c r="H11" s="63">
        <v>421.87</v>
      </c>
      <c r="I11" s="65"/>
      <c r="J11" s="66"/>
    </row>
    <row r="12" spans="1:10" x14ac:dyDescent="0.2">
      <c r="A12" s="93" t="s">
        <v>467</v>
      </c>
      <c r="B12" s="93" t="s">
        <v>927</v>
      </c>
      <c r="C12" s="93" t="s">
        <v>928</v>
      </c>
      <c r="D12" s="94" t="s">
        <v>916</v>
      </c>
      <c r="E12" s="95" t="s">
        <v>917</v>
      </c>
      <c r="F12" s="96" t="s">
        <v>918</v>
      </c>
      <c r="G12" s="97">
        <v>1510.81</v>
      </c>
      <c r="H12" s="97">
        <v>1828.08</v>
      </c>
      <c r="I12" s="98"/>
      <c r="J12" s="99"/>
    </row>
    <row r="13" spans="1:10" x14ac:dyDescent="0.2">
      <c r="A13" s="55" t="s">
        <v>467</v>
      </c>
      <c r="B13" s="55" t="s">
        <v>927</v>
      </c>
      <c r="C13" s="55" t="s">
        <v>928</v>
      </c>
      <c r="D13" s="56" t="s">
        <v>916</v>
      </c>
      <c r="E13" s="100" t="s">
        <v>919</v>
      </c>
      <c r="F13" s="56" t="s">
        <v>829</v>
      </c>
      <c r="G13" s="57">
        <v>2324.3200000000002</v>
      </c>
      <c r="H13" s="57">
        <v>2812.43</v>
      </c>
      <c r="I13" s="59"/>
      <c r="J13" s="60"/>
    </row>
    <row r="14" spans="1:10" x14ac:dyDescent="0.2">
      <c r="A14" s="85" t="s">
        <v>467</v>
      </c>
      <c r="B14" s="85" t="s">
        <v>929</v>
      </c>
      <c r="C14" s="85" t="s">
        <v>930</v>
      </c>
      <c r="D14" s="86" t="s">
        <v>931</v>
      </c>
      <c r="E14" s="87" t="s">
        <v>917</v>
      </c>
      <c r="F14" s="88" t="s">
        <v>918</v>
      </c>
      <c r="G14" s="89">
        <v>789.72</v>
      </c>
      <c r="H14" s="89">
        <v>955.56</v>
      </c>
      <c r="I14" s="90"/>
      <c r="J14" s="91"/>
    </row>
    <row r="15" spans="1:10" x14ac:dyDescent="0.2">
      <c r="A15" s="61" t="s">
        <v>467</v>
      </c>
      <c r="B15" s="61" t="s">
        <v>929</v>
      </c>
      <c r="C15" s="61" t="s">
        <v>930</v>
      </c>
      <c r="D15" s="62" t="s">
        <v>931</v>
      </c>
      <c r="E15" s="92" t="s">
        <v>919</v>
      </c>
      <c r="F15" s="62" t="s">
        <v>829</v>
      </c>
      <c r="G15" s="63">
        <v>1052.96</v>
      </c>
      <c r="H15" s="63">
        <v>1274.08</v>
      </c>
      <c r="I15" s="65"/>
      <c r="J15" s="66"/>
    </row>
    <row r="16" spans="1:10" x14ac:dyDescent="0.2">
      <c r="A16" s="93" t="s">
        <v>467</v>
      </c>
      <c r="B16" s="93" t="s">
        <v>929</v>
      </c>
      <c r="C16" s="93" t="s">
        <v>932</v>
      </c>
      <c r="D16" s="94" t="s">
        <v>931</v>
      </c>
      <c r="E16" s="95" t="s">
        <v>917</v>
      </c>
      <c r="F16" s="96" t="s">
        <v>918</v>
      </c>
      <c r="G16" s="97">
        <v>1035.01</v>
      </c>
      <c r="H16" s="97">
        <v>1252.3599999999999</v>
      </c>
      <c r="I16" s="98"/>
      <c r="J16" s="99"/>
    </row>
    <row r="17" spans="1:10" x14ac:dyDescent="0.2">
      <c r="A17" s="55" t="s">
        <v>467</v>
      </c>
      <c r="B17" s="55" t="s">
        <v>929</v>
      </c>
      <c r="C17" s="55" t="s">
        <v>932</v>
      </c>
      <c r="D17" s="56" t="s">
        <v>931</v>
      </c>
      <c r="E17" s="100" t="s">
        <v>919</v>
      </c>
      <c r="F17" s="56" t="s">
        <v>829</v>
      </c>
      <c r="G17" s="57">
        <v>1380.01</v>
      </c>
      <c r="H17" s="57">
        <v>1669.81</v>
      </c>
      <c r="I17" s="59"/>
      <c r="J17" s="60"/>
    </row>
    <row r="18" spans="1:10" x14ac:dyDescent="0.2">
      <c r="A18" s="85" t="s">
        <v>467</v>
      </c>
      <c r="B18" s="85" t="s">
        <v>933</v>
      </c>
      <c r="C18" s="85" t="s">
        <v>928</v>
      </c>
      <c r="D18" s="86" t="s">
        <v>916</v>
      </c>
      <c r="E18" s="87" t="s">
        <v>917</v>
      </c>
      <c r="F18" s="88" t="s">
        <v>918</v>
      </c>
      <c r="G18" s="89">
        <v>1073.6099999999999</v>
      </c>
      <c r="H18" s="89">
        <v>1299.07</v>
      </c>
      <c r="I18" s="90"/>
      <c r="J18" s="91"/>
    </row>
    <row r="19" spans="1:10" x14ac:dyDescent="0.2">
      <c r="A19" s="61" t="s">
        <v>467</v>
      </c>
      <c r="B19" s="61" t="s">
        <v>933</v>
      </c>
      <c r="C19" s="61" t="s">
        <v>928</v>
      </c>
      <c r="D19" s="62" t="s">
        <v>916</v>
      </c>
      <c r="E19" s="92" t="s">
        <v>919</v>
      </c>
      <c r="F19" s="62" t="s">
        <v>829</v>
      </c>
      <c r="G19" s="63">
        <v>1651.71</v>
      </c>
      <c r="H19" s="63">
        <v>1998.57</v>
      </c>
      <c r="I19" s="65"/>
      <c r="J19" s="66"/>
    </row>
    <row r="20" spans="1:10" x14ac:dyDescent="0.2">
      <c r="A20" s="93" t="s">
        <v>467</v>
      </c>
      <c r="B20" s="93" t="s">
        <v>934</v>
      </c>
      <c r="C20" s="93" t="s">
        <v>935</v>
      </c>
      <c r="D20" s="94" t="s">
        <v>916</v>
      </c>
      <c r="E20" s="95" t="s">
        <v>917</v>
      </c>
      <c r="F20" s="96" t="s">
        <v>918</v>
      </c>
      <c r="G20" s="97">
        <v>54.88</v>
      </c>
      <c r="H20" s="97">
        <v>66.400000000000006</v>
      </c>
      <c r="I20" s="98"/>
      <c r="J20" s="99"/>
    </row>
    <row r="21" spans="1:10" x14ac:dyDescent="0.2">
      <c r="A21" s="55" t="s">
        <v>467</v>
      </c>
      <c r="B21" s="55" t="s">
        <v>934</v>
      </c>
      <c r="C21" s="55" t="s">
        <v>935</v>
      </c>
      <c r="D21" s="56" t="s">
        <v>916</v>
      </c>
      <c r="E21" s="100" t="s">
        <v>919</v>
      </c>
      <c r="F21" s="56" t="s">
        <v>829</v>
      </c>
      <c r="G21" s="57">
        <v>84.43</v>
      </c>
      <c r="H21" s="57">
        <v>102.16</v>
      </c>
      <c r="I21" s="59"/>
      <c r="J21" s="60"/>
    </row>
    <row r="22" spans="1:10" x14ac:dyDescent="0.2">
      <c r="A22" s="85" t="s">
        <v>467</v>
      </c>
      <c r="B22" s="85" t="s">
        <v>934</v>
      </c>
      <c r="C22" s="85" t="s">
        <v>936</v>
      </c>
      <c r="D22" s="86" t="s">
        <v>916</v>
      </c>
      <c r="E22" s="87" t="s">
        <v>917</v>
      </c>
      <c r="F22" s="88" t="s">
        <v>918</v>
      </c>
      <c r="G22" s="89">
        <v>27.52</v>
      </c>
      <c r="H22" s="89">
        <v>33.299999999999997</v>
      </c>
      <c r="I22" s="90"/>
      <c r="J22" s="91"/>
    </row>
    <row r="23" spans="1:10" x14ac:dyDescent="0.2">
      <c r="A23" s="61" t="s">
        <v>467</v>
      </c>
      <c r="B23" s="61" t="s">
        <v>934</v>
      </c>
      <c r="C23" s="61" t="s">
        <v>936</v>
      </c>
      <c r="D23" s="62" t="s">
        <v>916</v>
      </c>
      <c r="E23" s="92" t="s">
        <v>919</v>
      </c>
      <c r="F23" s="62" t="s">
        <v>829</v>
      </c>
      <c r="G23" s="63">
        <v>42.34</v>
      </c>
      <c r="H23" s="63">
        <v>51.23</v>
      </c>
      <c r="I23" s="65"/>
      <c r="J23" s="66"/>
    </row>
    <row r="24" spans="1:10" x14ac:dyDescent="0.2">
      <c r="A24" s="93" t="s">
        <v>467</v>
      </c>
      <c r="B24" s="93" t="s">
        <v>937</v>
      </c>
      <c r="C24" s="93" t="s">
        <v>938</v>
      </c>
      <c r="D24" s="94" t="s">
        <v>939</v>
      </c>
      <c r="E24" s="95" t="s">
        <v>917</v>
      </c>
      <c r="F24" s="96" t="s">
        <v>918</v>
      </c>
      <c r="G24" s="97">
        <v>18.440000000000001</v>
      </c>
      <c r="H24" s="97">
        <v>22.31</v>
      </c>
      <c r="I24" s="98"/>
      <c r="J24" s="99"/>
    </row>
    <row r="25" spans="1:10" x14ac:dyDescent="0.2">
      <c r="A25" s="55" t="s">
        <v>467</v>
      </c>
      <c r="B25" s="55" t="s">
        <v>937</v>
      </c>
      <c r="C25" s="55" t="s">
        <v>938</v>
      </c>
      <c r="D25" s="56" t="s">
        <v>939</v>
      </c>
      <c r="E25" s="100" t="s">
        <v>919</v>
      </c>
      <c r="F25" s="56" t="s">
        <v>829</v>
      </c>
      <c r="G25" s="57">
        <v>29.74</v>
      </c>
      <c r="H25" s="57">
        <v>35.99</v>
      </c>
      <c r="I25" s="59"/>
      <c r="J25" s="60"/>
    </row>
    <row r="26" spans="1:10" x14ac:dyDescent="0.2">
      <c r="A26" s="85" t="s">
        <v>467</v>
      </c>
      <c r="B26" s="85" t="s">
        <v>937</v>
      </c>
      <c r="C26" s="85" t="s">
        <v>940</v>
      </c>
      <c r="D26" s="86" t="s">
        <v>939</v>
      </c>
      <c r="E26" s="87" t="s">
        <v>917</v>
      </c>
      <c r="F26" s="88" t="s">
        <v>918</v>
      </c>
      <c r="G26" s="89">
        <v>19.36</v>
      </c>
      <c r="H26" s="89">
        <v>23.43</v>
      </c>
      <c r="I26" s="90"/>
      <c r="J26" s="91"/>
    </row>
    <row r="27" spans="1:10" x14ac:dyDescent="0.2">
      <c r="A27" s="61" t="s">
        <v>467</v>
      </c>
      <c r="B27" s="61" t="s">
        <v>937</v>
      </c>
      <c r="C27" s="61" t="s">
        <v>940</v>
      </c>
      <c r="D27" s="62" t="s">
        <v>939</v>
      </c>
      <c r="E27" s="92" t="s">
        <v>919</v>
      </c>
      <c r="F27" s="62" t="s">
        <v>829</v>
      </c>
      <c r="G27" s="63">
        <v>31.23</v>
      </c>
      <c r="H27" s="63">
        <v>37.79</v>
      </c>
      <c r="I27" s="65"/>
      <c r="J27" s="66"/>
    </row>
    <row r="28" spans="1:10" x14ac:dyDescent="0.2">
      <c r="A28" s="93" t="s">
        <v>467</v>
      </c>
      <c r="B28" s="93" t="s">
        <v>941</v>
      </c>
      <c r="C28" s="93" t="s">
        <v>942</v>
      </c>
      <c r="D28" s="94" t="s">
        <v>916</v>
      </c>
      <c r="E28" s="95" t="s">
        <v>917</v>
      </c>
      <c r="F28" s="96" t="s">
        <v>918</v>
      </c>
      <c r="G28" s="97">
        <v>41.58</v>
      </c>
      <c r="H28" s="97">
        <v>50.31</v>
      </c>
      <c r="I28" s="98"/>
      <c r="J28" s="99"/>
    </row>
    <row r="29" spans="1:10" x14ac:dyDescent="0.2">
      <c r="A29" s="55" t="s">
        <v>467</v>
      </c>
      <c r="B29" s="55" t="s">
        <v>941</v>
      </c>
      <c r="C29" s="55" t="s">
        <v>942</v>
      </c>
      <c r="D29" s="56" t="s">
        <v>916</v>
      </c>
      <c r="E29" s="100" t="s">
        <v>919</v>
      </c>
      <c r="F29" s="56" t="s">
        <v>829</v>
      </c>
      <c r="G29" s="57">
        <v>63.96</v>
      </c>
      <c r="H29" s="57">
        <v>77.39</v>
      </c>
      <c r="I29" s="59"/>
      <c r="J29" s="60"/>
    </row>
    <row r="30" spans="1:10" x14ac:dyDescent="0.2">
      <c r="A30" s="85" t="s">
        <v>467</v>
      </c>
      <c r="B30" s="85" t="s">
        <v>941</v>
      </c>
      <c r="C30" s="85" t="s">
        <v>943</v>
      </c>
      <c r="D30" s="86" t="s">
        <v>916</v>
      </c>
      <c r="E30" s="87" t="s">
        <v>917</v>
      </c>
      <c r="F30" s="88" t="s">
        <v>918</v>
      </c>
      <c r="G30" s="89">
        <v>54.81</v>
      </c>
      <c r="H30" s="89">
        <v>66.319999999999993</v>
      </c>
      <c r="I30" s="90"/>
      <c r="J30" s="91"/>
    </row>
    <row r="31" spans="1:10" x14ac:dyDescent="0.2">
      <c r="A31" s="61" t="s">
        <v>467</v>
      </c>
      <c r="B31" s="61" t="s">
        <v>941</v>
      </c>
      <c r="C31" s="61" t="s">
        <v>943</v>
      </c>
      <c r="D31" s="62" t="s">
        <v>916</v>
      </c>
      <c r="E31" s="92" t="s">
        <v>919</v>
      </c>
      <c r="F31" s="62" t="s">
        <v>829</v>
      </c>
      <c r="G31" s="63">
        <v>84.32</v>
      </c>
      <c r="H31" s="63">
        <v>102.03</v>
      </c>
      <c r="I31" s="65"/>
      <c r="J31" s="66"/>
    </row>
    <row r="32" spans="1:10" x14ac:dyDescent="0.2">
      <c r="A32" s="93" t="s">
        <v>467</v>
      </c>
      <c r="B32" s="93" t="s">
        <v>941</v>
      </c>
      <c r="C32" s="93" t="s">
        <v>944</v>
      </c>
      <c r="D32" s="94" t="s">
        <v>916</v>
      </c>
      <c r="E32" s="95" t="s">
        <v>917</v>
      </c>
      <c r="F32" s="96" t="s">
        <v>918</v>
      </c>
      <c r="G32" s="97">
        <v>43.92</v>
      </c>
      <c r="H32" s="97">
        <v>53.14</v>
      </c>
      <c r="I32" s="98"/>
      <c r="J32" s="99"/>
    </row>
    <row r="33" spans="1:10" x14ac:dyDescent="0.2">
      <c r="A33" s="55" t="s">
        <v>467</v>
      </c>
      <c r="B33" s="55" t="s">
        <v>941</v>
      </c>
      <c r="C33" s="55" t="s">
        <v>944</v>
      </c>
      <c r="D33" s="56" t="s">
        <v>916</v>
      </c>
      <c r="E33" s="100" t="s">
        <v>919</v>
      </c>
      <c r="F33" s="56" t="s">
        <v>829</v>
      </c>
      <c r="G33" s="57">
        <v>67.569999999999993</v>
      </c>
      <c r="H33" s="57">
        <v>81.760000000000005</v>
      </c>
      <c r="I33" s="59"/>
      <c r="J33" s="60"/>
    </row>
    <row r="34" spans="1:10" x14ac:dyDescent="0.2">
      <c r="A34" s="85" t="s">
        <v>467</v>
      </c>
      <c r="B34" s="85" t="s">
        <v>941</v>
      </c>
      <c r="C34" s="85" t="s">
        <v>945</v>
      </c>
      <c r="D34" s="86" t="s">
        <v>916</v>
      </c>
      <c r="E34" s="87" t="s">
        <v>917</v>
      </c>
      <c r="F34" s="88" t="s">
        <v>918</v>
      </c>
      <c r="G34" s="89">
        <v>55.63</v>
      </c>
      <c r="H34" s="89">
        <v>67.31</v>
      </c>
      <c r="I34" s="90"/>
      <c r="J34" s="91"/>
    </row>
    <row r="35" spans="1:10" x14ac:dyDescent="0.2">
      <c r="A35" s="61" t="s">
        <v>467</v>
      </c>
      <c r="B35" s="61" t="s">
        <v>941</v>
      </c>
      <c r="C35" s="61" t="s">
        <v>945</v>
      </c>
      <c r="D35" s="62" t="s">
        <v>916</v>
      </c>
      <c r="E35" s="92" t="s">
        <v>919</v>
      </c>
      <c r="F35" s="62" t="s">
        <v>829</v>
      </c>
      <c r="G35" s="63">
        <v>85.59</v>
      </c>
      <c r="H35" s="63">
        <v>103.56</v>
      </c>
      <c r="I35" s="65"/>
      <c r="J35" s="66"/>
    </row>
    <row r="36" spans="1:10" x14ac:dyDescent="0.2">
      <c r="A36" s="93" t="s">
        <v>467</v>
      </c>
      <c r="B36" s="93" t="s">
        <v>946</v>
      </c>
      <c r="C36" s="93" t="s">
        <v>947</v>
      </c>
      <c r="D36" s="94" t="s">
        <v>916</v>
      </c>
      <c r="E36" s="95" t="s">
        <v>917</v>
      </c>
      <c r="F36" s="96" t="s">
        <v>918</v>
      </c>
      <c r="G36" s="97">
        <v>139.66999999999999</v>
      </c>
      <c r="H36" s="97">
        <v>169</v>
      </c>
      <c r="I36" s="98"/>
      <c r="J36" s="99"/>
    </row>
    <row r="37" spans="1:10" x14ac:dyDescent="0.2">
      <c r="A37" s="55" t="s">
        <v>467</v>
      </c>
      <c r="B37" s="55" t="s">
        <v>946</v>
      </c>
      <c r="C37" s="55" t="s">
        <v>947</v>
      </c>
      <c r="D37" s="56" t="s">
        <v>916</v>
      </c>
      <c r="E37" s="100" t="s">
        <v>919</v>
      </c>
      <c r="F37" s="56" t="s">
        <v>829</v>
      </c>
      <c r="G37" s="57">
        <v>251.66</v>
      </c>
      <c r="H37" s="57">
        <v>304.51</v>
      </c>
      <c r="I37" s="59"/>
      <c r="J37" s="60"/>
    </row>
    <row r="38" spans="1:10" x14ac:dyDescent="0.2">
      <c r="A38" s="85" t="s">
        <v>467</v>
      </c>
      <c r="B38" s="85" t="s">
        <v>948</v>
      </c>
      <c r="C38" s="85" t="s">
        <v>949</v>
      </c>
      <c r="D38" s="86" t="s">
        <v>931</v>
      </c>
      <c r="E38" s="87" t="s">
        <v>917</v>
      </c>
      <c r="F38" s="88" t="s">
        <v>918</v>
      </c>
      <c r="G38" s="89">
        <v>52.19</v>
      </c>
      <c r="H38" s="89">
        <v>63.15</v>
      </c>
      <c r="I38" s="90"/>
      <c r="J38" s="91"/>
    </row>
    <row r="39" spans="1:10" x14ac:dyDescent="0.2">
      <c r="A39" s="61" t="s">
        <v>467</v>
      </c>
      <c r="B39" s="61" t="s">
        <v>948</v>
      </c>
      <c r="C39" s="61" t="s">
        <v>949</v>
      </c>
      <c r="D39" s="62" t="s">
        <v>931</v>
      </c>
      <c r="E39" s="92" t="s">
        <v>919</v>
      </c>
      <c r="F39" s="62" t="s">
        <v>829</v>
      </c>
      <c r="G39" s="63">
        <v>69.58</v>
      </c>
      <c r="H39" s="63">
        <v>84.19</v>
      </c>
      <c r="I39" s="65"/>
      <c r="J39" s="66"/>
    </row>
    <row r="40" spans="1:10" x14ac:dyDescent="0.2">
      <c r="A40" s="93" t="s">
        <v>467</v>
      </c>
      <c r="B40" s="93" t="s">
        <v>948</v>
      </c>
      <c r="C40" s="93" t="s">
        <v>950</v>
      </c>
      <c r="D40" s="94" t="s">
        <v>931</v>
      </c>
      <c r="E40" s="95" t="s">
        <v>917</v>
      </c>
      <c r="F40" s="96" t="s">
        <v>918</v>
      </c>
      <c r="G40" s="97">
        <v>43.89</v>
      </c>
      <c r="H40" s="97">
        <v>53.11</v>
      </c>
      <c r="I40" s="98"/>
      <c r="J40" s="99"/>
    </row>
    <row r="41" spans="1:10" x14ac:dyDescent="0.2">
      <c r="A41" s="55" t="s">
        <v>467</v>
      </c>
      <c r="B41" s="55" t="s">
        <v>948</v>
      </c>
      <c r="C41" s="55" t="s">
        <v>950</v>
      </c>
      <c r="D41" s="56" t="s">
        <v>931</v>
      </c>
      <c r="E41" s="100" t="s">
        <v>919</v>
      </c>
      <c r="F41" s="56" t="s">
        <v>829</v>
      </c>
      <c r="G41" s="57">
        <v>58.52</v>
      </c>
      <c r="H41" s="57">
        <v>70.81</v>
      </c>
      <c r="I41" s="59"/>
      <c r="J41" s="60"/>
    </row>
    <row r="42" spans="1:10" x14ac:dyDescent="0.2">
      <c r="A42" s="85" t="s">
        <v>467</v>
      </c>
      <c r="B42" s="85" t="s">
        <v>951</v>
      </c>
      <c r="C42" s="85" t="s">
        <v>952</v>
      </c>
      <c r="D42" s="86" t="s">
        <v>916</v>
      </c>
      <c r="E42" s="87" t="s">
        <v>917</v>
      </c>
      <c r="F42" s="88" t="s">
        <v>918</v>
      </c>
      <c r="G42" s="89">
        <v>342.68</v>
      </c>
      <c r="H42" s="89">
        <v>414.64</v>
      </c>
      <c r="I42" s="90"/>
      <c r="J42" s="91"/>
    </row>
    <row r="43" spans="1:10" x14ac:dyDescent="0.2">
      <c r="A43" s="61" t="s">
        <v>467</v>
      </c>
      <c r="B43" s="61" t="s">
        <v>951</v>
      </c>
      <c r="C43" s="61" t="s">
        <v>952</v>
      </c>
      <c r="D43" s="62" t="s">
        <v>916</v>
      </c>
      <c r="E43" s="92" t="s">
        <v>919</v>
      </c>
      <c r="F43" s="62" t="s">
        <v>829</v>
      </c>
      <c r="G43" s="63">
        <v>527.21</v>
      </c>
      <c r="H43" s="63">
        <v>637.91999999999996</v>
      </c>
      <c r="I43" s="65"/>
      <c r="J43" s="66"/>
    </row>
    <row r="44" spans="1:10" x14ac:dyDescent="0.2">
      <c r="A44" s="93" t="s">
        <v>467</v>
      </c>
      <c r="B44" s="93" t="s">
        <v>951</v>
      </c>
      <c r="C44" s="93" t="s">
        <v>953</v>
      </c>
      <c r="D44" s="94" t="s">
        <v>916</v>
      </c>
      <c r="E44" s="95" t="s">
        <v>917</v>
      </c>
      <c r="F44" s="96" t="s">
        <v>918</v>
      </c>
      <c r="G44" s="97">
        <v>396.09</v>
      </c>
      <c r="H44" s="97">
        <v>479.27</v>
      </c>
      <c r="I44" s="98"/>
      <c r="J44" s="99"/>
    </row>
    <row r="45" spans="1:10" x14ac:dyDescent="0.2">
      <c r="A45" s="55" t="s">
        <v>467</v>
      </c>
      <c r="B45" s="55" t="s">
        <v>951</v>
      </c>
      <c r="C45" s="55" t="s">
        <v>953</v>
      </c>
      <c r="D45" s="56" t="s">
        <v>916</v>
      </c>
      <c r="E45" s="100" t="s">
        <v>919</v>
      </c>
      <c r="F45" s="56" t="s">
        <v>829</v>
      </c>
      <c r="G45" s="57">
        <v>609.37</v>
      </c>
      <c r="H45" s="57">
        <v>737.34</v>
      </c>
      <c r="I45" s="59"/>
      <c r="J45" s="60"/>
    </row>
    <row r="46" spans="1:10" x14ac:dyDescent="0.2">
      <c r="A46" s="85" t="s">
        <v>467</v>
      </c>
      <c r="B46" s="85" t="s">
        <v>951</v>
      </c>
      <c r="C46" s="85" t="s">
        <v>954</v>
      </c>
      <c r="D46" s="86" t="s">
        <v>916</v>
      </c>
      <c r="E46" s="87" t="s">
        <v>917</v>
      </c>
      <c r="F46" s="88" t="s">
        <v>918</v>
      </c>
      <c r="G46" s="89">
        <v>412.95</v>
      </c>
      <c r="H46" s="89">
        <v>499.67</v>
      </c>
      <c r="I46" s="90"/>
      <c r="J46" s="91"/>
    </row>
    <row r="47" spans="1:10" x14ac:dyDescent="0.2">
      <c r="A47" s="61" t="s">
        <v>467</v>
      </c>
      <c r="B47" s="61" t="s">
        <v>951</v>
      </c>
      <c r="C47" s="61" t="s">
        <v>954</v>
      </c>
      <c r="D47" s="62" t="s">
        <v>916</v>
      </c>
      <c r="E47" s="92" t="s">
        <v>919</v>
      </c>
      <c r="F47" s="62" t="s">
        <v>829</v>
      </c>
      <c r="G47" s="63">
        <v>635.32000000000005</v>
      </c>
      <c r="H47" s="63">
        <v>768.74</v>
      </c>
      <c r="I47" s="65"/>
      <c r="J47" s="66"/>
    </row>
    <row r="48" spans="1:10" x14ac:dyDescent="0.2">
      <c r="A48" s="93" t="s">
        <v>467</v>
      </c>
      <c r="B48" s="93" t="s">
        <v>951</v>
      </c>
      <c r="C48" s="93" t="s">
        <v>955</v>
      </c>
      <c r="D48" s="94" t="s">
        <v>916</v>
      </c>
      <c r="E48" s="95" t="s">
        <v>917</v>
      </c>
      <c r="F48" s="96" t="s">
        <v>918</v>
      </c>
      <c r="G48" s="97">
        <v>479.59</v>
      </c>
      <c r="H48" s="97">
        <v>580.29999999999995</v>
      </c>
      <c r="I48" s="98"/>
      <c r="J48" s="99"/>
    </row>
    <row r="49" spans="1:10" x14ac:dyDescent="0.2">
      <c r="A49" s="55" t="s">
        <v>467</v>
      </c>
      <c r="B49" s="55" t="s">
        <v>951</v>
      </c>
      <c r="C49" s="55" t="s">
        <v>955</v>
      </c>
      <c r="D49" s="56" t="s">
        <v>916</v>
      </c>
      <c r="E49" s="100" t="s">
        <v>919</v>
      </c>
      <c r="F49" s="56" t="s">
        <v>829</v>
      </c>
      <c r="G49" s="57">
        <v>737.84</v>
      </c>
      <c r="H49" s="57">
        <v>892.79</v>
      </c>
      <c r="I49" s="59"/>
      <c r="J49" s="60"/>
    </row>
    <row r="50" spans="1:10" x14ac:dyDescent="0.2">
      <c r="A50" s="85" t="s">
        <v>467</v>
      </c>
      <c r="B50" s="85" t="s">
        <v>951</v>
      </c>
      <c r="C50" s="85" t="s">
        <v>956</v>
      </c>
      <c r="D50" s="86" t="s">
        <v>916</v>
      </c>
      <c r="E50" s="87" t="s">
        <v>917</v>
      </c>
      <c r="F50" s="88" t="s">
        <v>918</v>
      </c>
      <c r="G50" s="89">
        <v>506.65</v>
      </c>
      <c r="H50" s="89">
        <v>613.04999999999995</v>
      </c>
      <c r="I50" s="90"/>
      <c r="J50" s="91"/>
    </row>
    <row r="51" spans="1:10" x14ac:dyDescent="0.2">
      <c r="A51" s="61" t="s">
        <v>467</v>
      </c>
      <c r="B51" s="61" t="s">
        <v>951</v>
      </c>
      <c r="C51" s="61" t="s">
        <v>956</v>
      </c>
      <c r="D51" s="62" t="s">
        <v>916</v>
      </c>
      <c r="E51" s="92" t="s">
        <v>919</v>
      </c>
      <c r="F51" s="62" t="s">
        <v>829</v>
      </c>
      <c r="G51" s="63">
        <v>779.46</v>
      </c>
      <c r="H51" s="63">
        <v>943.15</v>
      </c>
      <c r="I51" s="65"/>
      <c r="J51" s="66"/>
    </row>
    <row r="52" spans="1:10" x14ac:dyDescent="0.2">
      <c r="A52" s="93" t="s">
        <v>467</v>
      </c>
      <c r="B52" s="93" t="s">
        <v>951</v>
      </c>
      <c r="C52" s="93" t="s">
        <v>957</v>
      </c>
      <c r="D52" s="94" t="s">
        <v>916</v>
      </c>
      <c r="E52" s="95" t="s">
        <v>917</v>
      </c>
      <c r="F52" s="96" t="s">
        <v>918</v>
      </c>
      <c r="G52" s="97">
        <v>603.5</v>
      </c>
      <c r="H52" s="97">
        <v>730.24</v>
      </c>
      <c r="I52" s="98"/>
      <c r="J52" s="99"/>
    </row>
    <row r="53" spans="1:10" x14ac:dyDescent="0.2">
      <c r="A53" s="55" t="s">
        <v>467</v>
      </c>
      <c r="B53" s="55" t="s">
        <v>951</v>
      </c>
      <c r="C53" s="55" t="s">
        <v>957</v>
      </c>
      <c r="D53" s="56" t="s">
        <v>916</v>
      </c>
      <c r="E53" s="100" t="s">
        <v>919</v>
      </c>
      <c r="F53" s="56" t="s">
        <v>829</v>
      </c>
      <c r="G53" s="57">
        <v>928.47</v>
      </c>
      <c r="H53" s="57">
        <v>1123.45</v>
      </c>
      <c r="I53" s="59"/>
      <c r="J53" s="60"/>
    </row>
    <row r="54" spans="1:10" x14ac:dyDescent="0.2">
      <c r="A54" s="85" t="s">
        <v>467</v>
      </c>
      <c r="B54" s="85" t="s">
        <v>951</v>
      </c>
      <c r="C54" s="85" t="s">
        <v>958</v>
      </c>
      <c r="D54" s="86" t="s">
        <v>916</v>
      </c>
      <c r="E54" s="87" t="s">
        <v>917</v>
      </c>
      <c r="F54" s="88" t="s">
        <v>918</v>
      </c>
      <c r="G54" s="89">
        <v>689</v>
      </c>
      <c r="H54" s="89">
        <v>833.69</v>
      </c>
      <c r="I54" s="90"/>
      <c r="J54" s="91"/>
    </row>
    <row r="55" spans="1:10" x14ac:dyDescent="0.2">
      <c r="A55" s="61" t="s">
        <v>467</v>
      </c>
      <c r="B55" s="61" t="s">
        <v>951</v>
      </c>
      <c r="C55" s="61" t="s">
        <v>958</v>
      </c>
      <c r="D55" s="62" t="s">
        <v>916</v>
      </c>
      <c r="E55" s="92" t="s">
        <v>919</v>
      </c>
      <c r="F55" s="62" t="s">
        <v>829</v>
      </c>
      <c r="G55" s="63">
        <v>1060</v>
      </c>
      <c r="H55" s="63">
        <v>1282.5999999999999</v>
      </c>
      <c r="I55" s="65"/>
      <c r="J55" s="66"/>
    </row>
    <row r="56" spans="1:10" x14ac:dyDescent="0.2">
      <c r="A56" s="93" t="s">
        <v>467</v>
      </c>
      <c r="B56" s="93" t="s">
        <v>951</v>
      </c>
      <c r="C56" s="93" t="s">
        <v>959</v>
      </c>
      <c r="D56" s="94" t="s">
        <v>916</v>
      </c>
      <c r="E56" s="95" t="s">
        <v>917</v>
      </c>
      <c r="F56" s="96" t="s">
        <v>918</v>
      </c>
      <c r="G56" s="97">
        <v>694.04</v>
      </c>
      <c r="H56" s="97">
        <v>839.79</v>
      </c>
      <c r="I56" s="98"/>
      <c r="J56" s="99"/>
    </row>
    <row r="57" spans="1:10" x14ac:dyDescent="0.2">
      <c r="A57" s="55" t="s">
        <v>467</v>
      </c>
      <c r="B57" s="55" t="s">
        <v>951</v>
      </c>
      <c r="C57" s="55" t="s">
        <v>959</v>
      </c>
      <c r="D57" s="56" t="s">
        <v>916</v>
      </c>
      <c r="E57" s="100" t="s">
        <v>919</v>
      </c>
      <c r="F57" s="56" t="s">
        <v>829</v>
      </c>
      <c r="G57" s="57">
        <v>1067.75</v>
      </c>
      <c r="H57" s="57">
        <v>1291.98</v>
      </c>
      <c r="I57" s="59"/>
      <c r="J57" s="60"/>
    </row>
    <row r="58" spans="1:10" x14ac:dyDescent="0.2">
      <c r="A58" s="85" t="s">
        <v>467</v>
      </c>
      <c r="B58" s="85" t="s">
        <v>951</v>
      </c>
      <c r="C58" s="85" t="s">
        <v>960</v>
      </c>
      <c r="D58" s="86" t="s">
        <v>916</v>
      </c>
      <c r="E58" s="87" t="s">
        <v>917</v>
      </c>
      <c r="F58" s="88" t="s">
        <v>918</v>
      </c>
      <c r="G58" s="89">
        <v>257.19</v>
      </c>
      <c r="H58" s="89">
        <v>311.2</v>
      </c>
      <c r="I58" s="90"/>
      <c r="J58" s="91"/>
    </row>
    <row r="59" spans="1:10" x14ac:dyDescent="0.2">
      <c r="A59" s="61" t="s">
        <v>467</v>
      </c>
      <c r="B59" s="61" t="s">
        <v>951</v>
      </c>
      <c r="C59" s="61" t="s">
        <v>960</v>
      </c>
      <c r="D59" s="62" t="s">
        <v>916</v>
      </c>
      <c r="E59" s="92" t="s">
        <v>919</v>
      </c>
      <c r="F59" s="62" t="s">
        <v>829</v>
      </c>
      <c r="G59" s="63">
        <v>395.68</v>
      </c>
      <c r="H59" s="63">
        <v>478.77</v>
      </c>
      <c r="I59" s="65"/>
      <c r="J59" s="66"/>
    </row>
    <row r="60" spans="1:10" x14ac:dyDescent="0.2">
      <c r="A60" s="93" t="s">
        <v>467</v>
      </c>
      <c r="B60" s="93" t="s">
        <v>951</v>
      </c>
      <c r="C60" s="93" t="s">
        <v>961</v>
      </c>
      <c r="D60" s="94" t="s">
        <v>916</v>
      </c>
      <c r="E60" s="95" t="s">
        <v>917</v>
      </c>
      <c r="F60" s="96" t="s">
        <v>918</v>
      </c>
      <c r="G60" s="97">
        <v>290.22000000000003</v>
      </c>
      <c r="H60" s="97">
        <v>351.17</v>
      </c>
      <c r="I60" s="98"/>
      <c r="J60" s="99"/>
    </row>
    <row r="61" spans="1:10" x14ac:dyDescent="0.2">
      <c r="A61" s="55" t="s">
        <v>467</v>
      </c>
      <c r="B61" s="55" t="s">
        <v>951</v>
      </c>
      <c r="C61" s="55" t="s">
        <v>961</v>
      </c>
      <c r="D61" s="56" t="s">
        <v>916</v>
      </c>
      <c r="E61" s="100" t="s">
        <v>919</v>
      </c>
      <c r="F61" s="56" t="s">
        <v>829</v>
      </c>
      <c r="G61" s="57">
        <v>446.49</v>
      </c>
      <c r="H61" s="57">
        <v>540.25</v>
      </c>
      <c r="I61" s="59"/>
      <c r="J61" s="60"/>
    </row>
    <row r="62" spans="1:10" x14ac:dyDescent="0.2">
      <c r="A62" s="85" t="s">
        <v>467</v>
      </c>
      <c r="B62" s="85" t="s">
        <v>962</v>
      </c>
      <c r="C62" s="85" t="s">
        <v>963</v>
      </c>
      <c r="D62" s="86" t="s">
        <v>939</v>
      </c>
      <c r="E62" s="87" t="s">
        <v>917</v>
      </c>
      <c r="F62" s="88" t="s">
        <v>918</v>
      </c>
      <c r="G62" s="89">
        <v>34.61</v>
      </c>
      <c r="H62" s="89">
        <v>41.88</v>
      </c>
      <c r="I62" s="90"/>
      <c r="J62" s="91"/>
    </row>
    <row r="63" spans="1:10" x14ac:dyDescent="0.2">
      <c r="A63" s="61" t="s">
        <v>467</v>
      </c>
      <c r="B63" s="61" t="s">
        <v>962</v>
      </c>
      <c r="C63" s="61" t="s">
        <v>963</v>
      </c>
      <c r="D63" s="62" t="s">
        <v>939</v>
      </c>
      <c r="E63" s="92" t="s">
        <v>919</v>
      </c>
      <c r="F63" s="62" t="s">
        <v>829</v>
      </c>
      <c r="G63" s="63">
        <v>55.82</v>
      </c>
      <c r="H63" s="63">
        <v>67.540000000000006</v>
      </c>
      <c r="I63" s="65"/>
      <c r="J63" s="66"/>
    </row>
    <row r="64" spans="1:10" x14ac:dyDescent="0.2">
      <c r="A64" s="93" t="s">
        <v>467</v>
      </c>
      <c r="B64" s="93" t="s">
        <v>964</v>
      </c>
      <c r="C64" s="93" t="s">
        <v>965</v>
      </c>
      <c r="D64" s="94" t="s">
        <v>916</v>
      </c>
      <c r="E64" s="95" t="s">
        <v>917</v>
      </c>
      <c r="F64" s="96" t="s">
        <v>918</v>
      </c>
      <c r="G64" s="97">
        <v>140.88999999999999</v>
      </c>
      <c r="H64" s="97">
        <v>170.48</v>
      </c>
      <c r="I64" s="98"/>
      <c r="J64" s="99"/>
    </row>
    <row r="65" spans="1:10" x14ac:dyDescent="0.2">
      <c r="A65" s="55" t="s">
        <v>467</v>
      </c>
      <c r="B65" s="55" t="s">
        <v>964</v>
      </c>
      <c r="C65" s="55" t="s">
        <v>965</v>
      </c>
      <c r="D65" s="56" t="s">
        <v>916</v>
      </c>
      <c r="E65" s="100" t="s">
        <v>919</v>
      </c>
      <c r="F65" s="56" t="s">
        <v>829</v>
      </c>
      <c r="G65" s="57">
        <v>216.76</v>
      </c>
      <c r="H65" s="57">
        <v>262.27999999999997</v>
      </c>
      <c r="I65" s="59"/>
      <c r="J65" s="60"/>
    </row>
    <row r="66" spans="1:10" x14ac:dyDescent="0.2">
      <c r="A66" s="85" t="s">
        <v>467</v>
      </c>
      <c r="B66" s="85" t="s">
        <v>966</v>
      </c>
      <c r="C66" s="85" t="s">
        <v>967</v>
      </c>
      <c r="D66" s="86" t="s">
        <v>916</v>
      </c>
      <c r="E66" s="87" t="s">
        <v>917</v>
      </c>
      <c r="F66" s="88" t="s">
        <v>918</v>
      </c>
      <c r="G66" s="89">
        <v>285.52999999999997</v>
      </c>
      <c r="H66" s="89">
        <v>345.49</v>
      </c>
      <c r="I66" s="90"/>
      <c r="J66" s="91"/>
    </row>
    <row r="67" spans="1:10" x14ac:dyDescent="0.2">
      <c r="A67" s="61" t="s">
        <v>467</v>
      </c>
      <c r="B67" s="61" t="s">
        <v>966</v>
      </c>
      <c r="C67" s="61" t="s">
        <v>967</v>
      </c>
      <c r="D67" s="62" t="s">
        <v>916</v>
      </c>
      <c r="E67" s="92" t="s">
        <v>919</v>
      </c>
      <c r="F67" s="62" t="s">
        <v>829</v>
      </c>
      <c r="G67" s="63">
        <v>439.28</v>
      </c>
      <c r="H67" s="63">
        <v>531.53</v>
      </c>
      <c r="I67" s="65"/>
      <c r="J67" s="66"/>
    </row>
    <row r="68" spans="1:10" x14ac:dyDescent="0.2">
      <c r="A68" s="93" t="s">
        <v>467</v>
      </c>
      <c r="B68" s="93" t="s">
        <v>966</v>
      </c>
      <c r="C68" s="93" t="s">
        <v>968</v>
      </c>
      <c r="D68" s="94" t="s">
        <v>916</v>
      </c>
      <c r="E68" s="95" t="s">
        <v>917</v>
      </c>
      <c r="F68" s="96" t="s">
        <v>918</v>
      </c>
      <c r="G68" s="97">
        <v>334.63</v>
      </c>
      <c r="H68" s="97">
        <v>404.9</v>
      </c>
      <c r="I68" s="98"/>
      <c r="J68" s="99"/>
    </row>
    <row r="69" spans="1:10" x14ac:dyDescent="0.2">
      <c r="A69" s="55" t="s">
        <v>467</v>
      </c>
      <c r="B69" s="55" t="s">
        <v>966</v>
      </c>
      <c r="C69" s="55" t="s">
        <v>968</v>
      </c>
      <c r="D69" s="56" t="s">
        <v>916</v>
      </c>
      <c r="E69" s="100" t="s">
        <v>919</v>
      </c>
      <c r="F69" s="56" t="s">
        <v>829</v>
      </c>
      <c r="G69" s="57">
        <v>514.82000000000005</v>
      </c>
      <c r="H69" s="57">
        <v>622.92999999999995</v>
      </c>
      <c r="I69" s="59"/>
      <c r="J69" s="60"/>
    </row>
    <row r="70" spans="1:10" x14ac:dyDescent="0.2">
      <c r="A70" s="85" t="s">
        <v>467</v>
      </c>
      <c r="B70" s="85" t="s">
        <v>966</v>
      </c>
      <c r="C70" s="85" t="s">
        <v>969</v>
      </c>
      <c r="D70" s="86" t="s">
        <v>916</v>
      </c>
      <c r="E70" s="87" t="s">
        <v>917</v>
      </c>
      <c r="F70" s="88" t="s">
        <v>918</v>
      </c>
      <c r="G70" s="89">
        <v>325.10000000000002</v>
      </c>
      <c r="H70" s="89">
        <v>393.37</v>
      </c>
      <c r="I70" s="90"/>
      <c r="J70" s="91"/>
    </row>
    <row r="71" spans="1:10" x14ac:dyDescent="0.2">
      <c r="A71" s="61" t="s">
        <v>467</v>
      </c>
      <c r="B71" s="61" t="s">
        <v>966</v>
      </c>
      <c r="C71" s="61" t="s">
        <v>969</v>
      </c>
      <c r="D71" s="62" t="s">
        <v>916</v>
      </c>
      <c r="E71" s="92" t="s">
        <v>919</v>
      </c>
      <c r="F71" s="62" t="s">
        <v>829</v>
      </c>
      <c r="G71" s="63">
        <v>500.15</v>
      </c>
      <c r="H71" s="63">
        <v>605.17999999999995</v>
      </c>
      <c r="I71" s="65"/>
      <c r="J71" s="66"/>
    </row>
    <row r="72" spans="1:10" x14ac:dyDescent="0.2">
      <c r="A72" s="93" t="s">
        <v>467</v>
      </c>
      <c r="B72" s="93" t="s">
        <v>966</v>
      </c>
      <c r="C72" s="93" t="s">
        <v>970</v>
      </c>
      <c r="D72" s="94" t="s">
        <v>916</v>
      </c>
      <c r="E72" s="95" t="s">
        <v>917</v>
      </c>
      <c r="F72" s="96" t="s">
        <v>918</v>
      </c>
      <c r="G72" s="97">
        <v>358.03</v>
      </c>
      <c r="H72" s="97">
        <v>433.22</v>
      </c>
      <c r="I72" s="98"/>
      <c r="J72" s="99"/>
    </row>
    <row r="73" spans="1:10" x14ac:dyDescent="0.2">
      <c r="A73" s="55" t="s">
        <v>467</v>
      </c>
      <c r="B73" s="55" t="s">
        <v>966</v>
      </c>
      <c r="C73" s="55" t="s">
        <v>970</v>
      </c>
      <c r="D73" s="56" t="s">
        <v>916</v>
      </c>
      <c r="E73" s="100" t="s">
        <v>919</v>
      </c>
      <c r="F73" s="56" t="s">
        <v>829</v>
      </c>
      <c r="G73" s="57">
        <v>550.82000000000005</v>
      </c>
      <c r="H73" s="57">
        <v>666.49</v>
      </c>
      <c r="I73" s="59"/>
      <c r="J73" s="60"/>
    </row>
    <row r="74" spans="1:10" x14ac:dyDescent="0.2">
      <c r="A74" s="85" t="s">
        <v>467</v>
      </c>
      <c r="B74" s="85" t="s">
        <v>966</v>
      </c>
      <c r="C74" s="85" t="s">
        <v>971</v>
      </c>
      <c r="D74" s="86" t="s">
        <v>916</v>
      </c>
      <c r="E74" s="87" t="s">
        <v>917</v>
      </c>
      <c r="F74" s="88" t="s">
        <v>918</v>
      </c>
      <c r="G74" s="89">
        <v>245.33</v>
      </c>
      <c r="H74" s="89">
        <v>296.85000000000002</v>
      </c>
      <c r="I74" s="90"/>
      <c r="J74" s="91"/>
    </row>
    <row r="75" spans="1:10" x14ac:dyDescent="0.2">
      <c r="A75" s="61" t="s">
        <v>467</v>
      </c>
      <c r="B75" s="61" t="s">
        <v>966</v>
      </c>
      <c r="C75" s="61" t="s">
        <v>971</v>
      </c>
      <c r="D75" s="62" t="s">
        <v>916</v>
      </c>
      <c r="E75" s="92" t="s">
        <v>919</v>
      </c>
      <c r="F75" s="62" t="s">
        <v>829</v>
      </c>
      <c r="G75" s="63">
        <v>377.43</v>
      </c>
      <c r="H75" s="63">
        <v>456.69</v>
      </c>
      <c r="I75" s="65"/>
      <c r="J75" s="66"/>
    </row>
    <row r="76" spans="1:10" x14ac:dyDescent="0.2">
      <c r="A76" s="93" t="s">
        <v>467</v>
      </c>
      <c r="B76" s="93" t="s">
        <v>966</v>
      </c>
      <c r="C76" s="93" t="s">
        <v>972</v>
      </c>
      <c r="D76" s="94" t="s">
        <v>916</v>
      </c>
      <c r="E76" s="95" t="s">
        <v>917</v>
      </c>
      <c r="F76" s="96" t="s">
        <v>918</v>
      </c>
      <c r="G76" s="97">
        <v>263.01</v>
      </c>
      <c r="H76" s="97">
        <v>318.24</v>
      </c>
      <c r="I76" s="98"/>
      <c r="J76" s="99"/>
    </row>
    <row r="77" spans="1:10" x14ac:dyDescent="0.2">
      <c r="A77" s="55" t="s">
        <v>467</v>
      </c>
      <c r="B77" s="55" t="s">
        <v>966</v>
      </c>
      <c r="C77" s="55" t="s">
        <v>972</v>
      </c>
      <c r="D77" s="56" t="s">
        <v>916</v>
      </c>
      <c r="E77" s="100" t="s">
        <v>919</v>
      </c>
      <c r="F77" s="56" t="s">
        <v>829</v>
      </c>
      <c r="G77" s="57">
        <v>404.63</v>
      </c>
      <c r="H77" s="57">
        <v>489.6</v>
      </c>
      <c r="I77" s="59"/>
      <c r="J77" s="60"/>
    </row>
    <row r="78" spans="1:10" x14ac:dyDescent="0.2">
      <c r="A78" s="85" t="s">
        <v>467</v>
      </c>
      <c r="B78" s="85" t="s">
        <v>966</v>
      </c>
      <c r="C78" s="85" t="s">
        <v>973</v>
      </c>
      <c r="D78" s="86" t="s">
        <v>916</v>
      </c>
      <c r="E78" s="87" t="s">
        <v>917</v>
      </c>
      <c r="F78" s="88" t="s">
        <v>918</v>
      </c>
      <c r="G78" s="89">
        <v>283.88</v>
      </c>
      <c r="H78" s="89">
        <v>343.49</v>
      </c>
      <c r="I78" s="90"/>
      <c r="J78" s="91"/>
    </row>
    <row r="79" spans="1:10" x14ac:dyDescent="0.2">
      <c r="A79" s="61" t="s">
        <v>467</v>
      </c>
      <c r="B79" s="61" t="s">
        <v>966</v>
      </c>
      <c r="C79" s="61" t="s">
        <v>973</v>
      </c>
      <c r="D79" s="62" t="s">
        <v>916</v>
      </c>
      <c r="E79" s="92" t="s">
        <v>919</v>
      </c>
      <c r="F79" s="62" t="s">
        <v>829</v>
      </c>
      <c r="G79" s="63">
        <v>436.74</v>
      </c>
      <c r="H79" s="63">
        <v>528.46</v>
      </c>
      <c r="I79" s="65"/>
      <c r="J79" s="66"/>
    </row>
    <row r="80" spans="1:10" x14ac:dyDescent="0.2">
      <c r="A80" s="93" t="s">
        <v>467</v>
      </c>
      <c r="B80" s="93" t="s">
        <v>966</v>
      </c>
      <c r="C80" s="93" t="s">
        <v>974</v>
      </c>
      <c r="D80" s="94" t="s">
        <v>916</v>
      </c>
      <c r="E80" s="95" t="s">
        <v>917</v>
      </c>
      <c r="F80" s="96" t="s">
        <v>918</v>
      </c>
      <c r="G80" s="97">
        <v>317.27999999999997</v>
      </c>
      <c r="H80" s="97">
        <v>383.91</v>
      </c>
      <c r="I80" s="98"/>
      <c r="J80" s="99"/>
    </row>
    <row r="81" spans="1:10" x14ac:dyDescent="0.2">
      <c r="A81" s="55" t="s">
        <v>467</v>
      </c>
      <c r="B81" s="55" t="s">
        <v>966</v>
      </c>
      <c r="C81" s="55" t="s">
        <v>974</v>
      </c>
      <c r="D81" s="56" t="s">
        <v>916</v>
      </c>
      <c r="E81" s="100" t="s">
        <v>919</v>
      </c>
      <c r="F81" s="56" t="s">
        <v>829</v>
      </c>
      <c r="G81" s="57">
        <v>488.12</v>
      </c>
      <c r="H81" s="57">
        <v>590.63</v>
      </c>
      <c r="I81" s="59"/>
      <c r="J81" s="60"/>
    </row>
    <row r="82" spans="1:10" x14ac:dyDescent="0.2">
      <c r="A82" s="85" t="s">
        <v>467</v>
      </c>
      <c r="B82" s="85" t="s">
        <v>966</v>
      </c>
      <c r="C82" s="85" t="s">
        <v>975</v>
      </c>
      <c r="D82" s="86" t="s">
        <v>916</v>
      </c>
      <c r="E82" s="87" t="s">
        <v>917</v>
      </c>
      <c r="F82" s="88" t="s">
        <v>918</v>
      </c>
      <c r="G82" s="89">
        <v>203.29</v>
      </c>
      <c r="H82" s="89">
        <v>245.98</v>
      </c>
      <c r="I82" s="90"/>
      <c r="J82" s="91"/>
    </row>
    <row r="83" spans="1:10" x14ac:dyDescent="0.2">
      <c r="A83" s="61" t="s">
        <v>467</v>
      </c>
      <c r="B83" s="61" t="s">
        <v>966</v>
      </c>
      <c r="C83" s="61" t="s">
        <v>975</v>
      </c>
      <c r="D83" s="62" t="s">
        <v>916</v>
      </c>
      <c r="E83" s="92" t="s">
        <v>919</v>
      </c>
      <c r="F83" s="62" t="s">
        <v>829</v>
      </c>
      <c r="G83" s="63">
        <v>312.75</v>
      </c>
      <c r="H83" s="63">
        <v>378.43</v>
      </c>
      <c r="I83" s="65"/>
      <c r="J83" s="66"/>
    </row>
    <row r="84" spans="1:10" x14ac:dyDescent="0.2">
      <c r="A84" s="93" t="s">
        <v>467</v>
      </c>
      <c r="B84" s="93" t="s">
        <v>966</v>
      </c>
      <c r="C84" s="93" t="s">
        <v>976</v>
      </c>
      <c r="D84" s="94" t="s">
        <v>916</v>
      </c>
      <c r="E84" s="95" t="s">
        <v>917</v>
      </c>
      <c r="F84" s="96" t="s">
        <v>918</v>
      </c>
      <c r="G84" s="97">
        <v>232.21</v>
      </c>
      <c r="H84" s="97">
        <v>280.97000000000003</v>
      </c>
      <c r="I84" s="98"/>
      <c r="J84" s="99"/>
    </row>
    <row r="85" spans="1:10" x14ac:dyDescent="0.2">
      <c r="A85" s="55" t="s">
        <v>467</v>
      </c>
      <c r="B85" s="55" t="s">
        <v>966</v>
      </c>
      <c r="C85" s="55" t="s">
        <v>976</v>
      </c>
      <c r="D85" s="56" t="s">
        <v>916</v>
      </c>
      <c r="E85" s="100" t="s">
        <v>919</v>
      </c>
      <c r="F85" s="56" t="s">
        <v>829</v>
      </c>
      <c r="G85" s="57">
        <v>357.25</v>
      </c>
      <c r="H85" s="57">
        <v>432.27</v>
      </c>
      <c r="I85" s="59"/>
      <c r="J85" s="60"/>
    </row>
    <row r="86" spans="1:10" x14ac:dyDescent="0.2">
      <c r="A86" s="85" t="s">
        <v>467</v>
      </c>
      <c r="B86" s="85" t="s">
        <v>966</v>
      </c>
      <c r="C86" s="85" t="s">
        <v>977</v>
      </c>
      <c r="D86" s="86" t="s">
        <v>916</v>
      </c>
      <c r="E86" s="87" t="s">
        <v>917</v>
      </c>
      <c r="F86" s="88" t="s">
        <v>918</v>
      </c>
      <c r="G86" s="89">
        <v>218.28</v>
      </c>
      <c r="H86" s="89">
        <v>264.12</v>
      </c>
      <c r="I86" s="90"/>
      <c r="J86" s="91"/>
    </row>
    <row r="87" spans="1:10" x14ac:dyDescent="0.2">
      <c r="A87" s="61" t="s">
        <v>467</v>
      </c>
      <c r="B87" s="61" t="s">
        <v>966</v>
      </c>
      <c r="C87" s="61" t="s">
        <v>977</v>
      </c>
      <c r="D87" s="62" t="s">
        <v>916</v>
      </c>
      <c r="E87" s="92" t="s">
        <v>919</v>
      </c>
      <c r="F87" s="62" t="s">
        <v>829</v>
      </c>
      <c r="G87" s="63">
        <v>335.82</v>
      </c>
      <c r="H87" s="63">
        <v>406.34</v>
      </c>
      <c r="I87" s="65"/>
      <c r="J87" s="66"/>
    </row>
    <row r="88" spans="1:10" x14ac:dyDescent="0.2">
      <c r="A88" s="93" t="s">
        <v>467</v>
      </c>
      <c r="B88" s="93" t="s">
        <v>966</v>
      </c>
      <c r="C88" s="93" t="s">
        <v>978</v>
      </c>
      <c r="D88" s="94" t="s">
        <v>916</v>
      </c>
      <c r="E88" s="95" t="s">
        <v>917</v>
      </c>
      <c r="F88" s="96" t="s">
        <v>918</v>
      </c>
      <c r="G88" s="97">
        <v>228.9</v>
      </c>
      <c r="H88" s="97">
        <v>276.97000000000003</v>
      </c>
      <c r="I88" s="98"/>
      <c r="J88" s="99"/>
    </row>
    <row r="89" spans="1:10" x14ac:dyDescent="0.2">
      <c r="A89" s="55" t="s">
        <v>467</v>
      </c>
      <c r="B89" s="55" t="s">
        <v>966</v>
      </c>
      <c r="C89" s="55" t="s">
        <v>978</v>
      </c>
      <c r="D89" s="56" t="s">
        <v>916</v>
      </c>
      <c r="E89" s="100" t="s">
        <v>919</v>
      </c>
      <c r="F89" s="56" t="s">
        <v>829</v>
      </c>
      <c r="G89" s="57">
        <v>352.15</v>
      </c>
      <c r="H89" s="57">
        <v>426.1</v>
      </c>
      <c r="I89" s="59"/>
      <c r="J89" s="60"/>
    </row>
    <row r="90" spans="1:10" x14ac:dyDescent="0.2">
      <c r="A90" s="85" t="s">
        <v>467</v>
      </c>
      <c r="B90" s="85" t="s">
        <v>966</v>
      </c>
      <c r="C90" s="85" t="s">
        <v>979</v>
      </c>
      <c r="D90" s="86" t="s">
        <v>916</v>
      </c>
      <c r="E90" s="87" t="s">
        <v>917</v>
      </c>
      <c r="F90" s="88" t="s">
        <v>918</v>
      </c>
      <c r="G90" s="89">
        <v>273.99</v>
      </c>
      <c r="H90" s="89">
        <v>331.53</v>
      </c>
      <c r="I90" s="90"/>
      <c r="J90" s="91"/>
    </row>
    <row r="91" spans="1:10" x14ac:dyDescent="0.2">
      <c r="A91" s="61" t="s">
        <v>467</v>
      </c>
      <c r="B91" s="61" t="s">
        <v>966</v>
      </c>
      <c r="C91" s="61" t="s">
        <v>979</v>
      </c>
      <c r="D91" s="62" t="s">
        <v>916</v>
      </c>
      <c r="E91" s="92" t="s">
        <v>919</v>
      </c>
      <c r="F91" s="62" t="s">
        <v>829</v>
      </c>
      <c r="G91" s="63">
        <v>421.53</v>
      </c>
      <c r="H91" s="63">
        <v>510.05</v>
      </c>
      <c r="I91" s="65"/>
      <c r="J91" s="66"/>
    </row>
    <row r="92" spans="1:10" x14ac:dyDescent="0.2">
      <c r="A92" s="93" t="s">
        <v>467</v>
      </c>
      <c r="B92" s="93" t="s">
        <v>966</v>
      </c>
      <c r="C92" s="93" t="s">
        <v>980</v>
      </c>
      <c r="D92" s="94" t="s">
        <v>916</v>
      </c>
      <c r="E92" s="95" t="s">
        <v>917</v>
      </c>
      <c r="F92" s="96" t="s">
        <v>918</v>
      </c>
      <c r="G92" s="97">
        <v>279.99</v>
      </c>
      <c r="H92" s="97">
        <v>338.79</v>
      </c>
      <c r="I92" s="98"/>
      <c r="J92" s="99"/>
    </row>
    <row r="93" spans="1:10" x14ac:dyDescent="0.2">
      <c r="A93" s="55" t="s">
        <v>467</v>
      </c>
      <c r="B93" s="55" t="s">
        <v>966</v>
      </c>
      <c r="C93" s="55" t="s">
        <v>980</v>
      </c>
      <c r="D93" s="56" t="s">
        <v>916</v>
      </c>
      <c r="E93" s="100" t="s">
        <v>919</v>
      </c>
      <c r="F93" s="56" t="s">
        <v>829</v>
      </c>
      <c r="G93" s="57">
        <v>430.75</v>
      </c>
      <c r="H93" s="57">
        <v>521.21</v>
      </c>
      <c r="I93" s="59"/>
      <c r="J93" s="60"/>
    </row>
    <row r="94" spans="1:10" x14ac:dyDescent="0.2">
      <c r="A94" s="85" t="s">
        <v>467</v>
      </c>
      <c r="B94" s="85" t="s">
        <v>966</v>
      </c>
      <c r="C94" s="85" t="s">
        <v>981</v>
      </c>
      <c r="D94" s="86" t="s">
        <v>916</v>
      </c>
      <c r="E94" s="87" t="s">
        <v>917</v>
      </c>
      <c r="F94" s="88" t="s">
        <v>918</v>
      </c>
      <c r="G94" s="89">
        <v>187.58</v>
      </c>
      <c r="H94" s="89">
        <v>226.97</v>
      </c>
      <c r="I94" s="90"/>
      <c r="J94" s="91"/>
    </row>
    <row r="95" spans="1:10" x14ac:dyDescent="0.2">
      <c r="A95" s="61" t="s">
        <v>467</v>
      </c>
      <c r="B95" s="61" t="s">
        <v>966</v>
      </c>
      <c r="C95" s="61" t="s">
        <v>981</v>
      </c>
      <c r="D95" s="62" t="s">
        <v>916</v>
      </c>
      <c r="E95" s="92" t="s">
        <v>919</v>
      </c>
      <c r="F95" s="62" t="s">
        <v>829</v>
      </c>
      <c r="G95" s="63">
        <v>288.58999999999997</v>
      </c>
      <c r="H95" s="63">
        <v>349.19</v>
      </c>
      <c r="I95" s="65"/>
      <c r="J95" s="66"/>
    </row>
    <row r="96" spans="1:10" x14ac:dyDescent="0.2">
      <c r="A96" s="93" t="s">
        <v>467</v>
      </c>
      <c r="B96" s="93" t="s">
        <v>966</v>
      </c>
      <c r="C96" s="93" t="s">
        <v>982</v>
      </c>
      <c r="D96" s="94" t="s">
        <v>916</v>
      </c>
      <c r="E96" s="95" t="s">
        <v>917</v>
      </c>
      <c r="F96" s="96" t="s">
        <v>918</v>
      </c>
      <c r="G96" s="97">
        <v>208.21</v>
      </c>
      <c r="H96" s="97">
        <v>251.93</v>
      </c>
      <c r="I96" s="98"/>
      <c r="J96" s="99"/>
    </row>
    <row r="97" spans="1:10" x14ac:dyDescent="0.2">
      <c r="A97" s="55" t="s">
        <v>467</v>
      </c>
      <c r="B97" s="55" t="s">
        <v>966</v>
      </c>
      <c r="C97" s="55" t="s">
        <v>982</v>
      </c>
      <c r="D97" s="56" t="s">
        <v>916</v>
      </c>
      <c r="E97" s="100" t="s">
        <v>919</v>
      </c>
      <c r="F97" s="56" t="s">
        <v>829</v>
      </c>
      <c r="G97" s="57">
        <v>320.32</v>
      </c>
      <c r="H97" s="57">
        <v>387.59</v>
      </c>
      <c r="I97" s="59"/>
      <c r="J97" s="60"/>
    </row>
    <row r="98" spans="1:10" x14ac:dyDescent="0.2">
      <c r="A98" s="85" t="s">
        <v>467</v>
      </c>
      <c r="B98" s="85" t="s">
        <v>966</v>
      </c>
      <c r="C98" s="85" t="s">
        <v>983</v>
      </c>
      <c r="D98" s="86" t="s">
        <v>916</v>
      </c>
      <c r="E98" s="87" t="s">
        <v>917</v>
      </c>
      <c r="F98" s="88" t="s">
        <v>918</v>
      </c>
      <c r="G98" s="89">
        <v>207.97</v>
      </c>
      <c r="H98" s="89">
        <v>251.64</v>
      </c>
      <c r="I98" s="90"/>
      <c r="J98" s="91"/>
    </row>
    <row r="99" spans="1:10" x14ac:dyDescent="0.2">
      <c r="A99" s="61" t="s">
        <v>467</v>
      </c>
      <c r="B99" s="61" t="s">
        <v>966</v>
      </c>
      <c r="C99" s="61" t="s">
        <v>983</v>
      </c>
      <c r="D99" s="62" t="s">
        <v>916</v>
      </c>
      <c r="E99" s="92" t="s">
        <v>919</v>
      </c>
      <c r="F99" s="62" t="s">
        <v>829</v>
      </c>
      <c r="G99" s="63">
        <v>319.95</v>
      </c>
      <c r="H99" s="63">
        <v>387.14</v>
      </c>
      <c r="I99" s="65"/>
      <c r="J99" s="66"/>
    </row>
    <row r="100" spans="1:10" x14ac:dyDescent="0.2">
      <c r="A100" s="93" t="s">
        <v>467</v>
      </c>
      <c r="B100" s="93" t="s">
        <v>966</v>
      </c>
      <c r="C100" s="93" t="s">
        <v>984</v>
      </c>
      <c r="D100" s="94" t="s">
        <v>916</v>
      </c>
      <c r="E100" s="95" t="s">
        <v>917</v>
      </c>
      <c r="F100" s="96" t="s">
        <v>918</v>
      </c>
      <c r="G100" s="97">
        <v>235.95</v>
      </c>
      <c r="H100" s="97">
        <v>285.5</v>
      </c>
      <c r="I100" s="98"/>
      <c r="J100" s="99"/>
    </row>
    <row r="101" spans="1:10" x14ac:dyDescent="0.2">
      <c r="A101" s="55" t="s">
        <v>467</v>
      </c>
      <c r="B101" s="55" t="s">
        <v>966</v>
      </c>
      <c r="C101" s="55" t="s">
        <v>984</v>
      </c>
      <c r="D101" s="56" t="s">
        <v>916</v>
      </c>
      <c r="E101" s="100" t="s">
        <v>919</v>
      </c>
      <c r="F101" s="56" t="s">
        <v>829</v>
      </c>
      <c r="G101" s="57">
        <v>363.01</v>
      </c>
      <c r="H101" s="57">
        <v>439.24</v>
      </c>
      <c r="I101" s="59"/>
      <c r="J101" s="60"/>
    </row>
    <row r="102" spans="1:10" x14ac:dyDescent="0.2">
      <c r="A102" s="85" t="s">
        <v>467</v>
      </c>
      <c r="B102" s="85" t="s">
        <v>966</v>
      </c>
      <c r="C102" s="85" t="s">
        <v>985</v>
      </c>
      <c r="D102" s="86" t="s">
        <v>916</v>
      </c>
      <c r="E102" s="87" t="s">
        <v>917</v>
      </c>
      <c r="F102" s="88" t="s">
        <v>918</v>
      </c>
      <c r="G102" s="89">
        <v>209.41</v>
      </c>
      <c r="H102" s="89">
        <v>253.39</v>
      </c>
      <c r="I102" s="90"/>
      <c r="J102" s="91"/>
    </row>
    <row r="103" spans="1:10" x14ac:dyDescent="0.2">
      <c r="A103" s="61" t="s">
        <v>467</v>
      </c>
      <c r="B103" s="61" t="s">
        <v>966</v>
      </c>
      <c r="C103" s="61" t="s">
        <v>985</v>
      </c>
      <c r="D103" s="62" t="s">
        <v>916</v>
      </c>
      <c r="E103" s="92" t="s">
        <v>919</v>
      </c>
      <c r="F103" s="62" t="s">
        <v>829</v>
      </c>
      <c r="G103" s="63">
        <v>322.18</v>
      </c>
      <c r="H103" s="63">
        <v>389.84</v>
      </c>
      <c r="I103" s="65"/>
      <c r="J103" s="66"/>
    </row>
    <row r="104" spans="1:10" x14ac:dyDescent="0.2">
      <c r="A104" s="93" t="s">
        <v>467</v>
      </c>
      <c r="B104" s="93" t="s">
        <v>966</v>
      </c>
      <c r="C104" s="93" t="s">
        <v>986</v>
      </c>
      <c r="D104" s="94" t="s">
        <v>916</v>
      </c>
      <c r="E104" s="95" t="s">
        <v>917</v>
      </c>
      <c r="F104" s="96" t="s">
        <v>918</v>
      </c>
      <c r="G104" s="97">
        <v>237.88</v>
      </c>
      <c r="H104" s="97">
        <v>287.83</v>
      </c>
      <c r="I104" s="98"/>
      <c r="J104" s="99"/>
    </row>
    <row r="105" spans="1:10" x14ac:dyDescent="0.2">
      <c r="A105" s="55" t="s">
        <v>467</v>
      </c>
      <c r="B105" s="55" t="s">
        <v>966</v>
      </c>
      <c r="C105" s="55" t="s">
        <v>986</v>
      </c>
      <c r="D105" s="56" t="s">
        <v>916</v>
      </c>
      <c r="E105" s="100" t="s">
        <v>919</v>
      </c>
      <c r="F105" s="56" t="s">
        <v>829</v>
      </c>
      <c r="G105" s="57">
        <v>365.97</v>
      </c>
      <c r="H105" s="57">
        <v>442.82</v>
      </c>
      <c r="I105" s="59"/>
      <c r="J105" s="60"/>
    </row>
    <row r="106" spans="1:10" x14ac:dyDescent="0.2">
      <c r="A106" s="85" t="s">
        <v>467</v>
      </c>
      <c r="B106" s="85" t="s">
        <v>987</v>
      </c>
      <c r="C106" s="85" t="s">
        <v>988</v>
      </c>
      <c r="D106" s="86" t="s">
        <v>939</v>
      </c>
      <c r="E106" s="87" t="s">
        <v>917</v>
      </c>
      <c r="F106" s="88" t="s">
        <v>918</v>
      </c>
      <c r="G106" s="89">
        <v>107.1</v>
      </c>
      <c r="H106" s="89">
        <v>129.59</v>
      </c>
      <c r="I106" s="90"/>
      <c r="J106" s="91"/>
    </row>
    <row r="107" spans="1:10" x14ac:dyDescent="0.2">
      <c r="A107" s="61" t="s">
        <v>467</v>
      </c>
      <c r="B107" s="61" t="s">
        <v>987</v>
      </c>
      <c r="C107" s="61" t="s">
        <v>988</v>
      </c>
      <c r="D107" s="62" t="s">
        <v>939</v>
      </c>
      <c r="E107" s="92" t="s">
        <v>919</v>
      </c>
      <c r="F107" s="62" t="s">
        <v>829</v>
      </c>
      <c r="G107" s="63">
        <v>172.75</v>
      </c>
      <c r="H107" s="63">
        <v>209.03</v>
      </c>
      <c r="I107" s="65"/>
      <c r="J107" s="66"/>
    </row>
    <row r="108" spans="1:10" x14ac:dyDescent="0.2">
      <c r="A108" s="93" t="s">
        <v>467</v>
      </c>
      <c r="B108" s="93" t="s">
        <v>987</v>
      </c>
      <c r="C108" s="93" t="s">
        <v>989</v>
      </c>
      <c r="D108" s="94" t="s">
        <v>939</v>
      </c>
      <c r="E108" s="95" t="s">
        <v>917</v>
      </c>
      <c r="F108" s="96" t="s">
        <v>918</v>
      </c>
      <c r="G108" s="97">
        <v>93.89</v>
      </c>
      <c r="H108" s="97">
        <v>113.61</v>
      </c>
      <c r="I108" s="98"/>
      <c r="J108" s="99"/>
    </row>
    <row r="109" spans="1:10" x14ac:dyDescent="0.2">
      <c r="A109" s="55" t="s">
        <v>467</v>
      </c>
      <c r="B109" s="55" t="s">
        <v>987</v>
      </c>
      <c r="C109" s="55" t="s">
        <v>989</v>
      </c>
      <c r="D109" s="56" t="s">
        <v>939</v>
      </c>
      <c r="E109" s="100" t="s">
        <v>919</v>
      </c>
      <c r="F109" s="56" t="s">
        <v>829</v>
      </c>
      <c r="G109" s="57">
        <v>151.43</v>
      </c>
      <c r="H109" s="57">
        <v>183.23</v>
      </c>
      <c r="I109" s="59"/>
      <c r="J109" s="60"/>
    </row>
    <row r="110" spans="1:10" x14ac:dyDescent="0.2">
      <c r="A110" s="85" t="s">
        <v>467</v>
      </c>
      <c r="B110" s="85" t="s">
        <v>987</v>
      </c>
      <c r="C110" s="85" t="s">
        <v>990</v>
      </c>
      <c r="D110" s="86" t="s">
        <v>939</v>
      </c>
      <c r="E110" s="87" t="s">
        <v>917</v>
      </c>
      <c r="F110" s="88" t="s">
        <v>918</v>
      </c>
      <c r="G110" s="89">
        <v>112.55</v>
      </c>
      <c r="H110" s="89">
        <v>136.19</v>
      </c>
      <c r="I110" s="90"/>
      <c r="J110" s="91"/>
    </row>
    <row r="111" spans="1:10" x14ac:dyDescent="0.2">
      <c r="A111" s="61" t="s">
        <v>467</v>
      </c>
      <c r="B111" s="61" t="s">
        <v>987</v>
      </c>
      <c r="C111" s="61" t="s">
        <v>990</v>
      </c>
      <c r="D111" s="62" t="s">
        <v>939</v>
      </c>
      <c r="E111" s="92" t="s">
        <v>919</v>
      </c>
      <c r="F111" s="62" t="s">
        <v>829</v>
      </c>
      <c r="G111" s="63">
        <v>181.54</v>
      </c>
      <c r="H111" s="63">
        <v>219.66</v>
      </c>
      <c r="I111" s="65"/>
      <c r="J111" s="66"/>
    </row>
    <row r="112" spans="1:10" x14ac:dyDescent="0.2">
      <c r="A112" s="93" t="s">
        <v>467</v>
      </c>
      <c r="B112" s="93" t="s">
        <v>987</v>
      </c>
      <c r="C112" s="93" t="s">
        <v>991</v>
      </c>
      <c r="D112" s="94" t="s">
        <v>939</v>
      </c>
      <c r="E112" s="95" t="s">
        <v>917</v>
      </c>
      <c r="F112" s="96" t="s">
        <v>918</v>
      </c>
      <c r="G112" s="97">
        <v>96.47</v>
      </c>
      <c r="H112" s="97">
        <v>116.73</v>
      </c>
      <c r="I112" s="98"/>
      <c r="J112" s="99"/>
    </row>
    <row r="113" spans="1:10" x14ac:dyDescent="0.2">
      <c r="A113" s="55" t="s">
        <v>467</v>
      </c>
      <c r="B113" s="55" t="s">
        <v>987</v>
      </c>
      <c r="C113" s="55" t="s">
        <v>991</v>
      </c>
      <c r="D113" s="56" t="s">
        <v>939</v>
      </c>
      <c r="E113" s="100" t="s">
        <v>919</v>
      </c>
      <c r="F113" s="56" t="s">
        <v>829</v>
      </c>
      <c r="G113" s="57">
        <v>155.6</v>
      </c>
      <c r="H113" s="57">
        <v>188.28</v>
      </c>
      <c r="I113" s="59"/>
      <c r="J113" s="60"/>
    </row>
    <row r="114" spans="1:10" x14ac:dyDescent="0.2">
      <c r="A114" s="85" t="s">
        <v>467</v>
      </c>
      <c r="B114" s="85" t="s">
        <v>992</v>
      </c>
      <c r="C114" s="85" t="s">
        <v>993</v>
      </c>
      <c r="D114" s="86" t="s">
        <v>916</v>
      </c>
      <c r="E114" s="87" t="s">
        <v>917</v>
      </c>
      <c r="F114" s="88" t="s">
        <v>918</v>
      </c>
      <c r="G114" s="89">
        <v>28.69</v>
      </c>
      <c r="H114" s="89">
        <v>34.71</v>
      </c>
      <c r="I114" s="90"/>
      <c r="J114" s="91"/>
    </row>
    <row r="115" spans="1:10" x14ac:dyDescent="0.2">
      <c r="A115" s="61" t="s">
        <v>467</v>
      </c>
      <c r="B115" s="61" t="s">
        <v>992</v>
      </c>
      <c r="C115" s="61" t="s">
        <v>993</v>
      </c>
      <c r="D115" s="62" t="s">
        <v>916</v>
      </c>
      <c r="E115" s="92" t="s">
        <v>919</v>
      </c>
      <c r="F115" s="62" t="s">
        <v>829</v>
      </c>
      <c r="G115" s="63">
        <v>44.14</v>
      </c>
      <c r="H115" s="63">
        <v>53.41</v>
      </c>
      <c r="I115" s="65"/>
      <c r="J115" s="66"/>
    </row>
    <row r="116" spans="1:10" x14ac:dyDescent="0.2">
      <c r="A116" s="93" t="s">
        <v>467</v>
      </c>
      <c r="B116" s="93" t="s">
        <v>994</v>
      </c>
      <c r="C116" s="93" t="s">
        <v>995</v>
      </c>
      <c r="D116" s="94" t="s">
        <v>916</v>
      </c>
      <c r="E116" s="95" t="s">
        <v>917</v>
      </c>
      <c r="F116" s="96" t="s">
        <v>918</v>
      </c>
      <c r="G116" s="97">
        <v>70.569999999999993</v>
      </c>
      <c r="H116" s="97">
        <v>85.39</v>
      </c>
      <c r="I116" s="98"/>
      <c r="J116" s="99"/>
    </row>
    <row r="117" spans="1:10" x14ac:dyDescent="0.2">
      <c r="A117" s="55" t="s">
        <v>467</v>
      </c>
      <c r="B117" s="55" t="s">
        <v>994</v>
      </c>
      <c r="C117" s="55" t="s">
        <v>995</v>
      </c>
      <c r="D117" s="56" t="s">
        <v>916</v>
      </c>
      <c r="E117" s="100" t="s">
        <v>919</v>
      </c>
      <c r="F117" s="56" t="s">
        <v>829</v>
      </c>
      <c r="G117" s="57">
        <v>108.57</v>
      </c>
      <c r="H117" s="57">
        <v>131.37</v>
      </c>
      <c r="I117" s="59"/>
      <c r="J117" s="60"/>
    </row>
    <row r="118" spans="1:10" x14ac:dyDescent="0.2">
      <c r="A118" s="85" t="s">
        <v>467</v>
      </c>
      <c r="B118" s="85" t="s">
        <v>994</v>
      </c>
      <c r="C118" s="85" t="s">
        <v>996</v>
      </c>
      <c r="D118" s="86" t="s">
        <v>916</v>
      </c>
      <c r="E118" s="87" t="s">
        <v>917</v>
      </c>
      <c r="F118" s="88" t="s">
        <v>918</v>
      </c>
      <c r="G118" s="89">
        <v>102.54</v>
      </c>
      <c r="H118" s="89">
        <v>124.07</v>
      </c>
      <c r="I118" s="90"/>
      <c r="J118" s="91"/>
    </row>
    <row r="119" spans="1:10" x14ac:dyDescent="0.2">
      <c r="A119" s="61" t="s">
        <v>467</v>
      </c>
      <c r="B119" s="61" t="s">
        <v>994</v>
      </c>
      <c r="C119" s="61" t="s">
        <v>996</v>
      </c>
      <c r="D119" s="62" t="s">
        <v>916</v>
      </c>
      <c r="E119" s="92" t="s">
        <v>919</v>
      </c>
      <c r="F119" s="62" t="s">
        <v>829</v>
      </c>
      <c r="G119" s="63">
        <v>157.75</v>
      </c>
      <c r="H119" s="63">
        <v>190.88</v>
      </c>
      <c r="I119" s="65"/>
      <c r="J119" s="66"/>
    </row>
    <row r="120" spans="1:10" x14ac:dyDescent="0.2">
      <c r="A120" s="93" t="s">
        <v>467</v>
      </c>
      <c r="B120" s="93" t="s">
        <v>994</v>
      </c>
      <c r="C120" s="93" t="s">
        <v>997</v>
      </c>
      <c r="D120" s="94" t="s">
        <v>916</v>
      </c>
      <c r="E120" s="95" t="s">
        <v>917</v>
      </c>
      <c r="F120" s="96" t="s">
        <v>918</v>
      </c>
      <c r="G120" s="97">
        <v>62.07</v>
      </c>
      <c r="H120" s="97">
        <v>75.099999999999994</v>
      </c>
      <c r="I120" s="98"/>
      <c r="J120" s="99"/>
    </row>
    <row r="121" spans="1:10" x14ac:dyDescent="0.2">
      <c r="A121" s="55" t="s">
        <v>467</v>
      </c>
      <c r="B121" s="55" t="s">
        <v>994</v>
      </c>
      <c r="C121" s="55" t="s">
        <v>997</v>
      </c>
      <c r="D121" s="56" t="s">
        <v>916</v>
      </c>
      <c r="E121" s="100" t="s">
        <v>919</v>
      </c>
      <c r="F121" s="56" t="s">
        <v>829</v>
      </c>
      <c r="G121" s="57">
        <v>95.5</v>
      </c>
      <c r="H121" s="57">
        <v>115.55</v>
      </c>
      <c r="I121" s="59"/>
      <c r="J121" s="60"/>
    </row>
    <row r="122" spans="1:10" x14ac:dyDescent="0.2">
      <c r="A122" s="85" t="s">
        <v>467</v>
      </c>
      <c r="B122" s="85" t="s">
        <v>998</v>
      </c>
      <c r="C122" s="85" t="s">
        <v>949</v>
      </c>
      <c r="D122" s="86" t="s">
        <v>931</v>
      </c>
      <c r="E122" s="87" t="s">
        <v>917</v>
      </c>
      <c r="F122" s="88" t="s">
        <v>918</v>
      </c>
      <c r="G122" s="89">
        <v>122.56</v>
      </c>
      <c r="H122" s="89">
        <v>148.30000000000001</v>
      </c>
      <c r="I122" s="90"/>
      <c r="J122" s="91"/>
    </row>
    <row r="123" spans="1:10" x14ac:dyDescent="0.2">
      <c r="A123" s="61" t="s">
        <v>467</v>
      </c>
      <c r="B123" s="61" t="s">
        <v>998</v>
      </c>
      <c r="C123" s="61" t="s">
        <v>949</v>
      </c>
      <c r="D123" s="62" t="s">
        <v>931</v>
      </c>
      <c r="E123" s="92" t="s">
        <v>919</v>
      </c>
      <c r="F123" s="62" t="s">
        <v>829</v>
      </c>
      <c r="G123" s="63">
        <v>163.41</v>
      </c>
      <c r="H123" s="63">
        <v>197.73</v>
      </c>
      <c r="I123" s="65"/>
      <c r="J123" s="66"/>
    </row>
    <row r="124" spans="1:10" x14ac:dyDescent="0.2">
      <c r="A124" s="93" t="s">
        <v>467</v>
      </c>
      <c r="B124" s="93" t="s">
        <v>999</v>
      </c>
      <c r="C124" s="93" t="s">
        <v>1000</v>
      </c>
      <c r="D124" s="94" t="s">
        <v>916</v>
      </c>
      <c r="E124" s="95" t="s">
        <v>917</v>
      </c>
      <c r="F124" s="96" t="s">
        <v>918</v>
      </c>
      <c r="G124" s="97">
        <v>194.7</v>
      </c>
      <c r="H124" s="97">
        <v>235.59</v>
      </c>
      <c r="I124" s="98"/>
      <c r="J124" s="99"/>
    </row>
    <row r="125" spans="1:10" x14ac:dyDescent="0.2">
      <c r="A125" s="55" t="s">
        <v>467</v>
      </c>
      <c r="B125" s="55" t="s">
        <v>999</v>
      </c>
      <c r="C125" s="55" t="s">
        <v>1000</v>
      </c>
      <c r="D125" s="56" t="s">
        <v>916</v>
      </c>
      <c r="E125" s="100" t="s">
        <v>919</v>
      </c>
      <c r="F125" s="56" t="s">
        <v>829</v>
      </c>
      <c r="G125" s="57">
        <v>299.54000000000002</v>
      </c>
      <c r="H125" s="57">
        <v>362.44</v>
      </c>
      <c r="I125" s="59"/>
      <c r="J125" s="60"/>
    </row>
    <row r="126" spans="1:10" x14ac:dyDescent="0.2">
      <c r="A126" s="85" t="s">
        <v>467</v>
      </c>
      <c r="B126" s="85" t="s">
        <v>999</v>
      </c>
      <c r="C126" s="85" t="s">
        <v>1001</v>
      </c>
      <c r="D126" s="86" t="s">
        <v>916</v>
      </c>
      <c r="E126" s="87" t="s">
        <v>917</v>
      </c>
      <c r="F126" s="88" t="s">
        <v>918</v>
      </c>
      <c r="G126" s="89">
        <v>226.66</v>
      </c>
      <c r="H126" s="89">
        <v>274.26</v>
      </c>
      <c r="I126" s="90"/>
      <c r="J126" s="91"/>
    </row>
    <row r="127" spans="1:10" x14ac:dyDescent="0.2">
      <c r="A127" s="61" t="s">
        <v>467</v>
      </c>
      <c r="B127" s="61" t="s">
        <v>999</v>
      </c>
      <c r="C127" s="61" t="s">
        <v>1001</v>
      </c>
      <c r="D127" s="62" t="s">
        <v>916</v>
      </c>
      <c r="E127" s="92" t="s">
        <v>919</v>
      </c>
      <c r="F127" s="62" t="s">
        <v>829</v>
      </c>
      <c r="G127" s="63">
        <v>348.72</v>
      </c>
      <c r="H127" s="63">
        <v>421.95</v>
      </c>
      <c r="I127" s="65"/>
      <c r="J127" s="66"/>
    </row>
    <row r="128" spans="1:10" x14ac:dyDescent="0.2">
      <c r="A128" s="93" t="s">
        <v>467</v>
      </c>
      <c r="B128" s="93" t="s">
        <v>1002</v>
      </c>
      <c r="C128" s="93" t="s">
        <v>1003</v>
      </c>
      <c r="D128" s="94" t="s">
        <v>916</v>
      </c>
      <c r="E128" s="95" t="s">
        <v>917</v>
      </c>
      <c r="F128" s="96" t="s">
        <v>918</v>
      </c>
      <c r="G128" s="97">
        <v>102.17</v>
      </c>
      <c r="H128" s="97">
        <v>123.63</v>
      </c>
      <c r="I128" s="98"/>
      <c r="J128" s="99"/>
    </row>
    <row r="129" spans="1:10" x14ac:dyDescent="0.2">
      <c r="A129" s="55" t="s">
        <v>467</v>
      </c>
      <c r="B129" s="55" t="s">
        <v>1002</v>
      </c>
      <c r="C129" s="55" t="s">
        <v>1003</v>
      </c>
      <c r="D129" s="56" t="s">
        <v>916</v>
      </c>
      <c r="E129" s="100" t="s">
        <v>919</v>
      </c>
      <c r="F129" s="56" t="s">
        <v>829</v>
      </c>
      <c r="G129" s="57">
        <v>157.19</v>
      </c>
      <c r="H129" s="57">
        <v>190.2</v>
      </c>
      <c r="I129" s="59"/>
      <c r="J129" s="60"/>
    </row>
    <row r="130" spans="1:10" x14ac:dyDescent="0.2">
      <c r="A130" s="85" t="s">
        <v>467</v>
      </c>
      <c r="B130" s="85" t="s">
        <v>1002</v>
      </c>
      <c r="C130" s="85" t="s">
        <v>949</v>
      </c>
      <c r="D130" s="86" t="s">
        <v>916</v>
      </c>
      <c r="E130" s="87" t="s">
        <v>917</v>
      </c>
      <c r="F130" s="88" t="s">
        <v>918</v>
      </c>
      <c r="G130" s="89">
        <v>97.71</v>
      </c>
      <c r="H130" s="89">
        <v>118.23</v>
      </c>
      <c r="I130" s="90"/>
      <c r="J130" s="91"/>
    </row>
    <row r="131" spans="1:10" x14ac:dyDescent="0.2">
      <c r="A131" s="61" t="s">
        <v>467</v>
      </c>
      <c r="B131" s="61" t="s">
        <v>1002</v>
      </c>
      <c r="C131" s="61" t="s">
        <v>949</v>
      </c>
      <c r="D131" s="62" t="s">
        <v>916</v>
      </c>
      <c r="E131" s="92" t="s">
        <v>919</v>
      </c>
      <c r="F131" s="62" t="s">
        <v>829</v>
      </c>
      <c r="G131" s="63">
        <v>150.32</v>
      </c>
      <c r="H131" s="63">
        <v>181.89</v>
      </c>
      <c r="I131" s="65"/>
      <c r="J131" s="66"/>
    </row>
    <row r="132" spans="1:10" x14ac:dyDescent="0.2">
      <c r="A132" s="93" t="s">
        <v>467</v>
      </c>
      <c r="B132" s="93" t="s">
        <v>1002</v>
      </c>
      <c r="C132" s="93" t="s">
        <v>1004</v>
      </c>
      <c r="D132" s="94" t="s">
        <v>916</v>
      </c>
      <c r="E132" s="95" t="s">
        <v>917</v>
      </c>
      <c r="F132" s="96" t="s">
        <v>918</v>
      </c>
      <c r="G132" s="97">
        <v>100.25</v>
      </c>
      <c r="H132" s="97">
        <v>121.3</v>
      </c>
      <c r="I132" s="98"/>
      <c r="J132" s="99"/>
    </row>
    <row r="133" spans="1:10" x14ac:dyDescent="0.2">
      <c r="A133" s="55" t="s">
        <v>467</v>
      </c>
      <c r="B133" s="55" t="s">
        <v>1002</v>
      </c>
      <c r="C133" s="55" t="s">
        <v>1004</v>
      </c>
      <c r="D133" s="56" t="s">
        <v>916</v>
      </c>
      <c r="E133" s="100" t="s">
        <v>919</v>
      </c>
      <c r="F133" s="56" t="s">
        <v>829</v>
      </c>
      <c r="G133" s="57">
        <v>154.22999999999999</v>
      </c>
      <c r="H133" s="57">
        <v>186.62</v>
      </c>
      <c r="I133" s="59"/>
      <c r="J133" s="60"/>
    </row>
    <row r="134" spans="1:10" x14ac:dyDescent="0.2">
      <c r="A134" s="85" t="s">
        <v>467</v>
      </c>
      <c r="B134" s="85" t="s">
        <v>1005</v>
      </c>
      <c r="C134" s="85" t="s">
        <v>925</v>
      </c>
      <c r="D134" s="86" t="s">
        <v>916</v>
      </c>
      <c r="E134" s="87" t="s">
        <v>917</v>
      </c>
      <c r="F134" s="88" t="s">
        <v>918</v>
      </c>
      <c r="G134" s="89">
        <v>229.08</v>
      </c>
      <c r="H134" s="89">
        <v>277.19</v>
      </c>
      <c r="I134" s="90"/>
      <c r="J134" s="91"/>
    </row>
    <row r="135" spans="1:10" x14ac:dyDescent="0.2">
      <c r="A135" s="61" t="s">
        <v>467</v>
      </c>
      <c r="B135" s="61" t="s">
        <v>1005</v>
      </c>
      <c r="C135" s="61" t="s">
        <v>925</v>
      </c>
      <c r="D135" s="62" t="s">
        <v>916</v>
      </c>
      <c r="E135" s="92" t="s">
        <v>919</v>
      </c>
      <c r="F135" s="62" t="s">
        <v>829</v>
      </c>
      <c r="G135" s="63">
        <v>352.43</v>
      </c>
      <c r="H135" s="63">
        <v>426.44</v>
      </c>
      <c r="I135" s="65"/>
      <c r="J135" s="66"/>
    </row>
    <row r="136" spans="1:10" x14ac:dyDescent="0.2">
      <c r="A136" s="93" t="s">
        <v>467</v>
      </c>
      <c r="B136" s="93" t="s">
        <v>1005</v>
      </c>
      <c r="C136" s="93" t="s">
        <v>1006</v>
      </c>
      <c r="D136" s="94" t="s">
        <v>916</v>
      </c>
      <c r="E136" s="95" t="s">
        <v>917</v>
      </c>
      <c r="F136" s="96" t="s">
        <v>918</v>
      </c>
      <c r="G136" s="97">
        <v>252.74</v>
      </c>
      <c r="H136" s="97">
        <v>305.82</v>
      </c>
      <c r="I136" s="98"/>
      <c r="J136" s="99"/>
    </row>
    <row r="137" spans="1:10" x14ac:dyDescent="0.2">
      <c r="A137" s="55" t="s">
        <v>467</v>
      </c>
      <c r="B137" s="55" t="s">
        <v>1005</v>
      </c>
      <c r="C137" s="55" t="s">
        <v>1006</v>
      </c>
      <c r="D137" s="56" t="s">
        <v>916</v>
      </c>
      <c r="E137" s="100" t="s">
        <v>919</v>
      </c>
      <c r="F137" s="56" t="s">
        <v>829</v>
      </c>
      <c r="G137" s="57">
        <v>388.83</v>
      </c>
      <c r="H137" s="57">
        <v>470.48</v>
      </c>
      <c r="I137" s="59"/>
      <c r="J137" s="60"/>
    </row>
    <row r="138" spans="1:10" x14ac:dyDescent="0.2">
      <c r="A138" s="85" t="s">
        <v>467</v>
      </c>
      <c r="B138" s="85" t="s">
        <v>1007</v>
      </c>
      <c r="C138" s="85" t="s">
        <v>925</v>
      </c>
      <c r="D138" s="86" t="s">
        <v>916</v>
      </c>
      <c r="E138" s="87" t="s">
        <v>917</v>
      </c>
      <c r="F138" s="88" t="s">
        <v>918</v>
      </c>
      <c r="G138" s="89">
        <v>248.76</v>
      </c>
      <c r="H138" s="89">
        <v>301</v>
      </c>
      <c r="I138" s="90"/>
      <c r="J138" s="91"/>
    </row>
    <row r="139" spans="1:10" x14ac:dyDescent="0.2">
      <c r="A139" s="61" t="s">
        <v>467</v>
      </c>
      <c r="B139" s="61" t="s">
        <v>1007</v>
      </c>
      <c r="C139" s="61" t="s">
        <v>925</v>
      </c>
      <c r="D139" s="62" t="s">
        <v>916</v>
      </c>
      <c r="E139" s="92" t="s">
        <v>919</v>
      </c>
      <c r="F139" s="62" t="s">
        <v>829</v>
      </c>
      <c r="G139" s="63">
        <v>382.7</v>
      </c>
      <c r="H139" s="63">
        <v>463.07</v>
      </c>
      <c r="I139" s="65"/>
      <c r="J139" s="66"/>
    </row>
    <row r="140" spans="1:10" x14ac:dyDescent="0.2">
      <c r="A140" s="93" t="s">
        <v>467</v>
      </c>
      <c r="B140" s="93" t="s">
        <v>1007</v>
      </c>
      <c r="C140" s="93" t="s">
        <v>1006</v>
      </c>
      <c r="D140" s="94" t="s">
        <v>916</v>
      </c>
      <c r="E140" s="95" t="s">
        <v>917</v>
      </c>
      <c r="F140" s="96" t="s">
        <v>918</v>
      </c>
      <c r="G140" s="97">
        <v>266.56</v>
      </c>
      <c r="H140" s="97">
        <v>322.54000000000002</v>
      </c>
      <c r="I140" s="98"/>
      <c r="J140" s="99"/>
    </row>
    <row r="141" spans="1:10" x14ac:dyDescent="0.2">
      <c r="A141" s="55" t="s">
        <v>467</v>
      </c>
      <c r="B141" s="55" t="s">
        <v>1007</v>
      </c>
      <c r="C141" s="55" t="s">
        <v>1006</v>
      </c>
      <c r="D141" s="56" t="s">
        <v>916</v>
      </c>
      <c r="E141" s="100" t="s">
        <v>919</v>
      </c>
      <c r="F141" s="56" t="s">
        <v>829</v>
      </c>
      <c r="G141" s="57">
        <v>410.09</v>
      </c>
      <c r="H141" s="57">
        <v>496.21</v>
      </c>
      <c r="I141" s="59"/>
      <c r="J141" s="60"/>
    </row>
    <row r="142" spans="1:10" x14ac:dyDescent="0.2">
      <c r="A142" s="85" t="s">
        <v>467</v>
      </c>
      <c r="B142" s="85" t="s">
        <v>1008</v>
      </c>
      <c r="C142" s="85" t="s">
        <v>1009</v>
      </c>
      <c r="D142" s="86" t="s">
        <v>939</v>
      </c>
      <c r="E142" s="87" t="s">
        <v>917</v>
      </c>
      <c r="F142" s="88" t="s">
        <v>918</v>
      </c>
      <c r="G142" s="89">
        <v>112.55</v>
      </c>
      <c r="H142" s="89">
        <v>136.19</v>
      </c>
      <c r="I142" s="90"/>
      <c r="J142" s="91"/>
    </row>
    <row r="143" spans="1:10" x14ac:dyDescent="0.2">
      <c r="A143" s="61" t="s">
        <v>467</v>
      </c>
      <c r="B143" s="61" t="s">
        <v>1008</v>
      </c>
      <c r="C143" s="61" t="s">
        <v>1009</v>
      </c>
      <c r="D143" s="62" t="s">
        <v>939</v>
      </c>
      <c r="E143" s="92" t="s">
        <v>919</v>
      </c>
      <c r="F143" s="62" t="s">
        <v>829</v>
      </c>
      <c r="G143" s="63">
        <v>181.54</v>
      </c>
      <c r="H143" s="63">
        <v>219.66</v>
      </c>
      <c r="I143" s="65"/>
      <c r="J143" s="66"/>
    </row>
    <row r="144" spans="1:10" x14ac:dyDescent="0.2">
      <c r="A144" s="93" t="s">
        <v>467</v>
      </c>
      <c r="B144" s="93" t="s">
        <v>1008</v>
      </c>
      <c r="C144" s="93" t="s">
        <v>989</v>
      </c>
      <c r="D144" s="94" t="s">
        <v>939</v>
      </c>
      <c r="E144" s="95" t="s">
        <v>917</v>
      </c>
      <c r="F144" s="96" t="s">
        <v>918</v>
      </c>
      <c r="G144" s="97">
        <v>117.05</v>
      </c>
      <c r="H144" s="97">
        <v>141.63</v>
      </c>
      <c r="I144" s="98"/>
      <c r="J144" s="99"/>
    </row>
    <row r="145" spans="1:10" x14ac:dyDescent="0.2">
      <c r="A145" s="55" t="s">
        <v>467</v>
      </c>
      <c r="B145" s="55" t="s">
        <v>1008</v>
      </c>
      <c r="C145" s="55" t="s">
        <v>989</v>
      </c>
      <c r="D145" s="56" t="s">
        <v>939</v>
      </c>
      <c r="E145" s="100" t="s">
        <v>919</v>
      </c>
      <c r="F145" s="56" t="s">
        <v>829</v>
      </c>
      <c r="G145" s="57">
        <v>188.79</v>
      </c>
      <c r="H145" s="57">
        <v>228.44</v>
      </c>
      <c r="I145" s="59"/>
      <c r="J145" s="60"/>
    </row>
    <row r="146" spans="1:10" x14ac:dyDescent="0.2">
      <c r="A146" s="85" t="s">
        <v>467</v>
      </c>
      <c r="B146" s="85" t="s">
        <v>1008</v>
      </c>
      <c r="C146" s="85" t="s">
        <v>991</v>
      </c>
      <c r="D146" s="86" t="s">
        <v>939</v>
      </c>
      <c r="E146" s="87" t="s">
        <v>917</v>
      </c>
      <c r="F146" s="88" t="s">
        <v>918</v>
      </c>
      <c r="G146" s="89">
        <v>124.07</v>
      </c>
      <c r="H146" s="89">
        <v>150.12</v>
      </c>
      <c r="I146" s="90"/>
      <c r="J146" s="91"/>
    </row>
    <row r="147" spans="1:10" x14ac:dyDescent="0.2">
      <c r="A147" s="61" t="s">
        <v>467</v>
      </c>
      <c r="B147" s="61" t="s">
        <v>1008</v>
      </c>
      <c r="C147" s="61" t="s">
        <v>991</v>
      </c>
      <c r="D147" s="62" t="s">
        <v>939</v>
      </c>
      <c r="E147" s="92" t="s">
        <v>919</v>
      </c>
      <c r="F147" s="62" t="s">
        <v>829</v>
      </c>
      <c r="G147" s="63">
        <v>200.11</v>
      </c>
      <c r="H147" s="63">
        <v>242.13</v>
      </c>
      <c r="I147" s="65"/>
      <c r="J147" s="66"/>
    </row>
    <row r="148" spans="1:10" x14ac:dyDescent="0.2">
      <c r="A148" s="93" t="s">
        <v>467</v>
      </c>
      <c r="B148" s="93" t="s">
        <v>1010</v>
      </c>
      <c r="C148" s="93" t="s">
        <v>989</v>
      </c>
      <c r="D148" s="94" t="s">
        <v>939</v>
      </c>
      <c r="E148" s="95" t="s">
        <v>917</v>
      </c>
      <c r="F148" s="96" t="s">
        <v>918</v>
      </c>
      <c r="G148" s="97">
        <v>82.85</v>
      </c>
      <c r="H148" s="97">
        <v>100.25</v>
      </c>
      <c r="I148" s="98"/>
      <c r="J148" s="99"/>
    </row>
    <row r="149" spans="1:10" x14ac:dyDescent="0.2">
      <c r="A149" s="55" t="s">
        <v>467</v>
      </c>
      <c r="B149" s="55" t="s">
        <v>1010</v>
      </c>
      <c r="C149" s="55" t="s">
        <v>989</v>
      </c>
      <c r="D149" s="56" t="s">
        <v>939</v>
      </c>
      <c r="E149" s="100" t="s">
        <v>919</v>
      </c>
      <c r="F149" s="56" t="s">
        <v>829</v>
      </c>
      <c r="G149" s="57">
        <v>133.63</v>
      </c>
      <c r="H149" s="57">
        <v>161.69</v>
      </c>
      <c r="I149" s="59"/>
      <c r="J149" s="60"/>
    </row>
    <row r="150" spans="1:10" x14ac:dyDescent="0.2">
      <c r="A150" s="85" t="s">
        <v>467</v>
      </c>
      <c r="B150" s="85" t="s">
        <v>1011</v>
      </c>
      <c r="C150" s="85" t="s">
        <v>1012</v>
      </c>
      <c r="D150" s="86" t="s">
        <v>939</v>
      </c>
      <c r="E150" s="87" t="s">
        <v>917</v>
      </c>
      <c r="F150" s="88" t="s">
        <v>918</v>
      </c>
      <c r="G150" s="89">
        <v>98.52</v>
      </c>
      <c r="H150" s="89">
        <v>119.21</v>
      </c>
      <c r="I150" s="90"/>
      <c r="J150" s="91"/>
    </row>
    <row r="151" spans="1:10" x14ac:dyDescent="0.2">
      <c r="A151" s="61" t="s">
        <v>467</v>
      </c>
      <c r="B151" s="61" t="s">
        <v>1011</v>
      </c>
      <c r="C151" s="61" t="s">
        <v>1012</v>
      </c>
      <c r="D151" s="62" t="s">
        <v>939</v>
      </c>
      <c r="E151" s="92" t="s">
        <v>919</v>
      </c>
      <c r="F151" s="62" t="s">
        <v>829</v>
      </c>
      <c r="G151" s="63">
        <v>158.9</v>
      </c>
      <c r="H151" s="63">
        <v>192.27</v>
      </c>
      <c r="I151" s="65"/>
      <c r="J151" s="66"/>
    </row>
    <row r="152" spans="1:10" x14ac:dyDescent="0.2">
      <c r="A152" s="93" t="s">
        <v>467</v>
      </c>
      <c r="B152" s="93" t="s">
        <v>1011</v>
      </c>
      <c r="C152" s="93" t="s">
        <v>989</v>
      </c>
      <c r="D152" s="94" t="s">
        <v>939</v>
      </c>
      <c r="E152" s="95" t="s">
        <v>917</v>
      </c>
      <c r="F152" s="96" t="s">
        <v>918</v>
      </c>
      <c r="G152" s="97">
        <v>94.7</v>
      </c>
      <c r="H152" s="97">
        <v>114.59</v>
      </c>
      <c r="I152" s="98"/>
      <c r="J152" s="99"/>
    </row>
    <row r="153" spans="1:10" x14ac:dyDescent="0.2">
      <c r="A153" s="55" t="s">
        <v>467</v>
      </c>
      <c r="B153" s="55" t="s">
        <v>1011</v>
      </c>
      <c r="C153" s="55" t="s">
        <v>989</v>
      </c>
      <c r="D153" s="56" t="s">
        <v>939</v>
      </c>
      <c r="E153" s="100" t="s">
        <v>919</v>
      </c>
      <c r="F153" s="56" t="s">
        <v>829</v>
      </c>
      <c r="G153" s="57">
        <v>152.75</v>
      </c>
      <c r="H153" s="57">
        <v>184.83</v>
      </c>
      <c r="I153" s="59"/>
      <c r="J153" s="60"/>
    </row>
    <row r="154" spans="1:10" x14ac:dyDescent="0.2">
      <c r="A154" s="85" t="s">
        <v>467</v>
      </c>
      <c r="B154" s="85" t="s">
        <v>1013</v>
      </c>
      <c r="C154" s="85" t="s">
        <v>988</v>
      </c>
      <c r="D154" s="86" t="s">
        <v>939</v>
      </c>
      <c r="E154" s="87" t="s">
        <v>917</v>
      </c>
      <c r="F154" s="88" t="s">
        <v>918</v>
      </c>
      <c r="G154" s="89">
        <v>89.39</v>
      </c>
      <c r="H154" s="89">
        <v>108.16</v>
      </c>
      <c r="I154" s="90"/>
      <c r="J154" s="91"/>
    </row>
    <row r="155" spans="1:10" x14ac:dyDescent="0.2">
      <c r="A155" s="61" t="s">
        <v>467</v>
      </c>
      <c r="B155" s="61" t="s">
        <v>1013</v>
      </c>
      <c r="C155" s="61" t="s">
        <v>988</v>
      </c>
      <c r="D155" s="62" t="s">
        <v>939</v>
      </c>
      <c r="E155" s="92" t="s">
        <v>919</v>
      </c>
      <c r="F155" s="62" t="s">
        <v>829</v>
      </c>
      <c r="G155" s="63">
        <v>144.18</v>
      </c>
      <c r="H155" s="63">
        <v>174.46</v>
      </c>
      <c r="I155" s="65"/>
      <c r="J155" s="66"/>
    </row>
    <row r="156" spans="1:10" x14ac:dyDescent="0.2">
      <c r="A156" s="93" t="s">
        <v>467</v>
      </c>
      <c r="B156" s="93" t="s">
        <v>1014</v>
      </c>
      <c r="C156" s="93" t="s">
        <v>988</v>
      </c>
      <c r="D156" s="94" t="s">
        <v>939</v>
      </c>
      <c r="E156" s="95" t="s">
        <v>917</v>
      </c>
      <c r="F156" s="96" t="s">
        <v>918</v>
      </c>
      <c r="G156" s="97">
        <v>97.43</v>
      </c>
      <c r="H156" s="97">
        <v>117.89</v>
      </c>
      <c r="I156" s="98"/>
      <c r="J156" s="99"/>
    </row>
    <row r="157" spans="1:10" x14ac:dyDescent="0.2">
      <c r="A157" s="55" t="s">
        <v>467</v>
      </c>
      <c r="B157" s="55" t="s">
        <v>1014</v>
      </c>
      <c r="C157" s="55" t="s">
        <v>988</v>
      </c>
      <c r="D157" s="56" t="s">
        <v>939</v>
      </c>
      <c r="E157" s="100" t="s">
        <v>919</v>
      </c>
      <c r="F157" s="56" t="s">
        <v>829</v>
      </c>
      <c r="G157" s="57">
        <v>157.13999999999999</v>
      </c>
      <c r="H157" s="57">
        <v>190.14</v>
      </c>
      <c r="I157" s="59"/>
      <c r="J157" s="60"/>
    </row>
    <row r="158" spans="1:10" x14ac:dyDescent="0.2">
      <c r="A158" s="85" t="s">
        <v>467</v>
      </c>
      <c r="B158" s="85" t="s">
        <v>1015</v>
      </c>
      <c r="C158" s="85" t="s">
        <v>1016</v>
      </c>
      <c r="D158" s="86" t="s">
        <v>916</v>
      </c>
      <c r="E158" s="87" t="s">
        <v>917</v>
      </c>
      <c r="F158" s="88" t="s">
        <v>918</v>
      </c>
      <c r="G158" s="89">
        <v>19.68</v>
      </c>
      <c r="H158" s="89">
        <v>23.81</v>
      </c>
      <c r="I158" s="90"/>
      <c r="J158" s="91"/>
    </row>
    <row r="159" spans="1:10" x14ac:dyDescent="0.2">
      <c r="A159" s="61" t="s">
        <v>467</v>
      </c>
      <c r="B159" s="61" t="s">
        <v>1015</v>
      </c>
      <c r="C159" s="61" t="s">
        <v>1016</v>
      </c>
      <c r="D159" s="62" t="s">
        <v>916</v>
      </c>
      <c r="E159" s="92" t="s">
        <v>919</v>
      </c>
      <c r="F159" s="62" t="s">
        <v>829</v>
      </c>
      <c r="G159" s="63">
        <v>30.27</v>
      </c>
      <c r="H159" s="63">
        <v>36.630000000000003</v>
      </c>
      <c r="I159" s="65"/>
      <c r="J159" s="66"/>
    </row>
    <row r="160" spans="1:10" x14ac:dyDescent="0.2">
      <c r="A160" s="93" t="s">
        <v>467</v>
      </c>
      <c r="B160" s="93" t="s">
        <v>1017</v>
      </c>
      <c r="C160" s="93" t="s">
        <v>1018</v>
      </c>
      <c r="D160" s="94" t="s">
        <v>916</v>
      </c>
      <c r="E160" s="95" t="s">
        <v>917</v>
      </c>
      <c r="F160" s="96" t="s">
        <v>918</v>
      </c>
      <c r="G160" s="97">
        <v>45.21</v>
      </c>
      <c r="H160" s="97">
        <v>54.7</v>
      </c>
      <c r="I160" s="98"/>
      <c r="J160" s="99"/>
    </row>
    <row r="161" spans="1:10" x14ac:dyDescent="0.2">
      <c r="A161" s="55" t="s">
        <v>467</v>
      </c>
      <c r="B161" s="55" t="s">
        <v>1017</v>
      </c>
      <c r="C161" s="55" t="s">
        <v>1018</v>
      </c>
      <c r="D161" s="56" t="s">
        <v>916</v>
      </c>
      <c r="E161" s="100" t="s">
        <v>919</v>
      </c>
      <c r="F161" s="56" t="s">
        <v>829</v>
      </c>
      <c r="G161" s="57">
        <v>69.55</v>
      </c>
      <c r="H161" s="57">
        <v>84.16</v>
      </c>
      <c r="I161" s="59"/>
      <c r="J161" s="60"/>
    </row>
    <row r="162" spans="1:10" x14ac:dyDescent="0.2">
      <c r="A162" s="85" t="s">
        <v>467</v>
      </c>
      <c r="B162" s="85" t="s">
        <v>1019</v>
      </c>
      <c r="C162" s="85" t="s">
        <v>1020</v>
      </c>
      <c r="D162" s="86" t="s">
        <v>916</v>
      </c>
      <c r="E162" s="87" t="s">
        <v>917</v>
      </c>
      <c r="F162" s="88" t="s">
        <v>918</v>
      </c>
      <c r="G162" s="89">
        <v>137.94</v>
      </c>
      <c r="H162" s="89">
        <v>166.91</v>
      </c>
      <c r="I162" s="90"/>
      <c r="J162" s="91"/>
    </row>
    <row r="163" spans="1:10" x14ac:dyDescent="0.2">
      <c r="A163" s="61" t="s">
        <v>467</v>
      </c>
      <c r="B163" s="61" t="s">
        <v>1019</v>
      </c>
      <c r="C163" s="61" t="s">
        <v>1020</v>
      </c>
      <c r="D163" s="62" t="s">
        <v>916</v>
      </c>
      <c r="E163" s="92" t="s">
        <v>919</v>
      </c>
      <c r="F163" s="62" t="s">
        <v>829</v>
      </c>
      <c r="G163" s="63">
        <v>212.22</v>
      </c>
      <c r="H163" s="63">
        <v>256.79000000000002</v>
      </c>
      <c r="I163" s="65"/>
      <c r="J163" s="66"/>
    </row>
    <row r="164" spans="1:10" x14ac:dyDescent="0.2">
      <c r="A164" s="93" t="s">
        <v>467</v>
      </c>
      <c r="B164" s="93" t="s">
        <v>1019</v>
      </c>
      <c r="C164" s="93" t="s">
        <v>1021</v>
      </c>
      <c r="D164" s="94" t="s">
        <v>916</v>
      </c>
      <c r="E164" s="95" t="s">
        <v>917</v>
      </c>
      <c r="F164" s="96" t="s">
        <v>918</v>
      </c>
      <c r="G164" s="97">
        <v>42.82</v>
      </c>
      <c r="H164" s="97">
        <v>51.81</v>
      </c>
      <c r="I164" s="98"/>
      <c r="J164" s="99"/>
    </row>
    <row r="165" spans="1:10" x14ac:dyDescent="0.2">
      <c r="A165" s="55" t="s">
        <v>467</v>
      </c>
      <c r="B165" s="55" t="s">
        <v>1019</v>
      </c>
      <c r="C165" s="55" t="s">
        <v>1021</v>
      </c>
      <c r="D165" s="56" t="s">
        <v>916</v>
      </c>
      <c r="E165" s="100" t="s">
        <v>919</v>
      </c>
      <c r="F165" s="56" t="s">
        <v>829</v>
      </c>
      <c r="G165" s="57">
        <v>65.88</v>
      </c>
      <c r="H165" s="57">
        <v>79.709999999999994</v>
      </c>
      <c r="I165" s="59"/>
      <c r="J165" s="60"/>
    </row>
    <row r="166" spans="1:10" x14ac:dyDescent="0.2">
      <c r="A166" s="85" t="s">
        <v>467</v>
      </c>
      <c r="B166" s="85" t="s">
        <v>1019</v>
      </c>
      <c r="C166" s="85" t="s">
        <v>1022</v>
      </c>
      <c r="D166" s="86" t="s">
        <v>916</v>
      </c>
      <c r="E166" s="87" t="s">
        <v>917</v>
      </c>
      <c r="F166" s="88" t="s">
        <v>918</v>
      </c>
      <c r="G166" s="89">
        <v>176.97</v>
      </c>
      <c r="H166" s="89">
        <v>214.13</v>
      </c>
      <c r="I166" s="90"/>
      <c r="J166" s="91"/>
    </row>
    <row r="167" spans="1:10" x14ac:dyDescent="0.2">
      <c r="A167" s="61" t="s">
        <v>467</v>
      </c>
      <c r="B167" s="61" t="s">
        <v>1019</v>
      </c>
      <c r="C167" s="61" t="s">
        <v>1022</v>
      </c>
      <c r="D167" s="62" t="s">
        <v>916</v>
      </c>
      <c r="E167" s="92" t="s">
        <v>919</v>
      </c>
      <c r="F167" s="62" t="s">
        <v>829</v>
      </c>
      <c r="G167" s="63">
        <v>272.25</v>
      </c>
      <c r="H167" s="63">
        <v>329.42</v>
      </c>
      <c r="I167" s="65"/>
      <c r="J167" s="66"/>
    </row>
    <row r="168" spans="1:10" x14ac:dyDescent="0.2">
      <c r="A168" s="93" t="s">
        <v>467</v>
      </c>
      <c r="B168" s="93" t="s">
        <v>1023</v>
      </c>
      <c r="C168" s="93" t="s">
        <v>1024</v>
      </c>
      <c r="D168" s="94" t="s">
        <v>916</v>
      </c>
      <c r="E168" s="95" t="s">
        <v>917</v>
      </c>
      <c r="F168" s="96" t="s">
        <v>918</v>
      </c>
      <c r="G168" s="97">
        <v>99.95</v>
      </c>
      <c r="H168" s="97">
        <v>120.94</v>
      </c>
      <c r="I168" s="98"/>
      <c r="J168" s="99"/>
    </row>
    <row r="169" spans="1:10" x14ac:dyDescent="0.2">
      <c r="A169" s="55" t="s">
        <v>467</v>
      </c>
      <c r="B169" s="55" t="s">
        <v>1023</v>
      </c>
      <c r="C169" s="55" t="s">
        <v>1024</v>
      </c>
      <c r="D169" s="56" t="s">
        <v>916</v>
      </c>
      <c r="E169" s="100" t="s">
        <v>919</v>
      </c>
      <c r="F169" s="56" t="s">
        <v>829</v>
      </c>
      <c r="G169" s="57">
        <v>153.77000000000001</v>
      </c>
      <c r="H169" s="57">
        <v>186.06</v>
      </c>
      <c r="I169" s="59"/>
      <c r="J169" s="60"/>
    </row>
    <row r="170" spans="1:10" x14ac:dyDescent="0.2">
      <c r="A170" s="85" t="s">
        <v>467</v>
      </c>
      <c r="B170" s="85" t="s">
        <v>1023</v>
      </c>
      <c r="C170" s="85" t="s">
        <v>1025</v>
      </c>
      <c r="D170" s="86" t="s">
        <v>916</v>
      </c>
      <c r="E170" s="87" t="s">
        <v>917</v>
      </c>
      <c r="F170" s="88" t="s">
        <v>918</v>
      </c>
      <c r="G170" s="89">
        <v>69.709999999999994</v>
      </c>
      <c r="H170" s="89">
        <v>84.35</v>
      </c>
      <c r="I170" s="90"/>
      <c r="J170" s="91"/>
    </row>
    <row r="171" spans="1:10" x14ac:dyDescent="0.2">
      <c r="A171" s="61" t="s">
        <v>467</v>
      </c>
      <c r="B171" s="61" t="s">
        <v>1023</v>
      </c>
      <c r="C171" s="61" t="s">
        <v>1025</v>
      </c>
      <c r="D171" s="62" t="s">
        <v>916</v>
      </c>
      <c r="E171" s="92" t="s">
        <v>919</v>
      </c>
      <c r="F171" s="62" t="s">
        <v>829</v>
      </c>
      <c r="G171" s="63">
        <v>107.24</v>
      </c>
      <c r="H171" s="63">
        <v>129.76</v>
      </c>
      <c r="I171" s="65"/>
      <c r="J171" s="66"/>
    </row>
    <row r="172" spans="1:10" x14ac:dyDescent="0.2">
      <c r="A172" s="93" t="s">
        <v>467</v>
      </c>
      <c r="B172" s="93" t="s">
        <v>1023</v>
      </c>
      <c r="C172" s="93" t="s">
        <v>1026</v>
      </c>
      <c r="D172" s="94" t="s">
        <v>916</v>
      </c>
      <c r="E172" s="95" t="s">
        <v>917</v>
      </c>
      <c r="F172" s="96" t="s">
        <v>918</v>
      </c>
      <c r="G172" s="97">
        <v>122.35</v>
      </c>
      <c r="H172" s="97">
        <v>148.04</v>
      </c>
      <c r="I172" s="98"/>
      <c r="J172" s="99"/>
    </row>
    <row r="173" spans="1:10" x14ac:dyDescent="0.2">
      <c r="A173" s="55" t="s">
        <v>467</v>
      </c>
      <c r="B173" s="55" t="s">
        <v>1023</v>
      </c>
      <c r="C173" s="55" t="s">
        <v>1026</v>
      </c>
      <c r="D173" s="56" t="s">
        <v>916</v>
      </c>
      <c r="E173" s="100" t="s">
        <v>919</v>
      </c>
      <c r="F173" s="56" t="s">
        <v>829</v>
      </c>
      <c r="G173" s="57">
        <v>188.24</v>
      </c>
      <c r="H173" s="57">
        <v>227.77</v>
      </c>
      <c r="I173" s="59"/>
      <c r="J173" s="60"/>
    </row>
    <row r="174" spans="1:10" x14ac:dyDescent="0.2">
      <c r="A174" s="85" t="s">
        <v>467</v>
      </c>
      <c r="B174" s="85" t="s">
        <v>1027</v>
      </c>
      <c r="C174" s="85" t="s">
        <v>1028</v>
      </c>
      <c r="D174" s="86" t="s">
        <v>931</v>
      </c>
      <c r="E174" s="87" t="s">
        <v>917</v>
      </c>
      <c r="F174" s="88" t="s">
        <v>918</v>
      </c>
      <c r="G174" s="89">
        <v>67.33</v>
      </c>
      <c r="H174" s="89">
        <v>81.47</v>
      </c>
      <c r="I174" s="90"/>
      <c r="J174" s="91"/>
    </row>
    <row r="175" spans="1:10" x14ac:dyDescent="0.2">
      <c r="A175" s="61" t="s">
        <v>467</v>
      </c>
      <c r="B175" s="61" t="s">
        <v>1027</v>
      </c>
      <c r="C175" s="61" t="s">
        <v>1028</v>
      </c>
      <c r="D175" s="62" t="s">
        <v>931</v>
      </c>
      <c r="E175" s="92" t="s">
        <v>919</v>
      </c>
      <c r="F175" s="62" t="s">
        <v>829</v>
      </c>
      <c r="G175" s="63">
        <v>89.78</v>
      </c>
      <c r="H175" s="63">
        <v>108.63</v>
      </c>
      <c r="I175" s="65"/>
      <c r="J175" s="66"/>
    </row>
    <row r="176" spans="1:10" x14ac:dyDescent="0.2">
      <c r="A176" s="93" t="s">
        <v>467</v>
      </c>
      <c r="B176" s="93" t="s">
        <v>1029</v>
      </c>
      <c r="C176" s="93" t="s">
        <v>1030</v>
      </c>
      <c r="D176" s="94" t="s">
        <v>931</v>
      </c>
      <c r="E176" s="95" t="s">
        <v>917</v>
      </c>
      <c r="F176" s="96" t="s">
        <v>918</v>
      </c>
      <c r="G176" s="97">
        <v>96.11</v>
      </c>
      <c r="H176" s="97">
        <v>116.29</v>
      </c>
      <c r="I176" s="98"/>
      <c r="J176" s="99"/>
    </row>
    <row r="177" spans="1:10" x14ac:dyDescent="0.2">
      <c r="A177" s="55" t="s">
        <v>467</v>
      </c>
      <c r="B177" s="55" t="s">
        <v>1029</v>
      </c>
      <c r="C177" s="55" t="s">
        <v>1030</v>
      </c>
      <c r="D177" s="56" t="s">
        <v>931</v>
      </c>
      <c r="E177" s="100" t="s">
        <v>919</v>
      </c>
      <c r="F177" s="56" t="s">
        <v>829</v>
      </c>
      <c r="G177" s="57">
        <v>128.15</v>
      </c>
      <c r="H177" s="57">
        <v>155.06</v>
      </c>
      <c r="I177" s="59"/>
      <c r="J177" s="60"/>
    </row>
    <row r="178" spans="1:10" x14ac:dyDescent="0.2">
      <c r="A178" s="85" t="s">
        <v>467</v>
      </c>
      <c r="B178" s="85" t="s">
        <v>1031</v>
      </c>
      <c r="C178" s="85" t="s">
        <v>1032</v>
      </c>
      <c r="D178" s="86" t="s">
        <v>916</v>
      </c>
      <c r="E178" s="87" t="s">
        <v>917</v>
      </c>
      <c r="F178" s="88" t="s">
        <v>918</v>
      </c>
      <c r="G178" s="89">
        <v>337.77</v>
      </c>
      <c r="H178" s="89">
        <v>408.7</v>
      </c>
      <c r="I178" s="90"/>
      <c r="J178" s="91"/>
    </row>
    <row r="179" spans="1:10" x14ac:dyDescent="0.2">
      <c r="A179" s="61" t="s">
        <v>467</v>
      </c>
      <c r="B179" s="61" t="s">
        <v>1031</v>
      </c>
      <c r="C179" s="61" t="s">
        <v>1032</v>
      </c>
      <c r="D179" s="62" t="s">
        <v>916</v>
      </c>
      <c r="E179" s="92" t="s">
        <v>919</v>
      </c>
      <c r="F179" s="62" t="s">
        <v>829</v>
      </c>
      <c r="G179" s="63">
        <v>519.64</v>
      </c>
      <c r="H179" s="63">
        <v>628.76</v>
      </c>
      <c r="I179" s="65"/>
      <c r="J179" s="66"/>
    </row>
    <row r="180" spans="1:10" x14ac:dyDescent="0.2">
      <c r="A180" s="93" t="s">
        <v>467</v>
      </c>
      <c r="B180" s="93" t="s">
        <v>1033</v>
      </c>
      <c r="C180" s="93" t="s">
        <v>988</v>
      </c>
      <c r="D180" s="94" t="s">
        <v>939</v>
      </c>
      <c r="E180" s="95" t="s">
        <v>917</v>
      </c>
      <c r="F180" s="96" t="s">
        <v>918</v>
      </c>
      <c r="G180" s="97">
        <v>106.97</v>
      </c>
      <c r="H180" s="97">
        <v>129.43</v>
      </c>
      <c r="I180" s="98"/>
      <c r="J180" s="99"/>
    </row>
    <row r="181" spans="1:10" x14ac:dyDescent="0.2">
      <c r="A181" s="55" t="s">
        <v>467</v>
      </c>
      <c r="B181" s="55" t="s">
        <v>1033</v>
      </c>
      <c r="C181" s="55" t="s">
        <v>988</v>
      </c>
      <c r="D181" s="56" t="s">
        <v>939</v>
      </c>
      <c r="E181" s="100" t="s">
        <v>919</v>
      </c>
      <c r="F181" s="56" t="s">
        <v>829</v>
      </c>
      <c r="G181" s="57">
        <v>172.53</v>
      </c>
      <c r="H181" s="57">
        <v>208.76</v>
      </c>
      <c r="I181" s="59"/>
      <c r="J181" s="60"/>
    </row>
    <row r="182" spans="1:10" x14ac:dyDescent="0.2">
      <c r="A182" s="85" t="s">
        <v>467</v>
      </c>
      <c r="B182" s="85" t="s">
        <v>1033</v>
      </c>
      <c r="C182" s="85" t="s">
        <v>989</v>
      </c>
      <c r="D182" s="86" t="s">
        <v>939</v>
      </c>
      <c r="E182" s="87" t="s">
        <v>917</v>
      </c>
      <c r="F182" s="88" t="s">
        <v>918</v>
      </c>
      <c r="G182" s="89">
        <v>93.34</v>
      </c>
      <c r="H182" s="89">
        <v>112.94</v>
      </c>
      <c r="I182" s="90"/>
      <c r="J182" s="91"/>
    </row>
    <row r="183" spans="1:10" x14ac:dyDescent="0.2">
      <c r="A183" s="61" t="s">
        <v>467</v>
      </c>
      <c r="B183" s="61" t="s">
        <v>1033</v>
      </c>
      <c r="C183" s="61" t="s">
        <v>989</v>
      </c>
      <c r="D183" s="62" t="s">
        <v>939</v>
      </c>
      <c r="E183" s="92" t="s">
        <v>919</v>
      </c>
      <c r="F183" s="62" t="s">
        <v>829</v>
      </c>
      <c r="G183" s="63">
        <v>150.55000000000001</v>
      </c>
      <c r="H183" s="63">
        <v>182.17</v>
      </c>
      <c r="I183" s="65"/>
      <c r="J183" s="66"/>
    </row>
    <row r="184" spans="1:10" x14ac:dyDescent="0.2">
      <c r="A184" s="93" t="s">
        <v>467</v>
      </c>
      <c r="B184" s="93" t="s">
        <v>1033</v>
      </c>
      <c r="C184" s="93" t="s">
        <v>990</v>
      </c>
      <c r="D184" s="94" t="s">
        <v>939</v>
      </c>
      <c r="E184" s="95" t="s">
        <v>917</v>
      </c>
      <c r="F184" s="96" t="s">
        <v>918</v>
      </c>
      <c r="G184" s="97">
        <v>108.81</v>
      </c>
      <c r="H184" s="97">
        <v>131.66</v>
      </c>
      <c r="I184" s="98"/>
      <c r="J184" s="99"/>
    </row>
    <row r="185" spans="1:10" x14ac:dyDescent="0.2">
      <c r="A185" s="55" t="s">
        <v>467</v>
      </c>
      <c r="B185" s="55" t="s">
        <v>1033</v>
      </c>
      <c r="C185" s="55" t="s">
        <v>990</v>
      </c>
      <c r="D185" s="56" t="s">
        <v>939</v>
      </c>
      <c r="E185" s="100" t="s">
        <v>919</v>
      </c>
      <c r="F185" s="56" t="s">
        <v>829</v>
      </c>
      <c r="G185" s="57">
        <v>175.49</v>
      </c>
      <c r="H185" s="57">
        <v>212.34</v>
      </c>
      <c r="I185" s="59"/>
      <c r="J185" s="60"/>
    </row>
    <row r="186" spans="1:10" x14ac:dyDescent="0.2">
      <c r="A186" s="85" t="s">
        <v>467</v>
      </c>
      <c r="B186" s="85" t="s">
        <v>1033</v>
      </c>
      <c r="C186" s="85" t="s">
        <v>991</v>
      </c>
      <c r="D186" s="86" t="s">
        <v>939</v>
      </c>
      <c r="E186" s="87" t="s">
        <v>917</v>
      </c>
      <c r="F186" s="88" t="s">
        <v>918</v>
      </c>
      <c r="G186" s="89">
        <v>96.2</v>
      </c>
      <c r="H186" s="89">
        <v>116.4</v>
      </c>
      <c r="I186" s="90"/>
      <c r="J186" s="91"/>
    </row>
    <row r="187" spans="1:10" x14ac:dyDescent="0.2">
      <c r="A187" s="61" t="s">
        <v>467</v>
      </c>
      <c r="B187" s="61" t="s">
        <v>1033</v>
      </c>
      <c r="C187" s="61" t="s">
        <v>991</v>
      </c>
      <c r="D187" s="62" t="s">
        <v>939</v>
      </c>
      <c r="E187" s="92" t="s">
        <v>919</v>
      </c>
      <c r="F187" s="62" t="s">
        <v>829</v>
      </c>
      <c r="G187" s="63">
        <v>155.16</v>
      </c>
      <c r="H187" s="63">
        <v>187.74</v>
      </c>
      <c r="I187" s="65"/>
      <c r="J187" s="66"/>
    </row>
    <row r="188" spans="1:10" x14ac:dyDescent="0.2">
      <c r="A188" s="93" t="s">
        <v>467</v>
      </c>
      <c r="B188" s="93" t="s">
        <v>1034</v>
      </c>
      <c r="C188" s="93" t="s">
        <v>1035</v>
      </c>
      <c r="D188" s="94" t="s">
        <v>916</v>
      </c>
      <c r="E188" s="95" t="s">
        <v>917</v>
      </c>
      <c r="F188" s="96" t="s">
        <v>918</v>
      </c>
      <c r="G188" s="97">
        <v>114.6</v>
      </c>
      <c r="H188" s="97">
        <v>138.66999999999999</v>
      </c>
      <c r="I188" s="98"/>
      <c r="J188" s="99"/>
    </row>
    <row r="189" spans="1:10" x14ac:dyDescent="0.2">
      <c r="A189" s="55" t="s">
        <v>467</v>
      </c>
      <c r="B189" s="55" t="s">
        <v>1034</v>
      </c>
      <c r="C189" s="55" t="s">
        <v>1035</v>
      </c>
      <c r="D189" s="56" t="s">
        <v>916</v>
      </c>
      <c r="E189" s="100" t="s">
        <v>919</v>
      </c>
      <c r="F189" s="56" t="s">
        <v>829</v>
      </c>
      <c r="G189" s="57">
        <v>176.31</v>
      </c>
      <c r="H189" s="57">
        <v>213.34</v>
      </c>
      <c r="I189" s="59"/>
      <c r="J189" s="60"/>
    </row>
    <row r="190" spans="1:10" x14ac:dyDescent="0.2">
      <c r="A190" s="85" t="s">
        <v>467</v>
      </c>
      <c r="B190" s="85" t="s">
        <v>1036</v>
      </c>
      <c r="C190" s="85" t="s">
        <v>925</v>
      </c>
      <c r="D190" s="86" t="s">
        <v>916</v>
      </c>
      <c r="E190" s="87" t="s">
        <v>917</v>
      </c>
      <c r="F190" s="88" t="s">
        <v>918</v>
      </c>
      <c r="G190" s="89">
        <v>173.92</v>
      </c>
      <c r="H190" s="89">
        <v>210.44</v>
      </c>
      <c r="I190" s="90"/>
      <c r="J190" s="91"/>
    </row>
    <row r="191" spans="1:10" x14ac:dyDescent="0.2">
      <c r="A191" s="61" t="s">
        <v>467</v>
      </c>
      <c r="B191" s="61" t="s">
        <v>1036</v>
      </c>
      <c r="C191" s="61" t="s">
        <v>925</v>
      </c>
      <c r="D191" s="62" t="s">
        <v>916</v>
      </c>
      <c r="E191" s="92" t="s">
        <v>919</v>
      </c>
      <c r="F191" s="62" t="s">
        <v>829</v>
      </c>
      <c r="G191" s="63">
        <v>267.57</v>
      </c>
      <c r="H191" s="63">
        <v>323.76</v>
      </c>
      <c r="I191" s="65"/>
      <c r="J191" s="66"/>
    </row>
    <row r="192" spans="1:10" x14ac:dyDescent="0.2">
      <c r="A192" s="93" t="s">
        <v>467</v>
      </c>
      <c r="B192" s="93" t="s">
        <v>1037</v>
      </c>
      <c r="C192" s="93" t="s">
        <v>1038</v>
      </c>
      <c r="D192" s="94" t="s">
        <v>916</v>
      </c>
      <c r="E192" s="95" t="s">
        <v>917</v>
      </c>
      <c r="F192" s="96" t="s">
        <v>918</v>
      </c>
      <c r="G192" s="97">
        <v>361.89</v>
      </c>
      <c r="H192" s="97">
        <v>437.89</v>
      </c>
      <c r="I192" s="98"/>
      <c r="J192" s="99"/>
    </row>
    <row r="193" spans="1:10" x14ac:dyDescent="0.2">
      <c r="A193" s="55" t="s">
        <v>467</v>
      </c>
      <c r="B193" s="55" t="s">
        <v>1037</v>
      </c>
      <c r="C193" s="55" t="s">
        <v>1038</v>
      </c>
      <c r="D193" s="56" t="s">
        <v>916</v>
      </c>
      <c r="E193" s="100" t="s">
        <v>919</v>
      </c>
      <c r="F193" s="56" t="s">
        <v>829</v>
      </c>
      <c r="G193" s="57">
        <v>556.76</v>
      </c>
      <c r="H193" s="57">
        <v>673.68</v>
      </c>
      <c r="I193" s="59"/>
      <c r="J193" s="60"/>
    </row>
    <row r="194" spans="1:10" x14ac:dyDescent="0.2">
      <c r="A194" s="85" t="s">
        <v>467</v>
      </c>
      <c r="B194" s="85" t="s">
        <v>1037</v>
      </c>
      <c r="C194" s="85" t="s">
        <v>1039</v>
      </c>
      <c r="D194" s="86" t="s">
        <v>916</v>
      </c>
      <c r="E194" s="87" t="s">
        <v>917</v>
      </c>
      <c r="F194" s="88" t="s">
        <v>918</v>
      </c>
      <c r="G194" s="89">
        <v>368.6</v>
      </c>
      <c r="H194" s="89">
        <v>446.01</v>
      </c>
      <c r="I194" s="90"/>
      <c r="J194" s="91"/>
    </row>
    <row r="195" spans="1:10" x14ac:dyDescent="0.2">
      <c r="A195" s="61" t="s">
        <v>467</v>
      </c>
      <c r="B195" s="61" t="s">
        <v>1037</v>
      </c>
      <c r="C195" s="61" t="s">
        <v>1039</v>
      </c>
      <c r="D195" s="62" t="s">
        <v>916</v>
      </c>
      <c r="E195" s="92" t="s">
        <v>919</v>
      </c>
      <c r="F195" s="62" t="s">
        <v>829</v>
      </c>
      <c r="G195" s="63">
        <v>567.07000000000005</v>
      </c>
      <c r="H195" s="63">
        <v>686.15</v>
      </c>
      <c r="I195" s="65"/>
      <c r="J195" s="66"/>
    </row>
    <row r="196" spans="1:10" x14ac:dyDescent="0.2">
      <c r="A196" s="93" t="s">
        <v>467</v>
      </c>
      <c r="B196" s="93" t="s">
        <v>1037</v>
      </c>
      <c r="C196" s="93" t="s">
        <v>1040</v>
      </c>
      <c r="D196" s="94" t="s">
        <v>916</v>
      </c>
      <c r="E196" s="95" t="s">
        <v>917</v>
      </c>
      <c r="F196" s="96" t="s">
        <v>918</v>
      </c>
      <c r="G196" s="97">
        <v>258.36</v>
      </c>
      <c r="H196" s="97">
        <v>312.62</v>
      </c>
      <c r="I196" s="98"/>
      <c r="J196" s="99"/>
    </row>
    <row r="197" spans="1:10" x14ac:dyDescent="0.2">
      <c r="A197" s="55" t="s">
        <v>467</v>
      </c>
      <c r="B197" s="55" t="s">
        <v>1037</v>
      </c>
      <c r="C197" s="55" t="s">
        <v>1040</v>
      </c>
      <c r="D197" s="56" t="s">
        <v>916</v>
      </c>
      <c r="E197" s="100" t="s">
        <v>919</v>
      </c>
      <c r="F197" s="56" t="s">
        <v>829</v>
      </c>
      <c r="G197" s="57">
        <v>397.47</v>
      </c>
      <c r="H197" s="57">
        <v>480.94</v>
      </c>
      <c r="I197" s="59"/>
      <c r="J197" s="60"/>
    </row>
    <row r="198" spans="1:10" x14ac:dyDescent="0.2">
      <c r="A198" s="85" t="s">
        <v>467</v>
      </c>
      <c r="B198" s="85" t="s">
        <v>1037</v>
      </c>
      <c r="C198" s="85" t="s">
        <v>1041</v>
      </c>
      <c r="D198" s="86" t="s">
        <v>916</v>
      </c>
      <c r="E198" s="87" t="s">
        <v>917</v>
      </c>
      <c r="F198" s="88" t="s">
        <v>918</v>
      </c>
      <c r="G198" s="89">
        <v>226.39</v>
      </c>
      <c r="H198" s="89">
        <v>273.93</v>
      </c>
      <c r="I198" s="90"/>
      <c r="J198" s="91"/>
    </row>
    <row r="199" spans="1:10" x14ac:dyDescent="0.2">
      <c r="A199" s="61" t="s">
        <v>467</v>
      </c>
      <c r="B199" s="61" t="s">
        <v>1037</v>
      </c>
      <c r="C199" s="61" t="s">
        <v>1041</v>
      </c>
      <c r="D199" s="62" t="s">
        <v>916</v>
      </c>
      <c r="E199" s="92" t="s">
        <v>919</v>
      </c>
      <c r="F199" s="62" t="s">
        <v>829</v>
      </c>
      <c r="G199" s="63">
        <v>348.29</v>
      </c>
      <c r="H199" s="63">
        <v>421.43</v>
      </c>
      <c r="I199" s="65"/>
      <c r="J199" s="66"/>
    </row>
    <row r="200" spans="1:10" x14ac:dyDescent="0.2">
      <c r="A200" s="93" t="s">
        <v>467</v>
      </c>
      <c r="B200" s="93" t="s">
        <v>1037</v>
      </c>
      <c r="C200" s="93" t="s">
        <v>1042</v>
      </c>
      <c r="D200" s="94" t="s">
        <v>916</v>
      </c>
      <c r="E200" s="95" t="s">
        <v>917</v>
      </c>
      <c r="F200" s="96" t="s">
        <v>918</v>
      </c>
      <c r="G200" s="97">
        <v>226.79</v>
      </c>
      <c r="H200" s="97">
        <v>274.42</v>
      </c>
      <c r="I200" s="98"/>
      <c r="J200" s="99"/>
    </row>
    <row r="201" spans="1:10" x14ac:dyDescent="0.2">
      <c r="A201" s="55" t="s">
        <v>467</v>
      </c>
      <c r="B201" s="55" t="s">
        <v>1037</v>
      </c>
      <c r="C201" s="55" t="s">
        <v>1042</v>
      </c>
      <c r="D201" s="56" t="s">
        <v>916</v>
      </c>
      <c r="E201" s="100" t="s">
        <v>919</v>
      </c>
      <c r="F201" s="56" t="s">
        <v>829</v>
      </c>
      <c r="G201" s="57">
        <v>348.9</v>
      </c>
      <c r="H201" s="57">
        <v>422.17</v>
      </c>
      <c r="I201" s="59"/>
      <c r="J201" s="60"/>
    </row>
    <row r="202" spans="1:10" x14ac:dyDescent="0.2">
      <c r="A202" s="85" t="s">
        <v>467</v>
      </c>
      <c r="B202" s="85" t="s">
        <v>1037</v>
      </c>
      <c r="C202" s="85" t="s">
        <v>1043</v>
      </c>
      <c r="D202" s="86" t="s">
        <v>916</v>
      </c>
      <c r="E202" s="87" t="s">
        <v>917</v>
      </c>
      <c r="F202" s="88" t="s">
        <v>918</v>
      </c>
      <c r="G202" s="89">
        <v>258.75</v>
      </c>
      <c r="H202" s="89">
        <v>313.08999999999997</v>
      </c>
      <c r="I202" s="90"/>
      <c r="J202" s="91"/>
    </row>
    <row r="203" spans="1:10" x14ac:dyDescent="0.2">
      <c r="A203" s="61" t="s">
        <v>467</v>
      </c>
      <c r="B203" s="61" t="s">
        <v>1037</v>
      </c>
      <c r="C203" s="61" t="s">
        <v>1043</v>
      </c>
      <c r="D203" s="62" t="s">
        <v>916</v>
      </c>
      <c r="E203" s="92" t="s">
        <v>919</v>
      </c>
      <c r="F203" s="62" t="s">
        <v>829</v>
      </c>
      <c r="G203" s="63">
        <v>398.08</v>
      </c>
      <c r="H203" s="63">
        <v>481.68</v>
      </c>
      <c r="I203" s="65"/>
      <c r="J203" s="66"/>
    </row>
    <row r="204" spans="1:10" x14ac:dyDescent="0.2">
      <c r="A204" s="93" t="s">
        <v>467</v>
      </c>
      <c r="B204" s="93" t="s">
        <v>1037</v>
      </c>
      <c r="C204" s="93" t="s">
        <v>1044</v>
      </c>
      <c r="D204" s="94" t="s">
        <v>916</v>
      </c>
      <c r="E204" s="95" t="s">
        <v>917</v>
      </c>
      <c r="F204" s="96" t="s">
        <v>918</v>
      </c>
      <c r="G204" s="97">
        <v>205.19</v>
      </c>
      <c r="H204" s="97">
        <v>248.28</v>
      </c>
      <c r="I204" s="98"/>
      <c r="J204" s="99"/>
    </row>
    <row r="205" spans="1:10" x14ac:dyDescent="0.2">
      <c r="A205" s="55" t="s">
        <v>467</v>
      </c>
      <c r="B205" s="55" t="s">
        <v>1037</v>
      </c>
      <c r="C205" s="55" t="s">
        <v>1044</v>
      </c>
      <c r="D205" s="56" t="s">
        <v>916</v>
      </c>
      <c r="E205" s="100" t="s">
        <v>919</v>
      </c>
      <c r="F205" s="56" t="s">
        <v>829</v>
      </c>
      <c r="G205" s="57">
        <v>315.68</v>
      </c>
      <c r="H205" s="57">
        <v>381.97</v>
      </c>
      <c r="I205" s="59"/>
      <c r="J205" s="60"/>
    </row>
    <row r="206" spans="1:10" x14ac:dyDescent="0.2">
      <c r="A206" s="85" t="s">
        <v>467</v>
      </c>
      <c r="B206" s="85" t="s">
        <v>1037</v>
      </c>
      <c r="C206" s="85" t="s">
        <v>1045</v>
      </c>
      <c r="D206" s="86" t="s">
        <v>916</v>
      </c>
      <c r="E206" s="87" t="s">
        <v>917</v>
      </c>
      <c r="F206" s="88" t="s">
        <v>918</v>
      </c>
      <c r="G206" s="89">
        <v>211.05</v>
      </c>
      <c r="H206" s="89">
        <v>255.37</v>
      </c>
      <c r="I206" s="90"/>
      <c r="J206" s="91"/>
    </row>
    <row r="207" spans="1:10" x14ac:dyDescent="0.2">
      <c r="A207" s="61" t="s">
        <v>467</v>
      </c>
      <c r="B207" s="61" t="s">
        <v>1037</v>
      </c>
      <c r="C207" s="61" t="s">
        <v>1045</v>
      </c>
      <c r="D207" s="62" t="s">
        <v>916</v>
      </c>
      <c r="E207" s="92" t="s">
        <v>919</v>
      </c>
      <c r="F207" s="62" t="s">
        <v>829</v>
      </c>
      <c r="G207" s="63">
        <v>324.68</v>
      </c>
      <c r="H207" s="63">
        <v>392.86</v>
      </c>
      <c r="I207" s="65"/>
      <c r="J207" s="66"/>
    </row>
    <row r="208" spans="1:10" x14ac:dyDescent="0.2">
      <c r="A208" s="93" t="s">
        <v>467</v>
      </c>
      <c r="B208" s="93" t="s">
        <v>1046</v>
      </c>
      <c r="C208" s="93" t="s">
        <v>1000</v>
      </c>
      <c r="D208" s="94" t="s">
        <v>916</v>
      </c>
      <c r="E208" s="95" t="s">
        <v>917</v>
      </c>
      <c r="F208" s="96" t="s">
        <v>918</v>
      </c>
      <c r="G208" s="97">
        <v>89.71</v>
      </c>
      <c r="H208" s="97">
        <v>108.55</v>
      </c>
      <c r="I208" s="98"/>
      <c r="J208" s="99"/>
    </row>
    <row r="209" spans="1:10" x14ac:dyDescent="0.2">
      <c r="A209" s="55" t="s">
        <v>467</v>
      </c>
      <c r="B209" s="55" t="s">
        <v>1046</v>
      </c>
      <c r="C209" s="55" t="s">
        <v>1000</v>
      </c>
      <c r="D209" s="56" t="s">
        <v>916</v>
      </c>
      <c r="E209" s="100" t="s">
        <v>919</v>
      </c>
      <c r="F209" s="56" t="s">
        <v>829</v>
      </c>
      <c r="G209" s="57">
        <v>138.02000000000001</v>
      </c>
      <c r="H209" s="57">
        <v>167</v>
      </c>
      <c r="I209" s="59"/>
      <c r="J209" s="60"/>
    </row>
    <row r="210" spans="1:10" x14ac:dyDescent="0.2">
      <c r="A210" s="85" t="s">
        <v>467</v>
      </c>
      <c r="B210" s="85" t="s">
        <v>1046</v>
      </c>
      <c r="C210" s="85" t="s">
        <v>1001</v>
      </c>
      <c r="D210" s="86" t="s">
        <v>916</v>
      </c>
      <c r="E210" s="87" t="s">
        <v>917</v>
      </c>
      <c r="F210" s="88" t="s">
        <v>918</v>
      </c>
      <c r="G210" s="89">
        <v>94.05</v>
      </c>
      <c r="H210" s="89">
        <v>113.8</v>
      </c>
      <c r="I210" s="90"/>
      <c r="J210" s="91"/>
    </row>
    <row r="211" spans="1:10" x14ac:dyDescent="0.2">
      <c r="A211" s="61" t="s">
        <v>467</v>
      </c>
      <c r="B211" s="61" t="s">
        <v>1046</v>
      </c>
      <c r="C211" s="61" t="s">
        <v>1001</v>
      </c>
      <c r="D211" s="62" t="s">
        <v>916</v>
      </c>
      <c r="E211" s="92" t="s">
        <v>919</v>
      </c>
      <c r="F211" s="62" t="s">
        <v>829</v>
      </c>
      <c r="G211" s="63">
        <v>144.68</v>
      </c>
      <c r="H211" s="63">
        <v>175.06</v>
      </c>
      <c r="I211" s="65"/>
      <c r="J211" s="66"/>
    </row>
    <row r="212" spans="1:10" x14ac:dyDescent="0.2">
      <c r="A212" s="93" t="s">
        <v>467</v>
      </c>
      <c r="B212" s="93" t="s">
        <v>1047</v>
      </c>
      <c r="C212" s="93" t="s">
        <v>1048</v>
      </c>
      <c r="D212" s="94" t="s">
        <v>931</v>
      </c>
      <c r="E212" s="95" t="s">
        <v>917</v>
      </c>
      <c r="F212" s="96" t="s">
        <v>918</v>
      </c>
      <c r="G212" s="97">
        <v>975.21</v>
      </c>
      <c r="H212" s="97">
        <v>1180</v>
      </c>
      <c r="I212" s="98"/>
      <c r="J212" s="99"/>
    </row>
    <row r="213" spans="1:10" x14ac:dyDescent="0.2">
      <c r="A213" s="55" t="s">
        <v>467</v>
      </c>
      <c r="B213" s="55" t="s">
        <v>1047</v>
      </c>
      <c r="C213" s="55" t="s">
        <v>1048</v>
      </c>
      <c r="D213" s="56" t="s">
        <v>931</v>
      </c>
      <c r="E213" s="100" t="s">
        <v>919</v>
      </c>
      <c r="F213" s="56" t="s">
        <v>829</v>
      </c>
      <c r="G213" s="57">
        <v>1300.28</v>
      </c>
      <c r="H213" s="57">
        <v>1573.34</v>
      </c>
      <c r="I213" s="59"/>
      <c r="J213" s="60"/>
    </row>
    <row r="214" spans="1:10" x14ac:dyDescent="0.2">
      <c r="A214" s="85" t="s">
        <v>467</v>
      </c>
      <c r="B214" s="85" t="s">
        <v>1047</v>
      </c>
      <c r="C214" s="85" t="s">
        <v>1049</v>
      </c>
      <c r="D214" s="86" t="s">
        <v>931</v>
      </c>
      <c r="E214" s="87" t="s">
        <v>917</v>
      </c>
      <c r="F214" s="88" t="s">
        <v>918</v>
      </c>
      <c r="G214" s="89">
        <v>987.56</v>
      </c>
      <c r="H214" s="89">
        <v>1194.95</v>
      </c>
      <c r="I214" s="90"/>
      <c r="J214" s="91"/>
    </row>
    <row r="215" spans="1:10" x14ac:dyDescent="0.2">
      <c r="A215" s="61" t="s">
        <v>467</v>
      </c>
      <c r="B215" s="61" t="s">
        <v>1047</v>
      </c>
      <c r="C215" s="61" t="s">
        <v>1049</v>
      </c>
      <c r="D215" s="62" t="s">
        <v>931</v>
      </c>
      <c r="E215" s="92" t="s">
        <v>919</v>
      </c>
      <c r="F215" s="62" t="s">
        <v>829</v>
      </c>
      <c r="G215" s="63">
        <v>1316.74</v>
      </c>
      <c r="H215" s="63">
        <v>1593.26</v>
      </c>
      <c r="I215" s="65"/>
      <c r="J215" s="66"/>
    </row>
    <row r="216" spans="1:10" x14ac:dyDescent="0.2">
      <c r="A216" s="93" t="s">
        <v>467</v>
      </c>
      <c r="B216" s="93" t="s">
        <v>1047</v>
      </c>
      <c r="C216" s="93" t="s">
        <v>1050</v>
      </c>
      <c r="D216" s="94" t="s">
        <v>931</v>
      </c>
      <c r="E216" s="95" t="s">
        <v>917</v>
      </c>
      <c r="F216" s="96" t="s">
        <v>918</v>
      </c>
      <c r="G216" s="97">
        <v>1250.19</v>
      </c>
      <c r="H216" s="97">
        <v>1512.73</v>
      </c>
      <c r="I216" s="98"/>
      <c r="J216" s="99"/>
    </row>
    <row r="217" spans="1:10" x14ac:dyDescent="0.2">
      <c r="A217" s="55" t="s">
        <v>467</v>
      </c>
      <c r="B217" s="55" t="s">
        <v>1047</v>
      </c>
      <c r="C217" s="55" t="s">
        <v>1050</v>
      </c>
      <c r="D217" s="56" t="s">
        <v>931</v>
      </c>
      <c r="E217" s="100" t="s">
        <v>919</v>
      </c>
      <c r="F217" s="56" t="s">
        <v>829</v>
      </c>
      <c r="G217" s="57">
        <v>1666.92</v>
      </c>
      <c r="H217" s="57">
        <v>2016.97</v>
      </c>
      <c r="I217" s="59"/>
      <c r="J217" s="60"/>
    </row>
    <row r="218" spans="1:10" x14ac:dyDescent="0.2">
      <c r="A218" s="85" t="s">
        <v>467</v>
      </c>
      <c r="B218" s="85" t="s">
        <v>1047</v>
      </c>
      <c r="C218" s="85" t="s">
        <v>1051</v>
      </c>
      <c r="D218" s="86" t="s">
        <v>931</v>
      </c>
      <c r="E218" s="87" t="s">
        <v>917</v>
      </c>
      <c r="F218" s="88" t="s">
        <v>918</v>
      </c>
      <c r="G218" s="89">
        <v>1423.37</v>
      </c>
      <c r="H218" s="89">
        <v>1722.28</v>
      </c>
      <c r="I218" s="90"/>
      <c r="J218" s="91"/>
    </row>
    <row r="219" spans="1:10" x14ac:dyDescent="0.2">
      <c r="A219" s="61" t="s">
        <v>467</v>
      </c>
      <c r="B219" s="61" t="s">
        <v>1047</v>
      </c>
      <c r="C219" s="61" t="s">
        <v>1051</v>
      </c>
      <c r="D219" s="62" t="s">
        <v>931</v>
      </c>
      <c r="E219" s="92" t="s">
        <v>919</v>
      </c>
      <c r="F219" s="62" t="s">
        <v>829</v>
      </c>
      <c r="G219" s="63">
        <v>1897.82</v>
      </c>
      <c r="H219" s="63">
        <v>2296.36</v>
      </c>
      <c r="I219" s="65"/>
      <c r="J219" s="66"/>
    </row>
    <row r="220" spans="1:10" x14ac:dyDescent="0.2">
      <c r="A220" s="93" t="s">
        <v>467</v>
      </c>
      <c r="B220" s="93" t="s">
        <v>1052</v>
      </c>
      <c r="C220" s="93" t="s">
        <v>949</v>
      </c>
      <c r="D220" s="94" t="s">
        <v>931</v>
      </c>
      <c r="E220" s="95" t="s">
        <v>917</v>
      </c>
      <c r="F220" s="96" t="s">
        <v>918</v>
      </c>
      <c r="G220" s="97">
        <v>60.67</v>
      </c>
      <c r="H220" s="97">
        <v>73.41</v>
      </c>
      <c r="I220" s="98"/>
      <c r="J220" s="99"/>
    </row>
    <row r="221" spans="1:10" x14ac:dyDescent="0.2">
      <c r="A221" s="55" t="s">
        <v>467</v>
      </c>
      <c r="B221" s="55" t="s">
        <v>1052</v>
      </c>
      <c r="C221" s="55" t="s">
        <v>949</v>
      </c>
      <c r="D221" s="56" t="s">
        <v>931</v>
      </c>
      <c r="E221" s="100" t="s">
        <v>919</v>
      </c>
      <c r="F221" s="56" t="s">
        <v>829</v>
      </c>
      <c r="G221" s="57">
        <v>80.89</v>
      </c>
      <c r="H221" s="57">
        <v>97.88</v>
      </c>
      <c r="I221" s="59"/>
      <c r="J221" s="60"/>
    </row>
    <row r="222" spans="1:10" x14ac:dyDescent="0.2">
      <c r="A222" s="85" t="s">
        <v>467</v>
      </c>
      <c r="B222" s="85" t="s">
        <v>1053</v>
      </c>
      <c r="C222" s="85" t="s">
        <v>938</v>
      </c>
      <c r="D222" s="86" t="s">
        <v>939</v>
      </c>
      <c r="E222" s="87" t="s">
        <v>917</v>
      </c>
      <c r="F222" s="88" t="s">
        <v>918</v>
      </c>
      <c r="G222" s="89">
        <v>14.17</v>
      </c>
      <c r="H222" s="89">
        <v>17.149999999999999</v>
      </c>
      <c r="I222" s="90"/>
      <c r="J222" s="91"/>
    </row>
    <row r="223" spans="1:10" x14ac:dyDescent="0.2">
      <c r="A223" s="61" t="s">
        <v>467</v>
      </c>
      <c r="B223" s="61" t="s">
        <v>1053</v>
      </c>
      <c r="C223" s="61" t="s">
        <v>938</v>
      </c>
      <c r="D223" s="62" t="s">
        <v>939</v>
      </c>
      <c r="E223" s="92" t="s">
        <v>919</v>
      </c>
      <c r="F223" s="62" t="s">
        <v>829</v>
      </c>
      <c r="G223" s="63">
        <v>22.86</v>
      </c>
      <c r="H223" s="63">
        <v>27.66</v>
      </c>
      <c r="I223" s="65"/>
      <c r="J223" s="66"/>
    </row>
    <row r="224" spans="1:10" x14ac:dyDescent="0.2">
      <c r="A224" s="93" t="s">
        <v>467</v>
      </c>
      <c r="B224" s="93" t="s">
        <v>1053</v>
      </c>
      <c r="C224" s="93" t="s">
        <v>1054</v>
      </c>
      <c r="D224" s="94" t="s">
        <v>939</v>
      </c>
      <c r="E224" s="95" t="s">
        <v>917</v>
      </c>
      <c r="F224" s="96" t="s">
        <v>918</v>
      </c>
      <c r="G224" s="97">
        <v>14.95</v>
      </c>
      <c r="H224" s="97">
        <v>18.09</v>
      </c>
      <c r="I224" s="98"/>
      <c r="J224" s="99"/>
    </row>
    <row r="225" spans="1:10" x14ac:dyDescent="0.2">
      <c r="A225" s="55" t="s">
        <v>467</v>
      </c>
      <c r="B225" s="55" t="s">
        <v>1053</v>
      </c>
      <c r="C225" s="55" t="s">
        <v>1054</v>
      </c>
      <c r="D225" s="56" t="s">
        <v>939</v>
      </c>
      <c r="E225" s="100" t="s">
        <v>919</v>
      </c>
      <c r="F225" s="56" t="s">
        <v>829</v>
      </c>
      <c r="G225" s="57">
        <v>24.11</v>
      </c>
      <c r="H225" s="57">
        <v>29.17</v>
      </c>
      <c r="I225" s="59"/>
      <c r="J225" s="60"/>
    </row>
    <row r="226" spans="1:10" x14ac:dyDescent="0.2">
      <c r="A226" s="85" t="s">
        <v>467</v>
      </c>
      <c r="B226" s="85" t="s">
        <v>1055</v>
      </c>
      <c r="C226" s="85" t="s">
        <v>938</v>
      </c>
      <c r="D226" s="86" t="s">
        <v>939</v>
      </c>
      <c r="E226" s="87" t="s">
        <v>917</v>
      </c>
      <c r="F226" s="88" t="s">
        <v>918</v>
      </c>
      <c r="G226" s="89">
        <v>17.13</v>
      </c>
      <c r="H226" s="89">
        <v>20.73</v>
      </c>
      <c r="I226" s="90"/>
      <c r="J226" s="91"/>
    </row>
    <row r="227" spans="1:10" x14ac:dyDescent="0.2">
      <c r="A227" s="61" t="s">
        <v>467</v>
      </c>
      <c r="B227" s="61" t="s">
        <v>1055</v>
      </c>
      <c r="C227" s="61" t="s">
        <v>938</v>
      </c>
      <c r="D227" s="62" t="s">
        <v>939</v>
      </c>
      <c r="E227" s="92" t="s">
        <v>919</v>
      </c>
      <c r="F227" s="62" t="s">
        <v>829</v>
      </c>
      <c r="G227" s="63">
        <v>27.63</v>
      </c>
      <c r="H227" s="63">
        <v>33.43</v>
      </c>
      <c r="I227" s="65"/>
      <c r="J227" s="66"/>
    </row>
    <row r="228" spans="1:10" x14ac:dyDescent="0.2">
      <c r="A228" s="93" t="s">
        <v>467</v>
      </c>
      <c r="B228" s="93" t="s">
        <v>1055</v>
      </c>
      <c r="C228" s="93" t="s">
        <v>1056</v>
      </c>
      <c r="D228" s="94" t="s">
        <v>939</v>
      </c>
      <c r="E228" s="95" t="s">
        <v>917</v>
      </c>
      <c r="F228" s="96" t="s">
        <v>918</v>
      </c>
      <c r="G228" s="97">
        <v>17.63</v>
      </c>
      <c r="H228" s="97">
        <v>21.33</v>
      </c>
      <c r="I228" s="98"/>
      <c r="J228" s="99"/>
    </row>
    <row r="229" spans="1:10" x14ac:dyDescent="0.2">
      <c r="A229" s="55" t="s">
        <v>467</v>
      </c>
      <c r="B229" s="55" t="s">
        <v>1055</v>
      </c>
      <c r="C229" s="55" t="s">
        <v>1056</v>
      </c>
      <c r="D229" s="56" t="s">
        <v>939</v>
      </c>
      <c r="E229" s="100" t="s">
        <v>919</v>
      </c>
      <c r="F229" s="56" t="s">
        <v>829</v>
      </c>
      <c r="G229" s="57">
        <v>28.44</v>
      </c>
      <c r="H229" s="57">
        <v>34.409999999999997</v>
      </c>
      <c r="I229" s="59"/>
      <c r="J229" s="60"/>
    </row>
    <row r="230" spans="1:10" x14ac:dyDescent="0.2">
      <c r="A230" s="85" t="s">
        <v>467</v>
      </c>
      <c r="B230" s="85" t="s">
        <v>1057</v>
      </c>
      <c r="C230" s="85" t="s">
        <v>938</v>
      </c>
      <c r="D230" s="86" t="s">
        <v>916</v>
      </c>
      <c r="E230" s="87" t="s">
        <v>917</v>
      </c>
      <c r="F230" s="88" t="s">
        <v>918</v>
      </c>
      <c r="G230" s="89">
        <v>69.97</v>
      </c>
      <c r="H230" s="89">
        <v>84.66</v>
      </c>
      <c r="I230" s="90"/>
      <c r="J230" s="91"/>
    </row>
    <row r="231" spans="1:10" x14ac:dyDescent="0.2">
      <c r="A231" s="61" t="s">
        <v>467</v>
      </c>
      <c r="B231" s="61" t="s">
        <v>1057</v>
      </c>
      <c r="C231" s="61" t="s">
        <v>938</v>
      </c>
      <c r="D231" s="62" t="s">
        <v>916</v>
      </c>
      <c r="E231" s="92" t="s">
        <v>919</v>
      </c>
      <c r="F231" s="62" t="s">
        <v>829</v>
      </c>
      <c r="G231" s="63">
        <v>107.64</v>
      </c>
      <c r="H231" s="63">
        <v>130.24</v>
      </c>
      <c r="I231" s="65"/>
      <c r="J231" s="66"/>
    </row>
    <row r="232" spans="1:10" x14ac:dyDescent="0.2">
      <c r="A232" s="93" t="s">
        <v>467</v>
      </c>
      <c r="B232" s="93" t="s">
        <v>1057</v>
      </c>
      <c r="C232" s="93" t="s">
        <v>940</v>
      </c>
      <c r="D232" s="94" t="s">
        <v>916</v>
      </c>
      <c r="E232" s="95" t="s">
        <v>917</v>
      </c>
      <c r="F232" s="96" t="s">
        <v>918</v>
      </c>
      <c r="G232" s="97">
        <v>73.58</v>
      </c>
      <c r="H232" s="97">
        <v>89.03</v>
      </c>
      <c r="I232" s="98"/>
      <c r="J232" s="99"/>
    </row>
    <row r="233" spans="1:10" x14ac:dyDescent="0.2">
      <c r="A233" s="55" t="s">
        <v>467</v>
      </c>
      <c r="B233" s="55" t="s">
        <v>1057</v>
      </c>
      <c r="C233" s="55" t="s">
        <v>940</v>
      </c>
      <c r="D233" s="56" t="s">
        <v>916</v>
      </c>
      <c r="E233" s="100" t="s">
        <v>919</v>
      </c>
      <c r="F233" s="56" t="s">
        <v>829</v>
      </c>
      <c r="G233" s="57">
        <v>113.21</v>
      </c>
      <c r="H233" s="57">
        <v>136.97999999999999</v>
      </c>
      <c r="I233" s="59"/>
      <c r="J233" s="60"/>
    </row>
    <row r="234" spans="1:10" x14ac:dyDescent="0.2">
      <c r="A234" s="85" t="s">
        <v>467</v>
      </c>
      <c r="B234" s="85" t="s">
        <v>1058</v>
      </c>
      <c r="C234" s="85" t="s">
        <v>989</v>
      </c>
      <c r="D234" s="86" t="s">
        <v>926</v>
      </c>
      <c r="E234" s="87" t="s">
        <v>917</v>
      </c>
      <c r="F234" s="88" t="s">
        <v>918</v>
      </c>
      <c r="G234" s="89">
        <v>215.24</v>
      </c>
      <c r="H234" s="89">
        <v>260.44</v>
      </c>
      <c r="I234" s="90"/>
      <c r="J234" s="91"/>
    </row>
    <row r="235" spans="1:10" x14ac:dyDescent="0.2">
      <c r="A235" s="61" t="s">
        <v>467</v>
      </c>
      <c r="B235" s="61" t="s">
        <v>1058</v>
      </c>
      <c r="C235" s="61" t="s">
        <v>989</v>
      </c>
      <c r="D235" s="62" t="s">
        <v>926</v>
      </c>
      <c r="E235" s="92" t="s">
        <v>919</v>
      </c>
      <c r="F235" s="62" t="s">
        <v>829</v>
      </c>
      <c r="G235" s="63">
        <v>331.14</v>
      </c>
      <c r="H235" s="63">
        <v>400.68</v>
      </c>
      <c r="I235" s="65"/>
      <c r="J235" s="66"/>
    </row>
    <row r="236" spans="1:10" x14ac:dyDescent="0.2">
      <c r="A236" s="93" t="s">
        <v>467</v>
      </c>
      <c r="B236" s="93" t="s">
        <v>1058</v>
      </c>
      <c r="C236" s="93" t="s">
        <v>991</v>
      </c>
      <c r="D236" s="94" t="s">
        <v>926</v>
      </c>
      <c r="E236" s="95" t="s">
        <v>917</v>
      </c>
      <c r="F236" s="96" t="s">
        <v>918</v>
      </c>
      <c r="G236" s="97">
        <v>225.25</v>
      </c>
      <c r="H236" s="97">
        <v>272.55</v>
      </c>
      <c r="I236" s="98"/>
      <c r="J236" s="99"/>
    </row>
    <row r="237" spans="1:10" x14ac:dyDescent="0.2">
      <c r="A237" s="55" t="s">
        <v>467</v>
      </c>
      <c r="B237" s="55" t="s">
        <v>1058</v>
      </c>
      <c r="C237" s="55" t="s">
        <v>991</v>
      </c>
      <c r="D237" s="56" t="s">
        <v>926</v>
      </c>
      <c r="E237" s="100" t="s">
        <v>919</v>
      </c>
      <c r="F237" s="56" t="s">
        <v>829</v>
      </c>
      <c r="G237" s="57">
        <v>346.54</v>
      </c>
      <c r="H237" s="57">
        <v>419.31</v>
      </c>
      <c r="I237" s="59"/>
      <c r="J237" s="60"/>
    </row>
    <row r="238" spans="1:10" x14ac:dyDescent="0.2">
      <c r="A238" s="85" t="s">
        <v>467</v>
      </c>
      <c r="B238" s="85" t="s">
        <v>1059</v>
      </c>
      <c r="C238" s="85" t="s">
        <v>1060</v>
      </c>
      <c r="D238" s="86" t="s">
        <v>916</v>
      </c>
      <c r="E238" s="87" t="s">
        <v>917</v>
      </c>
      <c r="F238" s="88" t="s">
        <v>918</v>
      </c>
      <c r="G238" s="89">
        <v>120.39</v>
      </c>
      <c r="H238" s="89">
        <v>145.66999999999999</v>
      </c>
      <c r="I238" s="90"/>
      <c r="J238" s="91"/>
    </row>
    <row r="239" spans="1:10" x14ac:dyDescent="0.2">
      <c r="A239" s="61" t="s">
        <v>467</v>
      </c>
      <c r="B239" s="61" t="s">
        <v>1059</v>
      </c>
      <c r="C239" s="61" t="s">
        <v>1060</v>
      </c>
      <c r="D239" s="62" t="s">
        <v>916</v>
      </c>
      <c r="E239" s="92" t="s">
        <v>919</v>
      </c>
      <c r="F239" s="62" t="s">
        <v>829</v>
      </c>
      <c r="G239" s="63">
        <v>185.21</v>
      </c>
      <c r="H239" s="63">
        <v>224.1</v>
      </c>
      <c r="I239" s="65"/>
      <c r="J239" s="66"/>
    </row>
    <row r="240" spans="1:10" x14ac:dyDescent="0.2">
      <c r="A240" s="93" t="s">
        <v>467</v>
      </c>
      <c r="B240" s="93" t="s">
        <v>1061</v>
      </c>
      <c r="C240" s="93" t="s">
        <v>922</v>
      </c>
      <c r="D240" s="94" t="s">
        <v>916</v>
      </c>
      <c r="E240" s="95" t="s">
        <v>917</v>
      </c>
      <c r="F240" s="96" t="s">
        <v>918</v>
      </c>
      <c r="G240" s="97">
        <v>163.38</v>
      </c>
      <c r="H240" s="97">
        <v>197.69</v>
      </c>
      <c r="I240" s="98"/>
      <c r="J240" s="99"/>
    </row>
    <row r="241" spans="1:10" x14ac:dyDescent="0.2">
      <c r="A241" s="55" t="s">
        <v>467</v>
      </c>
      <c r="B241" s="55" t="s">
        <v>1061</v>
      </c>
      <c r="C241" s="55" t="s">
        <v>922</v>
      </c>
      <c r="D241" s="56" t="s">
        <v>916</v>
      </c>
      <c r="E241" s="100" t="s">
        <v>919</v>
      </c>
      <c r="F241" s="56" t="s">
        <v>829</v>
      </c>
      <c r="G241" s="57">
        <v>251.35</v>
      </c>
      <c r="H241" s="57">
        <v>304.13</v>
      </c>
      <c r="I241" s="59"/>
      <c r="J241" s="60"/>
    </row>
    <row r="242" spans="1:10" x14ac:dyDescent="0.2">
      <c r="A242" s="85" t="s">
        <v>467</v>
      </c>
      <c r="B242" s="85" t="s">
        <v>1061</v>
      </c>
      <c r="C242" s="85" t="s">
        <v>1062</v>
      </c>
      <c r="D242" s="86" t="s">
        <v>916</v>
      </c>
      <c r="E242" s="87" t="s">
        <v>917</v>
      </c>
      <c r="F242" s="88" t="s">
        <v>918</v>
      </c>
      <c r="G242" s="89">
        <v>204.95</v>
      </c>
      <c r="H242" s="89">
        <v>247.99</v>
      </c>
      <c r="I242" s="90"/>
      <c r="J242" s="91"/>
    </row>
    <row r="243" spans="1:10" x14ac:dyDescent="0.2">
      <c r="A243" s="61" t="s">
        <v>467</v>
      </c>
      <c r="B243" s="61" t="s">
        <v>1061</v>
      </c>
      <c r="C243" s="61" t="s">
        <v>1062</v>
      </c>
      <c r="D243" s="62" t="s">
        <v>916</v>
      </c>
      <c r="E243" s="92" t="s">
        <v>919</v>
      </c>
      <c r="F243" s="62" t="s">
        <v>829</v>
      </c>
      <c r="G243" s="63">
        <v>315.32</v>
      </c>
      <c r="H243" s="63">
        <v>381.54</v>
      </c>
      <c r="I243" s="65"/>
      <c r="J243" s="66"/>
    </row>
    <row r="244" spans="1:10" x14ac:dyDescent="0.2">
      <c r="A244" s="93" t="s">
        <v>467</v>
      </c>
      <c r="B244" s="93" t="s">
        <v>1061</v>
      </c>
      <c r="C244" s="93" t="s">
        <v>923</v>
      </c>
      <c r="D244" s="94" t="s">
        <v>916</v>
      </c>
      <c r="E244" s="95" t="s">
        <v>917</v>
      </c>
      <c r="F244" s="96" t="s">
        <v>918</v>
      </c>
      <c r="G244" s="97">
        <v>213.86</v>
      </c>
      <c r="H244" s="97">
        <v>258.77</v>
      </c>
      <c r="I244" s="98"/>
      <c r="J244" s="99"/>
    </row>
    <row r="245" spans="1:10" x14ac:dyDescent="0.2">
      <c r="A245" s="55" t="s">
        <v>467</v>
      </c>
      <c r="B245" s="55" t="s">
        <v>1061</v>
      </c>
      <c r="C245" s="55" t="s">
        <v>923</v>
      </c>
      <c r="D245" s="56" t="s">
        <v>916</v>
      </c>
      <c r="E245" s="100" t="s">
        <v>919</v>
      </c>
      <c r="F245" s="56" t="s">
        <v>829</v>
      </c>
      <c r="G245" s="57">
        <v>329.01</v>
      </c>
      <c r="H245" s="57">
        <v>398.1</v>
      </c>
      <c r="I245" s="59"/>
      <c r="J245" s="60"/>
    </row>
    <row r="246" spans="1:10" x14ac:dyDescent="0.2">
      <c r="A246" s="85" t="s">
        <v>467</v>
      </c>
      <c r="B246" s="85" t="s">
        <v>1061</v>
      </c>
      <c r="C246" s="85" t="s">
        <v>1063</v>
      </c>
      <c r="D246" s="86" t="s">
        <v>916</v>
      </c>
      <c r="E246" s="87" t="s">
        <v>917</v>
      </c>
      <c r="F246" s="88" t="s">
        <v>918</v>
      </c>
      <c r="G246" s="89">
        <v>222.76</v>
      </c>
      <c r="H246" s="89">
        <v>269.54000000000002</v>
      </c>
      <c r="I246" s="90"/>
      <c r="J246" s="91"/>
    </row>
    <row r="247" spans="1:10" x14ac:dyDescent="0.2">
      <c r="A247" s="61" t="s">
        <v>467</v>
      </c>
      <c r="B247" s="61" t="s">
        <v>1061</v>
      </c>
      <c r="C247" s="61" t="s">
        <v>1063</v>
      </c>
      <c r="D247" s="62" t="s">
        <v>916</v>
      </c>
      <c r="E247" s="92" t="s">
        <v>919</v>
      </c>
      <c r="F247" s="62" t="s">
        <v>829</v>
      </c>
      <c r="G247" s="63">
        <v>342.7</v>
      </c>
      <c r="H247" s="63">
        <v>414.67</v>
      </c>
      <c r="I247" s="65"/>
      <c r="J247" s="66"/>
    </row>
    <row r="248" spans="1:10" x14ac:dyDescent="0.2">
      <c r="A248" s="93" t="s">
        <v>467</v>
      </c>
      <c r="B248" s="93" t="s">
        <v>1064</v>
      </c>
      <c r="C248" s="93" t="s">
        <v>1065</v>
      </c>
      <c r="D248" s="94" t="s">
        <v>916</v>
      </c>
      <c r="E248" s="95" t="s">
        <v>917</v>
      </c>
      <c r="F248" s="96" t="s">
        <v>918</v>
      </c>
      <c r="G248" s="97">
        <v>84.68</v>
      </c>
      <c r="H248" s="97">
        <v>102.46</v>
      </c>
      <c r="I248" s="98"/>
      <c r="J248" s="99"/>
    </row>
    <row r="249" spans="1:10" x14ac:dyDescent="0.2">
      <c r="A249" s="55" t="s">
        <v>467</v>
      </c>
      <c r="B249" s="55" t="s">
        <v>1064</v>
      </c>
      <c r="C249" s="55" t="s">
        <v>1065</v>
      </c>
      <c r="D249" s="56" t="s">
        <v>916</v>
      </c>
      <c r="E249" s="100" t="s">
        <v>919</v>
      </c>
      <c r="F249" s="56" t="s">
        <v>829</v>
      </c>
      <c r="G249" s="57">
        <v>130.27000000000001</v>
      </c>
      <c r="H249" s="57">
        <v>157.63</v>
      </c>
      <c r="I249" s="59"/>
      <c r="J249" s="60"/>
    </row>
    <row r="250" spans="1:10" x14ac:dyDescent="0.2">
      <c r="A250" s="85" t="s">
        <v>467</v>
      </c>
      <c r="B250" s="85" t="s">
        <v>1066</v>
      </c>
      <c r="C250" s="85" t="s">
        <v>1067</v>
      </c>
      <c r="D250" s="86" t="s">
        <v>916</v>
      </c>
      <c r="E250" s="87" t="s">
        <v>917</v>
      </c>
      <c r="F250" s="88" t="s">
        <v>918</v>
      </c>
      <c r="G250" s="89">
        <v>122.04</v>
      </c>
      <c r="H250" s="89">
        <v>147.66999999999999</v>
      </c>
      <c r="I250" s="90"/>
      <c r="J250" s="91"/>
    </row>
    <row r="251" spans="1:10" x14ac:dyDescent="0.2">
      <c r="A251" s="61" t="s">
        <v>467</v>
      </c>
      <c r="B251" s="61" t="s">
        <v>1066</v>
      </c>
      <c r="C251" s="61" t="s">
        <v>1067</v>
      </c>
      <c r="D251" s="62" t="s">
        <v>916</v>
      </c>
      <c r="E251" s="92" t="s">
        <v>919</v>
      </c>
      <c r="F251" s="62" t="s">
        <v>829</v>
      </c>
      <c r="G251" s="63">
        <v>187.75</v>
      </c>
      <c r="H251" s="63">
        <v>227.18</v>
      </c>
      <c r="I251" s="65"/>
      <c r="J251" s="66"/>
    </row>
    <row r="252" spans="1:10" x14ac:dyDescent="0.2">
      <c r="A252" s="93" t="s">
        <v>467</v>
      </c>
      <c r="B252" s="93" t="s">
        <v>1066</v>
      </c>
      <c r="C252" s="93" t="s">
        <v>1068</v>
      </c>
      <c r="D252" s="94" t="s">
        <v>916</v>
      </c>
      <c r="E252" s="95" t="s">
        <v>917</v>
      </c>
      <c r="F252" s="96" t="s">
        <v>918</v>
      </c>
      <c r="G252" s="97">
        <v>130.35</v>
      </c>
      <c r="H252" s="97">
        <v>157.72</v>
      </c>
      <c r="I252" s="98"/>
      <c r="J252" s="99"/>
    </row>
    <row r="253" spans="1:10" x14ac:dyDescent="0.2">
      <c r="A253" s="55" t="s">
        <v>467</v>
      </c>
      <c r="B253" s="55" t="s">
        <v>1066</v>
      </c>
      <c r="C253" s="55" t="s">
        <v>1068</v>
      </c>
      <c r="D253" s="56" t="s">
        <v>916</v>
      </c>
      <c r="E253" s="100" t="s">
        <v>919</v>
      </c>
      <c r="F253" s="56" t="s">
        <v>829</v>
      </c>
      <c r="G253" s="57">
        <v>200.54</v>
      </c>
      <c r="H253" s="57">
        <v>242.65</v>
      </c>
      <c r="I253" s="59"/>
      <c r="J253" s="60"/>
    </row>
    <row r="254" spans="1:10" x14ac:dyDescent="0.2">
      <c r="A254" s="85" t="s">
        <v>467</v>
      </c>
      <c r="B254" s="85" t="s">
        <v>1066</v>
      </c>
      <c r="C254" s="85" t="s">
        <v>1069</v>
      </c>
      <c r="D254" s="86" t="s">
        <v>916</v>
      </c>
      <c r="E254" s="87" t="s">
        <v>917</v>
      </c>
      <c r="F254" s="88" t="s">
        <v>918</v>
      </c>
      <c r="G254" s="89">
        <v>123.32</v>
      </c>
      <c r="H254" s="89">
        <v>149.22</v>
      </c>
      <c r="I254" s="90"/>
      <c r="J254" s="91"/>
    </row>
    <row r="255" spans="1:10" x14ac:dyDescent="0.2">
      <c r="A255" s="61" t="s">
        <v>467</v>
      </c>
      <c r="B255" s="61" t="s">
        <v>1066</v>
      </c>
      <c r="C255" s="61" t="s">
        <v>1069</v>
      </c>
      <c r="D255" s="62" t="s">
        <v>916</v>
      </c>
      <c r="E255" s="92" t="s">
        <v>919</v>
      </c>
      <c r="F255" s="62" t="s">
        <v>829</v>
      </c>
      <c r="G255" s="63">
        <v>189.72</v>
      </c>
      <c r="H255" s="63">
        <v>229.56</v>
      </c>
      <c r="I255" s="65"/>
      <c r="J255" s="66"/>
    </row>
    <row r="256" spans="1:10" x14ac:dyDescent="0.2">
      <c r="A256" s="93" t="s">
        <v>467</v>
      </c>
      <c r="B256" s="93" t="s">
        <v>1066</v>
      </c>
      <c r="C256" s="93" t="s">
        <v>1070</v>
      </c>
      <c r="D256" s="94" t="s">
        <v>916</v>
      </c>
      <c r="E256" s="95" t="s">
        <v>917</v>
      </c>
      <c r="F256" s="96" t="s">
        <v>918</v>
      </c>
      <c r="G256" s="97">
        <v>136.79</v>
      </c>
      <c r="H256" s="97">
        <v>165.52</v>
      </c>
      <c r="I256" s="98"/>
      <c r="J256" s="99"/>
    </row>
    <row r="257" spans="1:10" x14ac:dyDescent="0.2">
      <c r="A257" s="55" t="s">
        <v>467</v>
      </c>
      <c r="B257" s="55" t="s">
        <v>1066</v>
      </c>
      <c r="C257" s="55" t="s">
        <v>1070</v>
      </c>
      <c r="D257" s="56" t="s">
        <v>916</v>
      </c>
      <c r="E257" s="100" t="s">
        <v>919</v>
      </c>
      <c r="F257" s="56" t="s">
        <v>829</v>
      </c>
      <c r="G257" s="57">
        <v>210.45</v>
      </c>
      <c r="H257" s="57">
        <v>254.64</v>
      </c>
      <c r="I257" s="59"/>
      <c r="J257" s="60"/>
    </row>
    <row r="258" spans="1:10" x14ac:dyDescent="0.2">
      <c r="A258" s="85" t="s">
        <v>467</v>
      </c>
      <c r="B258" s="85" t="s">
        <v>1071</v>
      </c>
      <c r="C258" s="85" t="s">
        <v>1032</v>
      </c>
      <c r="D258" s="86" t="s">
        <v>916</v>
      </c>
      <c r="E258" s="87" t="s">
        <v>917</v>
      </c>
      <c r="F258" s="88" t="s">
        <v>918</v>
      </c>
      <c r="G258" s="89">
        <v>315.63</v>
      </c>
      <c r="H258" s="89">
        <v>381.91</v>
      </c>
      <c r="I258" s="90"/>
      <c r="J258" s="91"/>
    </row>
    <row r="259" spans="1:10" x14ac:dyDescent="0.2">
      <c r="A259" s="61" t="s">
        <v>467</v>
      </c>
      <c r="B259" s="61" t="s">
        <v>1071</v>
      </c>
      <c r="C259" s="61" t="s">
        <v>1032</v>
      </c>
      <c r="D259" s="62" t="s">
        <v>916</v>
      </c>
      <c r="E259" s="92" t="s">
        <v>919</v>
      </c>
      <c r="F259" s="62" t="s">
        <v>829</v>
      </c>
      <c r="G259" s="63">
        <v>485.59</v>
      </c>
      <c r="H259" s="63">
        <v>587.55999999999995</v>
      </c>
      <c r="I259" s="65"/>
      <c r="J259" s="66"/>
    </row>
    <row r="260" spans="1:10" x14ac:dyDescent="0.2">
      <c r="A260" s="93" t="s">
        <v>467</v>
      </c>
      <c r="B260" s="93" t="s">
        <v>1071</v>
      </c>
      <c r="C260" s="93" t="s">
        <v>1072</v>
      </c>
      <c r="D260" s="94" t="s">
        <v>916</v>
      </c>
      <c r="E260" s="95" t="s">
        <v>917</v>
      </c>
      <c r="F260" s="96" t="s">
        <v>918</v>
      </c>
      <c r="G260" s="97">
        <v>287.64</v>
      </c>
      <c r="H260" s="97">
        <v>348.04</v>
      </c>
      <c r="I260" s="98"/>
      <c r="J260" s="99"/>
    </row>
    <row r="261" spans="1:10" x14ac:dyDescent="0.2">
      <c r="A261" s="55" t="s">
        <v>467</v>
      </c>
      <c r="B261" s="55" t="s">
        <v>1071</v>
      </c>
      <c r="C261" s="55" t="s">
        <v>1072</v>
      </c>
      <c r="D261" s="56" t="s">
        <v>916</v>
      </c>
      <c r="E261" s="100" t="s">
        <v>919</v>
      </c>
      <c r="F261" s="56" t="s">
        <v>829</v>
      </c>
      <c r="G261" s="57">
        <v>442.52</v>
      </c>
      <c r="H261" s="57">
        <v>535.45000000000005</v>
      </c>
      <c r="I261" s="59"/>
      <c r="J261" s="60"/>
    </row>
    <row r="262" spans="1:10" x14ac:dyDescent="0.2">
      <c r="A262" s="85" t="s">
        <v>467</v>
      </c>
      <c r="B262" s="85" t="s">
        <v>1073</v>
      </c>
      <c r="C262" s="85" t="s">
        <v>1074</v>
      </c>
      <c r="D262" s="86" t="s">
        <v>916</v>
      </c>
      <c r="E262" s="87" t="s">
        <v>917</v>
      </c>
      <c r="F262" s="88" t="s">
        <v>918</v>
      </c>
      <c r="G262" s="89">
        <v>356.97</v>
      </c>
      <c r="H262" s="89">
        <v>431.93</v>
      </c>
      <c r="I262" s="90"/>
      <c r="J262" s="91"/>
    </row>
    <row r="263" spans="1:10" x14ac:dyDescent="0.2">
      <c r="A263" s="61" t="s">
        <v>467</v>
      </c>
      <c r="B263" s="61" t="s">
        <v>1073</v>
      </c>
      <c r="C263" s="61" t="s">
        <v>1074</v>
      </c>
      <c r="D263" s="62" t="s">
        <v>916</v>
      </c>
      <c r="E263" s="92" t="s">
        <v>919</v>
      </c>
      <c r="F263" s="62" t="s">
        <v>829</v>
      </c>
      <c r="G263" s="63">
        <v>549.19000000000005</v>
      </c>
      <c r="H263" s="63">
        <v>664.52</v>
      </c>
      <c r="I263" s="65"/>
      <c r="J263" s="66"/>
    </row>
    <row r="264" spans="1:10" x14ac:dyDescent="0.2">
      <c r="A264" s="93" t="s">
        <v>467</v>
      </c>
      <c r="B264" s="93" t="s">
        <v>1073</v>
      </c>
      <c r="C264" s="93" t="s">
        <v>1075</v>
      </c>
      <c r="D264" s="94" t="s">
        <v>916</v>
      </c>
      <c r="E264" s="95" t="s">
        <v>917</v>
      </c>
      <c r="F264" s="96" t="s">
        <v>918</v>
      </c>
      <c r="G264" s="97">
        <v>279.44</v>
      </c>
      <c r="H264" s="97">
        <v>338.12</v>
      </c>
      <c r="I264" s="98"/>
      <c r="J264" s="99"/>
    </row>
    <row r="265" spans="1:10" x14ac:dyDescent="0.2">
      <c r="A265" s="55" t="s">
        <v>467</v>
      </c>
      <c r="B265" s="55" t="s">
        <v>1073</v>
      </c>
      <c r="C265" s="55" t="s">
        <v>1075</v>
      </c>
      <c r="D265" s="56" t="s">
        <v>916</v>
      </c>
      <c r="E265" s="100" t="s">
        <v>919</v>
      </c>
      <c r="F265" s="56" t="s">
        <v>829</v>
      </c>
      <c r="G265" s="57">
        <v>429.91</v>
      </c>
      <c r="H265" s="57">
        <v>520.19000000000005</v>
      </c>
      <c r="I265" s="59"/>
      <c r="J265" s="60"/>
    </row>
    <row r="266" spans="1:10" x14ac:dyDescent="0.2">
      <c r="A266" s="85" t="s">
        <v>467</v>
      </c>
      <c r="B266" s="85" t="s">
        <v>1073</v>
      </c>
      <c r="C266" s="85" t="s">
        <v>1076</v>
      </c>
      <c r="D266" s="86" t="s">
        <v>916</v>
      </c>
      <c r="E266" s="87" t="s">
        <v>917</v>
      </c>
      <c r="F266" s="88" t="s">
        <v>918</v>
      </c>
      <c r="G266" s="89">
        <v>534.41</v>
      </c>
      <c r="H266" s="89">
        <v>646.64</v>
      </c>
      <c r="I266" s="90"/>
      <c r="J266" s="91"/>
    </row>
    <row r="267" spans="1:10" x14ac:dyDescent="0.2">
      <c r="A267" s="61" t="s">
        <v>467</v>
      </c>
      <c r="B267" s="61" t="s">
        <v>1073</v>
      </c>
      <c r="C267" s="61" t="s">
        <v>1076</v>
      </c>
      <c r="D267" s="62" t="s">
        <v>916</v>
      </c>
      <c r="E267" s="92" t="s">
        <v>919</v>
      </c>
      <c r="F267" s="62" t="s">
        <v>829</v>
      </c>
      <c r="G267" s="63">
        <v>822.16</v>
      </c>
      <c r="H267" s="63">
        <v>994.81</v>
      </c>
      <c r="I267" s="65"/>
      <c r="J267" s="66"/>
    </row>
    <row r="268" spans="1:10" x14ac:dyDescent="0.2">
      <c r="A268" s="93" t="s">
        <v>467</v>
      </c>
      <c r="B268" s="93" t="s">
        <v>1077</v>
      </c>
      <c r="C268" s="93" t="s">
        <v>922</v>
      </c>
      <c r="D268" s="94" t="s">
        <v>916</v>
      </c>
      <c r="E268" s="95" t="s">
        <v>917</v>
      </c>
      <c r="F268" s="96" t="s">
        <v>918</v>
      </c>
      <c r="G268" s="97">
        <v>206.48</v>
      </c>
      <c r="H268" s="97">
        <v>249.84</v>
      </c>
      <c r="I268" s="98"/>
      <c r="J268" s="99"/>
    </row>
    <row r="269" spans="1:10" x14ac:dyDescent="0.2">
      <c r="A269" s="55" t="s">
        <v>467</v>
      </c>
      <c r="B269" s="55" t="s">
        <v>1077</v>
      </c>
      <c r="C269" s="55" t="s">
        <v>922</v>
      </c>
      <c r="D269" s="56" t="s">
        <v>916</v>
      </c>
      <c r="E269" s="100" t="s">
        <v>919</v>
      </c>
      <c r="F269" s="56" t="s">
        <v>829</v>
      </c>
      <c r="G269" s="57">
        <v>317.66000000000003</v>
      </c>
      <c r="H269" s="57">
        <v>384.37</v>
      </c>
      <c r="I269" s="59"/>
      <c r="J269" s="60"/>
    </row>
    <row r="270" spans="1:10" x14ac:dyDescent="0.2">
      <c r="A270" s="85" t="s">
        <v>467</v>
      </c>
      <c r="B270" s="85" t="s">
        <v>1077</v>
      </c>
      <c r="C270" s="85" t="s">
        <v>923</v>
      </c>
      <c r="D270" s="86" t="s">
        <v>916</v>
      </c>
      <c r="E270" s="87" t="s">
        <v>917</v>
      </c>
      <c r="F270" s="88" t="s">
        <v>918</v>
      </c>
      <c r="G270" s="89">
        <v>221.96</v>
      </c>
      <c r="H270" s="89">
        <v>268.57</v>
      </c>
      <c r="I270" s="90"/>
      <c r="J270" s="91"/>
    </row>
    <row r="271" spans="1:10" x14ac:dyDescent="0.2">
      <c r="A271" s="61" t="s">
        <v>467</v>
      </c>
      <c r="B271" s="61" t="s">
        <v>1077</v>
      </c>
      <c r="C271" s="61" t="s">
        <v>923</v>
      </c>
      <c r="D271" s="62" t="s">
        <v>916</v>
      </c>
      <c r="E271" s="92" t="s">
        <v>919</v>
      </c>
      <c r="F271" s="62" t="s">
        <v>829</v>
      </c>
      <c r="G271" s="63">
        <v>341.48</v>
      </c>
      <c r="H271" s="63">
        <v>413.19</v>
      </c>
      <c r="I271" s="65"/>
      <c r="J271" s="66"/>
    </row>
    <row r="272" spans="1:10" x14ac:dyDescent="0.2">
      <c r="A272" s="93" t="s">
        <v>467</v>
      </c>
      <c r="B272" s="93" t="s">
        <v>1078</v>
      </c>
      <c r="C272" s="93" t="s">
        <v>1079</v>
      </c>
      <c r="D272" s="94" t="s">
        <v>916</v>
      </c>
      <c r="E272" s="95" t="s">
        <v>917</v>
      </c>
      <c r="F272" s="96" t="s">
        <v>918</v>
      </c>
      <c r="G272" s="97">
        <v>561.54</v>
      </c>
      <c r="H272" s="97">
        <v>679.46</v>
      </c>
      <c r="I272" s="98"/>
      <c r="J272" s="99"/>
    </row>
    <row r="273" spans="1:10" x14ac:dyDescent="0.2">
      <c r="A273" s="55" t="s">
        <v>467</v>
      </c>
      <c r="B273" s="55" t="s">
        <v>1078</v>
      </c>
      <c r="C273" s="55" t="s">
        <v>1079</v>
      </c>
      <c r="D273" s="56" t="s">
        <v>916</v>
      </c>
      <c r="E273" s="100" t="s">
        <v>919</v>
      </c>
      <c r="F273" s="56" t="s">
        <v>829</v>
      </c>
      <c r="G273" s="57">
        <v>863.9</v>
      </c>
      <c r="H273" s="57">
        <v>1045.32</v>
      </c>
      <c r="I273" s="59"/>
      <c r="J273" s="60"/>
    </row>
    <row r="274" spans="1:10" x14ac:dyDescent="0.2">
      <c r="A274" s="85" t="s">
        <v>467</v>
      </c>
      <c r="B274" s="85" t="s">
        <v>1080</v>
      </c>
      <c r="C274" s="85" t="s">
        <v>1081</v>
      </c>
      <c r="D274" s="86" t="s">
        <v>916</v>
      </c>
      <c r="E274" s="87" t="s">
        <v>917</v>
      </c>
      <c r="F274" s="88" t="s">
        <v>918</v>
      </c>
      <c r="G274" s="89">
        <v>561.54</v>
      </c>
      <c r="H274" s="89">
        <v>679.46</v>
      </c>
      <c r="I274" s="90"/>
      <c r="J274" s="91"/>
    </row>
    <row r="275" spans="1:10" x14ac:dyDescent="0.2">
      <c r="A275" s="61" t="s">
        <v>467</v>
      </c>
      <c r="B275" s="61" t="s">
        <v>1080</v>
      </c>
      <c r="C275" s="61" t="s">
        <v>1081</v>
      </c>
      <c r="D275" s="62" t="s">
        <v>916</v>
      </c>
      <c r="E275" s="92" t="s">
        <v>919</v>
      </c>
      <c r="F275" s="62" t="s">
        <v>829</v>
      </c>
      <c r="G275" s="63">
        <v>863.9</v>
      </c>
      <c r="H275" s="63">
        <v>1045.32</v>
      </c>
      <c r="I275" s="65"/>
      <c r="J275" s="66"/>
    </row>
    <row r="276" spans="1:10" x14ac:dyDescent="0.2">
      <c r="A276" s="93" t="s">
        <v>467</v>
      </c>
      <c r="B276" s="93" t="s">
        <v>1082</v>
      </c>
      <c r="C276" s="93" t="s">
        <v>1083</v>
      </c>
      <c r="D276" s="94" t="s">
        <v>916</v>
      </c>
      <c r="E276" s="95" t="s">
        <v>917</v>
      </c>
      <c r="F276" s="96" t="s">
        <v>918</v>
      </c>
      <c r="G276" s="97">
        <v>1019.5</v>
      </c>
      <c r="H276" s="97">
        <v>1233.5999999999999</v>
      </c>
      <c r="I276" s="98"/>
      <c r="J276" s="99"/>
    </row>
    <row r="277" spans="1:10" x14ac:dyDescent="0.2">
      <c r="A277" s="55" t="s">
        <v>467</v>
      </c>
      <c r="B277" s="55" t="s">
        <v>1082</v>
      </c>
      <c r="C277" s="55" t="s">
        <v>1083</v>
      </c>
      <c r="D277" s="56" t="s">
        <v>916</v>
      </c>
      <c r="E277" s="100" t="s">
        <v>919</v>
      </c>
      <c r="F277" s="56" t="s">
        <v>829</v>
      </c>
      <c r="G277" s="57">
        <v>1568.47</v>
      </c>
      <c r="H277" s="57">
        <v>1897.85</v>
      </c>
      <c r="I277" s="59"/>
      <c r="J277" s="60"/>
    </row>
    <row r="278" spans="1:10" x14ac:dyDescent="0.2">
      <c r="A278" s="85" t="s">
        <v>467</v>
      </c>
      <c r="B278" s="85" t="s">
        <v>1084</v>
      </c>
      <c r="C278" s="85" t="s">
        <v>1085</v>
      </c>
      <c r="D278" s="86" t="s">
        <v>916</v>
      </c>
      <c r="E278" s="87" t="s">
        <v>917</v>
      </c>
      <c r="F278" s="88" t="s">
        <v>918</v>
      </c>
      <c r="G278" s="89">
        <v>82.22</v>
      </c>
      <c r="H278" s="89">
        <v>99.49</v>
      </c>
      <c r="I278" s="90"/>
      <c r="J278" s="91"/>
    </row>
    <row r="279" spans="1:10" x14ac:dyDescent="0.2">
      <c r="A279" s="61" t="s">
        <v>467</v>
      </c>
      <c r="B279" s="61" t="s">
        <v>1084</v>
      </c>
      <c r="C279" s="61" t="s">
        <v>1085</v>
      </c>
      <c r="D279" s="62" t="s">
        <v>916</v>
      </c>
      <c r="E279" s="92" t="s">
        <v>919</v>
      </c>
      <c r="F279" s="62" t="s">
        <v>829</v>
      </c>
      <c r="G279" s="63">
        <v>126.49</v>
      </c>
      <c r="H279" s="63">
        <v>153.05000000000001</v>
      </c>
      <c r="I279" s="65"/>
      <c r="J279" s="66"/>
    </row>
    <row r="280" spans="1:10" x14ac:dyDescent="0.2">
      <c r="A280" s="93" t="s">
        <v>467</v>
      </c>
      <c r="B280" s="93" t="s">
        <v>1086</v>
      </c>
      <c r="C280" s="93" t="s">
        <v>1087</v>
      </c>
      <c r="D280" s="94" t="s">
        <v>916</v>
      </c>
      <c r="E280" s="95" t="s">
        <v>917</v>
      </c>
      <c r="F280" s="96" t="s">
        <v>918</v>
      </c>
      <c r="G280" s="97">
        <v>48.25</v>
      </c>
      <c r="H280" s="97">
        <v>58.38</v>
      </c>
      <c r="I280" s="98"/>
      <c r="J280" s="99"/>
    </row>
    <row r="281" spans="1:10" x14ac:dyDescent="0.2">
      <c r="A281" s="55" t="s">
        <v>467</v>
      </c>
      <c r="B281" s="55" t="s">
        <v>1086</v>
      </c>
      <c r="C281" s="55" t="s">
        <v>1087</v>
      </c>
      <c r="D281" s="56" t="s">
        <v>916</v>
      </c>
      <c r="E281" s="100" t="s">
        <v>919</v>
      </c>
      <c r="F281" s="56" t="s">
        <v>829</v>
      </c>
      <c r="G281" s="57">
        <v>74.23</v>
      </c>
      <c r="H281" s="57">
        <v>89.82</v>
      </c>
      <c r="I281" s="59"/>
      <c r="J281" s="60"/>
    </row>
    <row r="282" spans="1:10" x14ac:dyDescent="0.2">
      <c r="A282" s="85" t="s">
        <v>467</v>
      </c>
      <c r="B282" s="85" t="s">
        <v>1088</v>
      </c>
      <c r="C282" s="85" t="s">
        <v>1089</v>
      </c>
      <c r="D282" s="86" t="s">
        <v>916</v>
      </c>
      <c r="E282" s="87" t="s">
        <v>917</v>
      </c>
      <c r="F282" s="88" t="s">
        <v>918</v>
      </c>
      <c r="G282" s="89">
        <v>88.17</v>
      </c>
      <c r="H282" s="89">
        <v>106.69</v>
      </c>
      <c r="I282" s="90"/>
      <c r="J282" s="91"/>
    </row>
    <row r="283" spans="1:10" x14ac:dyDescent="0.2">
      <c r="A283" s="61" t="s">
        <v>467</v>
      </c>
      <c r="B283" s="61" t="s">
        <v>1088</v>
      </c>
      <c r="C283" s="61" t="s">
        <v>1089</v>
      </c>
      <c r="D283" s="62" t="s">
        <v>916</v>
      </c>
      <c r="E283" s="92" t="s">
        <v>919</v>
      </c>
      <c r="F283" s="62" t="s">
        <v>829</v>
      </c>
      <c r="G283" s="63">
        <v>135.65</v>
      </c>
      <c r="H283" s="63">
        <v>164.14</v>
      </c>
      <c r="I283" s="65"/>
      <c r="J283" s="66"/>
    </row>
    <row r="284" spans="1:10" x14ac:dyDescent="0.2">
      <c r="A284" s="93" t="s">
        <v>467</v>
      </c>
      <c r="B284" s="93" t="s">
        <v>1088</v>
      </c>
      <c r="C284" s="93" t="s">
        <v>1090</v>
      </c>
      <c r="D284" s="94" t="s">
        <v>916</v>
      </c>
      <c r="E284" s="95" t="s">
        <v>917</v>
      </c>
      <c r="F284" s="96" t="s">
        <v>918</v>
      </c>
      <c r="G284" s="97">
        <v>68.16</v>
      </c>
      <c r="H284" s="97">
        <v>82.47</v>
      </c>
      <c r="I284" s="98"/>
      <c r="J284" s="99"/>
    </row>
    <row r="285" spans="1:10" x14ac:dyDescent="0.2">
      <c r="A285" s="55" t="s">
        <v>467</v>
      </c>
      <c r="B285" s="55" t="s">
        <v>1088</v>
      </c>
      <c r="C285" s="55" t="s">
        <v>1090</v>
      </c>
      <c r="D285" s="56" t="s">
        <v>916</v>
      </c>
      <c r="E285" s="100" t="s">
        <v>919</v>
      </c>
      <c r="F285" s="56" t="s">
        <v>829</v>
      </c>
      <c r="G285" s="57">
        <v>104.86</v>
      </c>
      <c r="H285" s="57">
        <v>126.88</v>
      </c>
      <c r="I285" s="59"/>
      <c r="J285" s="60"/>
    </row>
    <row r="286" spans="1:10" x14ac:dyDescent="0.2">
      <c r="A286" s="85" t="s">
        <v>467</v>
      </c>
      <c r="B286" s="85" t="s">
        <v>1091</v>
      </c>
      <c r="C286" s="85" t="s">
        <v>1092</v>
      </c>
      <c r="D286" s="86" t="s">
        <v>916</v>
      </c>
      <c r="E286" s="87" t="s">
        <v>917</v>
      </c>
      <c r="F286" s="88" t="s">
        <v>918</v>
      </c>
      <c r="G286" s="89">
        <v>12.41</v>
      </c>
      <c r="H286" s="89">
        <v>15.02</v>
      </c>
      <c r="I286" s="90"/>
      <c r="J286" s="91"/>
    </row>
    <row r="287" spans="1:10" x14ac:dyDescent="0.2">
      <c r="A287" s="61" t="s">
        <v>467</v>
      </c>
      <c r="B287" s="61" t="s">
        <v>1091</v>
      </c>
      <c r="C287" s="61" t="s">
        <v>1092</v>
      </c>
      <c r="D287" s="62" t="s">
        <v>916</v>
      </c>
      <c r="E287" s="92" t="s">
        <v>919</v>
      </c>
      <c r="F287" s="62" t="s">
        <v>829</v>
      </c>
      <c r="G287" s="63">
        <v>19.09</v>
      </c>
      <c r="H287" s="63">
        <v>23.1</v>
      </c>
      <c r="I287" s="65"/>
      <c r="J287" s="66"/>
    </row>
    <row r="288" spans="1:10" x14ac:dyDescent="0.2">
      <c r="A288" s="93" t="s">
        <v>467</v>
      </c>
      <c r="B288" s="93" t="s">
        <v>1093</v>
      </c>
      <c r="C288" s="93" t="s">
        <v>1094</v>
      </c>
      <c r="D288" s="94" t="s">
        <v>916</v>
      </c>
      <c r="E288" s="95" t="s">
        <v>917</v>
      </c>
      <c r="F288" s="96" t="s">
        <v>918</v>
      </c>
      <c r="G288" s="97">
        <v>169.64</v>
      </c>
      <c r="H288" s="97">
        <v>205.26</v>
      </c>
      <c r="I288" s="98"/>
      <c r="J288" s="99"/>
    </row>
    <row r="289" spans="1:10" x14ac:dyDescent="0.2">
      <c r="A289" s="55" t="s">
        <v>467</v>
      </c>
      <c r="B289" s="55" t="s">
        <v>1093</v>
      </c>
      <c r="C289" s="55" t="s">
        <v>1094</v>
      </c>
      <c r="D289" s="56" t="s">
        <v>916</v>
      </c>
      <c r="E289" s="100" t="s">
        <v>919</v>
      </c>
      <c r="F289" s="56" t="s">
        <v>829</v>
      </c>
      <c r="G289" s="57">
        <v>260.99</v>
      </c>
      <c r="H289" s="57">
        <v>315.8</v>
      </c>
      <c r="I289" s="59"/>
      <c r="J289" s="60"/>
    </row>
    <row r="290" spans="1:10" x14ac:dyDescent="0.2">
      <c r="A290" s="85" t="s">
        <v>467</v>
      </c>
      <c r="B290" s="85" t="s">
        <v>1093</v>
      </c>
      <c r="C290" s="85" t="s">
        <v>1095</v>
      </c>
      <c r="D290" s="86" t="s">
        <v>916</v>
      </c>
      <c r="E290" s="87" t="s">
        <v>917</v>
      </c>
      <c r="F290" s="88" t="s">
        <v>918</v>
      </c>
      <c r="G290" s="89">
        <v>118.31</v>
      </c>
      <c r="H290" s="89">
        <v>143.16</v>
      </c>
      <c r="I290" s="90"/>
      <c r="J290" s="91"/>
    </row>
    <row r="291" spans="1:10" x14ac:dyDescent="0.2">
      <c r="A291" s="61" t="s">
        <v>467</v>
      </c>
      <c r="B291" s="61" t="s">
        <v>1093</v>
      </c>
      <c r="C291" s="61" t="s">
        <v>1095</v>
      </c>
      <c r="D291" s="62" t="s">
        <v>916</v>
      </c>
      <c r="E291" s="92" t="s">
        <v>919</v>
      </c>
      <c r="F291" s="62" t="s">
        <v>829</v>
      </c>
      <c r="G291" s="63">
        <v>182.02</v>
      </c>
      <c r="H291" s="63">
        <v>220.24</v>
      </c>
      <c r="I291" s="65"/>
      <c r="J291" s="66"/>
    </row>
    <row r="292" spans="1:10" x14ac:dyDescent="0.2">
      <c r="A292" s="93" t="s">
        <v>467</v>
      </c>
      <c r="B292" s="93" t="s">
        <v>1093</v>
      </c>
      <c r="C292" s="93" t="s">
        <v>1096</v>
      </c>
      <c r="D292" s="94" t="s">
        <v>916</v>
      </c>
      <c r="E292" s="95" t="s">
        <v>917</v>
      </c>
      <c r="F292" s="96" t="s">
        <v>918</v>
      </c>
      <c r="G292" s="97">
        <v>131.01</v>
      </c>
      <c r="H292" s="97">
        <v>158.52000000000001</v>
      </c>
      <c r="I292" s="98"/>
      <c r="J292" s="99"/>
    </row>
    <row r="293" spans="1:10" x14ac:dyDescent="0.2">
      <c r="A293" s="55" t="s">
        <v>467</v>
      </c>
      <c r="B293" s="55" t="s">
        <v>1093</v>
      </c>
      <c r="C293" s="55" t="s">
        <v>1096</v>
      </c>
      <c r="D293" s="56" t="s">
        <v>916</v>
      </c>
      <c r="E293" s="100" t="s">
        <v>919</v>
      </c>
      <c r="F293" s="56" t="s">
        <v>829</v>
      </c>
      <c r="G293" s="57">
        <v>201.55</v>
      </c>
      <c r="H293" s="57">
        <v>243.88</v>
      </c>
      <c r="I293" s="59"/>
      <c r="J293" s="60"/>
    </row>
    <row r="294" spans="1:10" x14ac:dyDescent="0.2">
      <c r="A294" s="85" t="s">
        <v>467</v>
      </c>
      <c r="B294" s="85" t="s">
        <v>1093</v>
      </c>
      <c r="C294" s="85" t="s">
        <v>1097</v>
      </c>
      <c r="D294" s="86" t="s">
        <v>916</v>
      </c>
      <c r="E294" s="87" t="s">
        <v>917</v>
      </c>
      <c r="F294" s="88" t="s">
        <v>918</v>
      </c>
      <c r="G294" s="89">
        <v>84.79</v>
      </c>
      <c r="H294" s="89">
        <v>102.6</v>
      </c>
      <c r="I294" s="90"/>
      <c r="J294" s="91"/>
    </row>
    <row r="295" spans="1:10" x14ac:dyDescent="0.2">
      <c r="A295" s="61" t="s">
        <v>467</v>
      </c>
      <c r="B295" s="61" t="s">
        <v>1093</v>
      </c>
      <c r="C295" s="61" t="s">
        <v>1097</v>
      </c>
      <c r="D295" s="62" t="s">
        <v>916</v>
      </c>
      <c r="E295" s="92" t="s">
        <v>919</v>
      </c>
      <c r="F295" s="62" t="s">
        <v>829</v>
      </c>
      <c r="G295" s="63">
        <v>130.44999999999999</v>
      </c>
      <c r="H295" s="63">
        <v>157.84</v>
      </c>
      <c r="I295" s="65"/>
      <c r="J295" s="66"/>
    </row>
    <row r="296" spans="1:10" x14ac:dyDescent="0.2">
      <c r="A296" s="93" t="s">
        <v>467</v>
      </c>
      <c r="B296" s="93" t="s">
        <v>1093</v>
      </c>
      <c r="C296" s="93" t="s">
        <v>1098</v>
      </c>
      <c r="D296" s="94" t="s">
        <v>916</v>
      </c>
      <c r="E296" s="95" t="s">
        <v>917</v>
      </c>
      <c r="F296" s="96" t="s">
        <v>918</v>
      </c>
      <c r="G296" s="97">
        <v>97.55</v>
      </c>
      <c r="H296" s="97">
        <v>118.04</v>
      </c>
      <c r="I296" s="98"/>
      <c r="J296" s="99"/>
    </row>
    <row r="297" spans="1:10" x14ac:dyDescent="0.2">
      <c r="A297" s="55" t="s">
        <v>467</v>
      </c>
      <c r="B297" s="55" t="s">
        <v>1093</v>
      </c>
      <c r="C297" s="55" t="s">
        <v>1098</v>
      </c>
      <c r="D297" s="56" t="s">
        <v>916</v>
      </c>
      <c r="E297" s="100" t="s">
        <v>919</v>
      </c>
      <c r="F297" s="56" t="s">
        <v>829</v>
      </c>
      <c r="G297" s="57">
        <v>150.07</v>
      </c>
      <c r="H297" s="57">
        <v>181.58</v>
      </c>
      <c r="I297" s="59"/>
      <c r="J297" s="60"/>
    </row>
    <row r="298" spans="1:10" x14ac:dyDescent="0.2">
      <c r="A298" s="85" t="s">
        <v>467</v>
      </c>
      <c r="B298" s="85" t="s">
        <v>1093</v>
      </c>
      <c r="C298" s="85" t="s">
        <v>1099</v>
      </c>
      <c r="D298" s="86" t="s">
        <v>916</v>
      </c>
      <c r="E298" s="87" t="s">
        <v>917</v>
      </c>
      <c r="F298" s="88" t="s">
        <v>918</v>
      </c>
      <c r="G298" s="89">
        <v>101.49</v>
      </c>
      <c r="H298" s="89">
        <v>122.8</v>
      </c>
      <c r="I298" s="90"/>
      <c r="J298" s="91"/>
    </row>
    <row r="299" spans="1:10" x14ac:dyDescent="0.2">
      <c r="A299" s="61" t="s">
        <v>467</v>
      </c>
      <c r="B299" s="61" t="s">
        <v>1093</v>
      </c>
      <c r="C299" s="61" t="s">
        <v>1099</v>
      </c>
      <c r="D299" s="62" t="s">
        <v>916</v>
      </c>
      <c r="E299" s="92" t="s">
        <v>919</v>
      </c>
      <c r="F299" s="62" t="s">
        <v>829</v>
      </c>
      <c r="G299" s="63">
        <v>156.13999999999999</v>
      </c>
      <c r="H299" s="63">
        <v>188.93</v>
      </c>
      <c r="I299" s="65"/>
      <c r="J299" s="66"/>
    </row>
    <row r="300" spans="1:10" x14ac:dyDescent="0.2">
      <c r="A300" s="93" t="s">
        <v>467</v>
      </c>
      <c r="B300" s="93" t="s">
        <v>1093</v>
      </c>
      <c r="C300" s="93" t="s">
        <v>1100</v>
      </c>
      <c r="D300" s="94" t="s">
        <v>916</v>
      </c>
      <c r="E300" s="95" t="s">
        <v>917</v>
      </c>
      <c r="F300" s="96" t="s">
        <v>918</v>
      </c>
      <c r="G300" s="97">
        <v>118.78</v>
      </c>
      <c r="H300" s="97">
        <v>143.72</v>
      </c>
      <c r="I300" s="98"/>
      <c r="J300" s="99"/>
    </row>
    <row r="301" spans="1:10" x14ac:dyDescent="0.2">
      <c r="A301" s="55" t="s">
        <v>467</v>
      </c>
      <c r="B301" s="55" t="s">
        <v>1093</v>
      </c>
      <c r="C301" s="55" t="s">
        <v>1100</v>
      </c>
      <c r="D301" s="56" t="s">
        <v>916</v>
      </c>
      <c r="E301" s="100" t="s">
        <v>919</v>
      </c>
      <c r="F301" s="56" t="s">
        <v>829</v>
      </c>
      <c r="G301" s="57">
        <v>182.74</v>
      </c>
      <c r="H301" s="57">
        <v>221.12</v>
      </c>
      <c r="I301" s="59"/>
      <c r="J301" s="60"/>
    </row>
    <row r="302" spans="1:10" x14ac:dyDescent="0.2">
      <c r="A302" s="85" t="s">
        <v>467</v>
      </c>
      <c r="B302" s="85" t="s">
        <v>1101</v>
      </c>
      <c r="C302" s="85" t="s">
        <v>1102</v>
      </c>
      <c r="D302" s="86" t="s">
        <v>939</v>
      </c>
      <c r="E302" s="87" t="s">
        <v>917</v>
      </c>
      <c r="F302" s="88" t="s">
        <v>918</v>
      </c>
      <c r="G302" s="89">
        <v>17.170000000000002</v>
      </c>
      <c r="H302" s="89">
        <v>20.78</v>
      </c>
      <c r="I302" s="90"/>
      <c r="J302" s="91"/>
    </row>
    <row r="303" spans="1:10" x14ac:dyDescent="0.2">
      <c r="A303" s="61" t="s">
        <v>467</v>
      </c>
      <c r="B303" s="61" t="s">
        <v>1101</v>
      </c>
      <c r="C303" s="61" t="s">
        <v>1102</v>
      </c>
      <c r="D303" s="62" t="s">
        <v>939</v>
      </c>
      <c r="E303" s="92" t="s">
        <v>919</v>
      </c>
      <c r="F303" s="62" t="s">
        <v>829</v>
      </c>
      <c r="G303" s="63">
        <v>27.69</v>
      </c>
      <c r="H303" s="63">
        <v>33.5</v>
      </c>
      <c r="I303" s="65"/>
      <c r="J303" s="66"/>
    </row>
    <row r="304" spans="1:10" x14ac:dyDescent="0.2">
      <c r="A304" s="93" t="s">
        <v>467</v>
      </c>
      <c r="B304" s="93" t="s">
        <v>1101</v>
      </c>
      <c r="C304" s="93" t="s">
        <v>1103</v>
      </c>
      <c r="D304" s="94" t="s">
        <v>939</v>
      </c>
      <c r="E304" s="95" t="s">
        <v>917</v>
      </c>
      <c r="F304" s="96" t="s">
        <v>918</v>
      </c>
      <c r="G304" s="97">
        <v>20.77</v>
      </c>
      <c r="H304" s="97">
        <v>25.13</v>
      </c>
      <c r="I304" s="98"/>
      <c r="J304" s="99"/>
    </row>
    <row r="305" spans="1:10" x14ac:dyDescent="0.2">
      <c r="A305" s="55" t="s">
        <v>467</v>
      </c>
      <c r="B305" s="55" t="s">
        <v>1101</v>
      </c>
      <c r="C305" s="55" t="s">
        <v>1103</v>
      </c>
      <c r="D305" s="56" t="s">
        <v>939</v>
      </c>
      <c r="E305" s="100" t="s">
        <v>919</v>
      </c>
      <c r="F305" s="56" t="s">
        <v>829</v>
      </c>
      <c r="G305" s="57">
        <v>33.49</v>
      </c>
      <c r="H305" s="57">
        <v>40.520000000000003</v>
      </c>
      <c r="I305" s="59"/>
      <c r="J305" s="60"/>
    </row>
    <row r="306" spans="1:10" x14ac:dyDescent="0.2">
      <c r="A306" s="85" t="s">
        <v>467</v>
      </c>
      <c r="B306" s="85" t="s">
        <v>1104</v>
      </c>
      <c r="C306" s="85" t="s">
        <v>949</v>
      </c>
      <c r="D306" s="86" t="s">
        <v>931</v>
      </c>
      <c r="E306" s="87" t="s">
        <v>917</v>
      </c>
      <c r="F306" s="88" t="s">
        <v>918</v>
      </c>
      <c r="G306" s="89">
        <v>55.51</v>
      </c>
      <c r="H306" s="89">
        <v>67.17</v>
      </c>
      <c r="I306" s="90"/>
      <c r="J306" s="91"/>
    </row>
    <row r="307" spans="1:10" x14ac:dyDescent="0.2">
      <c r="A307" s="61" t="s">
        <v>467</v>
      </c>
      <c r="B307" s="61" t="s">
        <v>1104</v>
      </c>
      <c r="C307" s="61" t="s">
        <v>949</v>
      </c>
      <c r="D307" s="62" t="s">
        <v>931</v>
      </c>
      <c r="E307" s="92" t="s">
        <v>919</v>
      </c>
      <c r="F307" s="62" t="s">
        <v>829</v>
      </c>
      <c r="G307" s="63">
        <v>74.010000000000005</v>
      </c>
      <c r="H307" s="63">
        <v>89.55</v>
      </c>
      <c r="I307" s="65"/>
      <c r="J307" s="66"/>
    </row>
    <row r="308" spans="1:10" x14ac:dyDescent="0.2">
      <c r="A308" s="93" t="s">
        <v>467</v>
      </c>
      <c r="B308" s="93" t="s">
        <v>1105</v>
      </c>
      <c r="C308" s="93" t="s">
        <v>949</v>
      </c>
      <c r="D308" s="94" t="s">
        <v>931</v>
      </c>
      <c r="E308" s="95" t="s">
        <v>917</v>
      </c>
      <c r="F308" s="96" t="s">
        <v>918</v>
      </c>
      <c r="G308" s="97">
        <v>43.83</v>
      </c>
      <c r="H308" s="97">
        <v>53.03</v>
      </c>
      <c r="I308" s="98"/>
      <c r="J308" s="99"/>
    </row>
    <row r="309" spans="1:10" x14ac:dyDescent="0.2">
      <c r="A309" s="55" t="s">
        <v>467</v>
      </c>
      <c r="B309" s="55" t="s">
        <v>1105</v>
      </c>
      <c r="C309" s="55" t="s">
        <v>949</v>
      </c>
      <c r="D309" s="56" t="s">
        <v>931</v>
      </c>
      <c r="E309" s="100" t="s">
        <v>919</v>
      </c>
      <c r="F309" s="56" t="s">
        <v>829</v>
      </c>
      <c r="G309" s="57">
        <v>58.44</v>
      </c>
      <c r="H309" s="57">
        <v>70.709999999999994</v>
      </c>
      <c r="I309" s="59"/>
      <c r="J309" s="60"/>
    </row>
    <row r="310" spans="1:10" x14ac:dyDescent="0.2">
      <c r="A310" s="85" t="s">
        <v>467</v>
      </c>
      <c r="B310" s="85" t="s">
        <v>1105</v>
      </c>
      <c r="C310" s="85" t="s">
        <v>950</v>
      </c>
      <c r="D310" s="86" t="s">
        <v>931</v>
      </c>
      <c r="E310" s="87" t="s">
        <v>917</v>
      </c>
      <c r="F310" s="88" t="s">
        <v>918</v>
      </c>
      <c r="G310" s="89">
        <v>40.56</v>
      </c>
      <c r="H310" s="89">
        <v>49.08</v>
      </c>
      <c r="I310" s="90"/>
      <c r="J310" s="91"/>
    </row>
    <row r="311" spans="1:10" x14ac:dyDescent="0.2">
      <c r="A311" s="61" t="s">
        <v>467</v>
      </c>
      <c r="B311" s="61" t="s">
        <v>1105</v>
      </c>
      <c r="C311" s="61" t="s">
        <v>950</v>
      </c>
      <c r="D311" s="62" t="s">
        <v>931</v>
      </c>
      <c r="E311" s="92" t="s">
        <v>919</v>
      </c>
      <c r="F311" s="62" t="s">
        <v>829</v>
      </c>
      <c r="G311" s="63">
        <v>54.07</v>
      </c>
      <c r="H311" s="63">
        <v>65.42</v>
      </c>
      <c r="I311" s="65"/>
      <c r="J311" s="66"/>
    </row>
    <row r="312" spans="1:10" x14ac:dyDescent="0.2">
      <c r="A312" s="93" t="s">
        <v>467</v>
      </c>
      <c r="B312" s="93" t="s">
        <v>1106</v>
      </c>
      <c r="C312" s="93" t="s">
        <v>1107</v>
      </c>
      <c r="D312" s="94" t="s">
        <v>916</v>
      </c>
      <c r="E312" s="95" t="s">
        <v>917</v>
      </c>
      <c r="F312" s="96" t="s">
        <v>918</v>
      </c>
      <c r="G312" s="97">
        <v>611.77</v>
      </c>
      <c r="H312" s="97">
        <v>740.24</v>
      </c>
      <c r="I312" s="98"/>
      <c r="J312" s="99"/>
    </row>
    <row r="313" spans="1:10" x14ac:dyDescent="0.2">
      <c r="A313" s="55" t="s">
        <v>467</v>
      </c>
      <c r="B313" s="55" t="s">
        <v>1106</v>
      </c>
      <c r="C313" s="55" t="s">
        <v>1107</v>
      </c>
      <c r="D313" s="56" t="s">
        <v>916</v>
      </c>
      <c r="E313" s="100" t="s">
        <v>919</v>
      </c>
      <c r="F313" s="56" t="s">
        <v>829</v>
      </c>
      <c r="G313" s="57">
        <v>941.18</v>
      </c>
      <c r="H313" s="57">
        <v>1138.83</v>
      </c>
      <c r="I313" s="59"/>
      <c r="J313" s="60"/>
    </row>
    <row r="314" spans="1:10" x14ac:dyDescent="0.2">
      <c r="A314" s="85" t="s">
        <v>467</v>
      </c>
      <c r="B314" s="85" t="s">
        <v>1106</v>
      </c>
      <c r="C314" s="85" t="s">
        <v>1108</v>
      </c>
      <c r="D314" s="86" t="s">
        <v>916</v>
      </c>
      <c r="E314" s="87" t="s">
        <v>917</v>
      </c>
      <c r="F314" s="88" t="s">
        <v>918</v>
      </c>
      <c r="G314" s="89">
        <v>367.06</v>
      </c>
      <c r="H314" s="89">
        <v>444.14</v>
      </c>
      <c r="I314" s="90"/>
      <c r="J314" s="91"/>
    </row>
    <row r="315" spans="1:10" x14ac:dyDescent="0.2">
      <c r="A315" s="61" t="s">
        <v>467</v>
      </c>
      <c r="B315" s="61" t="s">
        <v>1106</v>
      </c>
      <c r="C315" s="61" t="s">
        <v>1108</v>
      </c>
      <c r="D315" s="62" t="s">
        <v>916</v>
      </c>
      <c r="E315" s="92" t="s">
        <v>919</v>
      </c>
      <c r="F315" s="62" t="s">
        <v>829</v>
      </c>
      <c r="G315" s="63">
        <v>564.71</v>
      </c>
      <c r="H315" s="63">
        <v>683.3</v>
      </c>
      <c r="I315" s="65"/>
      <c r="J315" s="66"/>
    </row>
    <row r="316" spans="1:10" x14ac:dyDescent="0.2">
      <c r="A316" s="93" t="s">
        <v>467</v>
      </c>
      <c r="B316" s="93" t="s">
        <v>1106</v>
      </c>
      <c r="C316" s="93" t="s">
        <v>1109</v>
      </c>
      <c r="D316" s="94" t="s">
        <v>916</v>
      </c>
      <c r="E316" s="95" t="s">
        <v>917</v>
      </c>
      <c r="F316" s="96" t="s">
        <v>918</v>
      </c>
      <c r="G316" s="97">
        <v>837.52</v>
      </c>
      <c r="H316" s="97">
        <v>1013.4</v>
      </c>
      <c r="I316" s="98"/>
      <c r="J316" s="99"/>
    </row>
    <row r="317" spans="1:10" x14ac:dyDescent="0.2">
      <c r="A317" s="55" t="s">
        <v>467</v>
      </c>
      <c r="B317" s="55" t="s">
        <v>1106</v>
      </c>
      <c r="C317" s="55" t="s">
        <v>1109</v>
      </c>
      <c r="D317" s="56" t="s">
        <v>916</v>
      </c>
      <c r="E317" s="100" t="s">
        <v>919</v>
      </c>
      <c r="F317" s="56" t="s">
        <v>829</v>
      </c>
      <c r="G317" s="57">
        <v>1288.49</v>
      </c>
      <c r="H317" s="57">
        <v>1559.07</v>
      </c>
      <c r="I317" s="59"/>
      <c r="J317" s="60"/>
    </row>
    <row r="318" spans="1:10" x14ac:dyDescent="0.2">
      <c r="A318" s="85" t="s">
        <v>467</v>
      </c>
      <c r="B318" s="85" t="s">
        <v>1110</v>
      </c>
      <c r="C318" s="85" t="s">
        <v>1111</v>
      </c>
      <c r="D318" s="86" t="s">
        <v>916</v>
      </c>
      <c r="E318" s="87" t="s">
        <v>917</v>
      </c>
      <c r="F318" s="88" t="s">
        <v>918</v>
      </c>
      <c r="G318" s="89">
        <v>178.35</v>
      </c>
      <c r="H318" s="89">
        <v>215.8</v>
      </c>
      <c r="I318" s="90"/>
      <c r="J318" s="91"/>
    </row>
    <row r="319" spans="1:10" x14ac:dyDescent="0.2">
      <c r="A319" s="61" t="s">
        <v>467</v>
      </c>
      <c r="B319" s="61" t="s">
        <v>1110</v>
      </c>
      <c r="C319" s="61" t="s">
        <v>1111</v>
      </c>
      <c r="D319" s="62" t="s">
        <v>916</v>
      </c>
      <c r="E319" s="92" t="s">
        <v>919</v>
      </c>
      <c r="F319" s="62" t="s">
        <v>829</v>
      </c>
      <c r="G319" s="63">
        <v>274.39</v>
      </c>
      <c r="H319" s="63">
        <v>332.01</v>
      </c>
      <c r="I319" s="65"/>
      <c r="J319" s="66"/>
    </row>
    <row r="320" spans="1:10" x14ac:dyDescent="0.2">
      <c r="A320" s="93" t="s">
        <v>467</v>
      </c>
      <c r="B320" s="93" t="s">
        <v>1110</v>
      </c>
      <c r="C320" s="93" t="s">
        <v>1112</v>
      </c>
      <c r="D320" s="94" t="s">
        <v>916</v>
      </c>
      <c r="E320" s="95" t="s">
        <v>917</v>
      </c>
      <c r="F320" s="96" t="s">
        <v>918</v>
      </c>
      <c r="G320" s="97">
        <v>177.5</v>
      </c>
      <c r="H320" s="97">
        <v>214.78</v>
      </c>
      <c r="I320" s="98"/>
      <c r="J320" s="99"/>
    </row>
    <row r="321" spans="1:10" x14ac:dyDescent="0.2">
      <c r="A321" s="55" t="s">
        <v>467</v>
      </c>
      <c r="B321" s="55" t="s">
        <v>1110</v>
      </c>
      <c r="C321" s="55" t="s">
        <v>1112</v>
      </c>
      <c r="D321" s="56" t="s">
        <v>916</v>
      </c>
      <c r="E321" s="100" t="s">
        <v>919</v>
      </c>
      <c r="F321" s="56" t="s">
        <v>829</v>
      </c>
      <c r="G321" s="57">
        <v>273.08</v>
      </c>
      <c r="H321" s="57">
        <v>330.43</v>
      </c>
      <c r="I321" s="59"/>
      <c r="J321" s="60"/>
    </row>
    <row r="322" spans="1:10" x14ac:dyDescent="0.2">
      <c r="A322" s="85" t="s">
        <v>467</v>
      </c>
      <c r="B322" s="85" t="s">
        <v>1110</v>
      </c>
      <c r="C322" s="85" t="s">
        <v>960</v>
      </c>
      <c r="D322" s="86" t="s">
        <v>916</v>
      </c>
      <c r="E322" s="87" t="s">
        <v>917</v>
      </c>
      <c r="F322" s="88" t="s">
        <v>918</v>
      </c>
      <c r="G322" s="89">
        <v>186.98</v>
      </c>
      <c r="H322" s="89">
        <v>226.25</v>
      </c>
      <c r="I322" s="90"/>
      <c r="J322" s="91"/>
    </row>
    <row r="323" spans="1:10" x14ac:dyDescent="0.2">
      <c r="A323" s="61" t="s">
        <v>467</v>
      </c>
      <c r="B323" s="61" t="s">
        <v>1110</v>
      </c>
      <c r="C323" s="61" t="s">
        <v>960</v>
      </c>
      <c r="D323" s="62" t="s">
        <v>916</v>
      </c>
      <c r="E323" s="92" t="s">
        <v>919</v>
      </c>
      <c r="F323" s="62" t="s">
        <v>829</v>
      </c>
      <c r="G323" s="63">
        <v>287.66000000000003</v>
      </c>
      <c r="H323" s="63">
        <v>348.07</v>
      </c>
      <c r="I323" s="65"/>
      <c r="J323" s="66"/>
    </row>
    <row r="324" spans="1:10" x14ac:dyDescent="0.2">
      <c r="A324" s="93" t="s">
        <v>467</v>
      </c>
      <c r="B324" s="93" t="s">
        <v>1110</v>
      </c>
      <c r="C324" s="93" t="s">
        <v>961</v>
      </c>
      <c r="D324" s="94" t="s">
        <v>916</v>
      </c>
      <c r="E324" s="95" t="s">
        <v>917</v>
      </c>
      <c r="F324" s="96" t="s">
        <v>918</v>
      </c>
      <c r="G324" s="97">
        <v>206.53</v>
      </c>
      <c r="H324" s="97">
        <v>249.9</v>
      </c>
      <c r="I324" s="98"/>
      <c r="J324" s="99"/>
    </row>
    <row r="325" spans="1:10" x14ac:dyDescent="0.2">
      <c r="A325" s="55" t="s">
        <v>467</v>
      </c>
      <c r="B325" s="55" t="s">
        <v>1110</v>
      </c>
      <c r="C325" s="55" t="s">
        <v>961</v>
      </c>
      <c r="D325" s="56" t="s">
        <v>916</v>
      </c>
      <c r="E325" s="100" t="s">
        <v>919</v>
      </c>
      <c r="F325" s="56" t="s">
        <v>829</v>
      </c>
      <c r="G325" s="57">
        <v>317.75</v>
      </c>
      <c r="H325" s="57">
        <v>384.48</v>
      </c>
      <c r="I325" s="59"/>
      <c r="J325" s="60"/>
    </row>
    <row r="326" spans="1:10" x14ac:dyDescent="0.2">
      <c r="A326" s="85" t="s">
        <v>467</v>
      </c>
      <c r="B326" s="85" t="s">
        <v>1113</v>
      </c>
      <c r="C326" s="85" t="s">
        <v>949</v>
      </c>
      <c r="D326" s="86" t="s">
        <v>931</v>
      </c>
      <c r="E326" s="87" t="s">
        <v>917</v>
      </c>
      <c r="F326" s="88" t="s">
        <v>918</v>
      </c>
      <c r="G326" s="89">
        <v>49.44</v>
      </c>
      <c r="H326" s="89">
        <v>59.82</v>
      </c>
      <c r="I326" s="90"/>
      <c r="J326" s="91"/>
    </row>
    <row r="327" spans="1:10" x14ac:dyDescent="0.2">
      <c r="A327" s="61" t="s">
        <v>467</v>
      </c>
      <c r="B327" s="61" t="s">
        <v>1113</v>
      </c>
      <c r="C327" s="61" t="s">
        <v>949</v>
      </c>
      <c r="D327" s="62" t="s">
        <v>931</v>
      </c>
      <c r="E327" s="92" t="s">
        <v>919</v>
      </c>
      <c r="F327" s="62" t="s">
        <v>829</v>
      </c>
      <c r="G327" s="63">
        <v>65.92</v>
      </c>
      <c r="H327" s="63">
        <v>79.760000000000005</v>
      </c>
      <c r="I327" s="65"/>
      <c r="J327" s="66"/>
    </row>
    <row r="328" spans="1:10" x14ac:dyDescent="0.2">
      <c r="A328" s="93" t="s">
        <v>467</v>
      </c>
      <c r="B328" s="93" t="s">
        <v>1113</v>
      </c>
      <c r="C328" s="93" t="s">
        <v>1114</v>
      </c>
      <c r="D328" s="94" t="s">
        <v>931</v>
      </c>
      <c r="E328" s="95" t="s">
        <v>917</v>
      </c>
      <c r="F328" s="96" t="s">
        <v>918</v>
      </c>
      <c r="G328" s="97">
        <v>71.33</v>
      </c>
      <c r="H328" s="97">
        <v>86.31</v>
      </c>
      <c r="I328" s="98"/>
      <c r="J328" s="99"/>
    </row>
    <row r="329" spans="1:10" x14ac:dyDescent="0.2">
      <c r="A329" s="55" t="s">
        <v>467</v>
      </c>
      <c r="B329" s="55" t="s">
        <v>1113</v>
      </c>
      <c r="C329" s="55" t="s">
        <v>1114</v>
      </c>
      <c r="D329" s="56" t="s">
        <v>931</v>
      </c>
      <c r="E329" s="100" t="s">
        <v>919</v>
      </c>
      <c r="F329" s="56" t="s">
        <v>829</v>
      </c>
      <c r="G329" s="57">
        <v>95.11</v>
      </c>
      <c r="H329" s="57">
        <v>115.08</v>
      </c>
      <c r="I329" s="59"/>
      <c r="J329" s="60"/>
    </row>
    <row r="330" spans="1:10" x14ac:dyDescent="0.2">
      <c r="A330" s="85" t="s">
        <v>467</v>
      </c>
      <c r="B330" s="85" t="s">
        <v>1113</v>
      </c>
      <c r="C330" s="85" t="s">
        <v>950</v>
      </c>
      <c r="D330" s="86" t="s">
        <v>931</v>
      </c>
      <c r="E330" s="87" t="s">
        <v>917</v>
      </c>
      <c r="F330" s="88" t="s">
        <v>918</v>
      </c>
      <c r="G330" s="89">
        <v>48.33</v>
      </c>
      <c r="H330" s="89">
        <v>58.48</v>
      </c>
      <c r="I330" s="90"/>
      <c r="J330" s="91"/>
    </row>
    <row r="331" spans="1:10" x14ac:dyDescent="0.2">
      <c r="A331" s="61" t="s">
        <v>467</v>
      </c>
      <c r="B331" s="61" t="s">
        <v>1113</v>
      </c>
      <c r="C331" s="61" t="s">
        <v>950</v>
      </c>
      <c r="D331" s="62" t="s">
        <v>931</v>
      </c>
      <c r="E331" s="92" t="s">
        <v>919</v>
      </c>
      <c r="F331" s="62" t="s">
        <v>829</v>
      </c>
      <c r="G331" s="63">
        <v>64.44</v>
      </c>
      <c r="H331" s="63">
        <v>77.97</v>
      </c>
      <c r="I331" s="65"/>
      <c r="J331" s="66"/>
    </row>
  </sheetData>
  <autoFilter ref="A1:J33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71"/>
  <sheetViews>
    <sheetView workbookViewId="0">
      <pane xSplit="5" ySplit="5" topLeftCell="F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0" customWidth="1"/>
    <col min="2" max="2" width="30" customWidth="1"/>
    <col min="3" max="3" width="34" customWidth="1"/>
    <col min="4" max="4" width="7" customWidth="1"/>
    <col min="5" max="5" width="16" customWidth="1"/>
    <col min="6" max="11" width="13" customWidth="1"/>
    <col min="12" max="12" width="12" customWidth="1"/>
    <col min="13" max="15" width="13" customWidth="1"/>
    <col min="16" max="17" width="12" customWidth="1"/>
  </cols>
  <sheetData>
    <row r="1" spans="1:17" ht="30" customHeight="1" x14ac:dyDescent="0.2">
      <c r="A1" s="160" t="s">
        <v>1115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</row>
    <row r="2" spans="1:17" x14ac:dyDescent="0.2">
      <c r="A2" s="159" t="s">
        <v>1116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</row>
    <row r="3" spans="1:17" x14ac:dyDescent="0.2">
      <c r="A3" s="159" t="s">
        <v>1117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</row>
    <row r="5" spans="1:17" ht="42" customHeight="1" x14ac:dyDescent="0.2">
      <c r="A5" s="84" t="s">
        <v>111</v>
      </c>
      <c r="B5" s="84" t="s">
        <v>114</v>
      </c>
      <c r="C5" s="84" t="s">
        <v>907</v>
      </c>
      <c r="D5" s="84" t="s">
        <v>908</v>
      </c>
      <c r="E5" s="84" t="s">
        <v>886</v>
      </c>
      <c r="F5" s="84" t="s">
        <v>816</v>
      </c>
      <c r="G5" s="84" t="s">
        <v>1118</v>
      </c>
      <c r="H5" s="84" t="s">
        <v>887</v>
      </c>
      <c r="I5" s="84" t="s">
        <v>888</v>
      </c>
      <c r="J5" s="84" t="s">
        <v>1119</v>
      </c>
      <c r="K5" s="84" t="s">
        <v>889</v>
      </c>
      <c r="L5" s="84" t="s">
        <v>890</v>
      </c>
      <c r="M5" s="84" t="s">
        <v>891</v>
      </c>
      <c r="N5" s="84" t="s">
        <v>892</v>
      </c>
      <c r="O5" s="84" t="s">
        <v>1120</v>
      </c>
      <c r="P5" s="84" t="s">
        <v>1121</v>
      </c>
      <c r="Q5" s="84" t="s">
        <v>1122</v>
      </c>
    </row>
    <row r="6" spans="1:17" ht="16" x14ac:dyDescent="0.2">
      <c r="A6" s="55" t="s">
        <v>467</v>
      </c>
      <c r="B6" s="55" t="s">
        <v>914</v>
      </c>
      <c r="C6" s="55" t="s">
        <v>915</v>
      </c>
      <c r="D6" s="56" t="s">
        <v>916</v>
      </c>
      <c r="E6" s="101" t="s">
        <v>1123</v>
      </c>
      <c r="F6" s="57">
        <v>270.76</v>
      </c>
      <c r="G6" s="56" t="s">
        <v>918</v>
      </c>
      <c r="H6" s="57">
        <v>416.55</v>
      </c>
      <c r="I6" s="57">
        <v>504.03</v>
      </c>
      <c r="J6" s="56" t="s">
        <v>829</v>
      </c>
      <c r="K6" s="57">
        <v>145.79</v>
      </c>
      <c r="L6" s="58">
        <v>34.99939983195295</v>
      </c>
      <c r="M6" s="58">
        <v>53.844733343182163</v>
      </c>
      <c r="N6" s="60"/>
      <c r="O6" s="60"/>
      <c r="P6" s="102"/>
      <c r="Q6" s="103"/>
    </row>
    <row r="7" spans="1:17" ht="16" x14ac:dyDescent="0.2">
      <c r="A7" s="61" t="s">
        <v>467</v>
      </c>
      <c r="B7" s="61" t="s">
        <v>914</v>
      </c>
      <c r="C7" s="61" t="s">
        <v>920</v>
      </c>
      <c r="D7" s="62" t="s">
        <v>916</v>
      </c>
      <c r="E7" s="104" t="s">
        <v>1123</v>
      </c>
      <c r="F7" s="63">
        <v>186.62</v>
      </c>
      <c r="G7" s="62" t="s">
        <v>918</v>
      </c>
      <c r="H7" s="63">
        <v>287.10000000000002</v>
      </c>
      <c r="I7" s="63">
        <v>347.39</v>
      </c>
      <c r="J7" s="62" t="s">
        <v>829</v>
      </c>
      <c r="K7" s="63">
        <v>100.48</v>
      </c>
      <c r="L7" s="64">
        <v>34.998258446534322</v>
      </c>
      <c r="M7" s="64">
        <v>53.842031936555578</v>
      </c>
      <c r="N7" s="66"/>
      <c r="O7" s="66"/>
      <c r="P7" s="105"/>
      <c r="Q7" s="106"/>
    </row>
    <row r="8" spans="1:17" ht="16" x14ac:dyDescent="0.2">
      <c r="A8" s="55" t="s">
        <v>467</v>
      </c>
      <c r="B8" s="55" t="s">
        <v>921</v>
      </c>
      <c r="C8" s="55" t="s">
        <v>922</v>
      </c>
      <c r="D8" s="56" t="s">
        <v>916</v>
      </c>
      <c r="E8" s="101" t="s">
        <v>1123</v>
      </c>
      <c r="F8" s="57">
        <v>217.14</v>
      </c>
      <c r="G8" s="56" t="s">
        <v>918</v>
      </c>
      <c r="H8" s="57">
        <v>334.05</v>
      </c>
      <c r="I8" s="57">
        <v>404.2</v>
      </c>
      <c r="J8" s="56" t="s">
        <v>829</v>
      </c>
      <c r="K8" s="57">
        <v>116.91</v>
      </c>
      <c r="L8" s="58">
        <v>34.997754827121703</v>
      </c>
      <c r="M8" s="58">
        <v>53.840840011052791</v>
      </c>
      <c r="N8" s="60"/>
      <c r="O8" s="60"/>
      <c r="P8" s="102"/>
      <c r="Q8" s="103"/>
    </row>
    <row r="9" spans="1:17" ht="16" x14ac:dyDescent="0.2">
      <c r="A9" s="61" t="s">
        <v>467</v>
      </c>
      <c r="B9" s="61" t="s">
        <v>921</v>
      </c>
      <c r="C9" s="61" t="s">
        <v>923</v>
      </c>
      <c r="D9" s="62" t="s">
        <v>916</v>
      </c>
      <c r="E9" s="104" t="s">
        <v>1123</v>
      </c>
      <c r="F9" s="63">
        <v>228.96</v>
      </c>
      <c r="G9" s="62" t="s">
        <v>918</v>
      </c>
      <c r="H9" s="63">
        <v>352.25</v>
      </c>
      <c r="I9" s="63">
        <v>426.22</v>
      </c>
      <c r="J9" s="62" t="s">
        <v>829</v>
      </c>
      <c r="K9" s="63">
        <v>123.29</v>
      </c>
      <c r="L9" s="64">
        <v>35.000709723207947</v>
      </c>
      <c r="M9" s="64">
        <v>53.847833682739328</v>
      </c>
      <c r="N9" s="66"/>
      <c r="O9" s="66"/>
      <c r="P9" s="105"/>
      <c r="Q9" s="106"/>
    </row>
    <row r="10" spans="1:17" ht="16" x14ac:dyDescent="0.2">
      <c r="A10" s="55" t="s">
        <v>467</v>
      </c>
      <c r="B10" s="55" t="s">
        <v>924</v>
      </c>
      <c r="C10" s="55" t="s">
        <v>925</v>
      </c>
      <c r="D10" s="56" t="s">
        <v>926</v>
      </c>
      <c r="E10" s="101" t="s">
        <v>1123</v>
      </c>
      <c r="F10" s="57">
        <v>226.62</v>
      </c>
      <c r="G10" s="56" t="s">
        <v>918</v>
      </c>
      <c r="H10" s="57">
        <v>348.65</v>
      </c>
      <c r="I10" s="57">
        <v>421.87</v>
      </c>
      <c r="J10" s="56" t="s">
        <v>829</v>
      </c>
      <c r="K10" s="57">
        <v>122.03</v>
      </c>
      <c r="L10" s="58">
        <v>35.000717051484287</v>
      </c>
      <c r="M10" s="58">
        <v>53.847851028152839</v>
      </c>
      <c r="N10" s="60"/>
      <c r="O10" s="60"/>
      <c r="P10" s="102"/>
      <c r="Q10" s="103"/>
    </row>
    <row r="11" spans="1:17" ht="16" x14ac:dyDescent="0.2">
      <c r="A11" s="61" t="s">
        <v>467</v>
      </c>
      <c r="B11" s="61" t="s">
        <v>927</v>
      </c>
      <c r="C11" s="61" t="s">
        <v>928</v>
      </c>
      <c r="D11" s="62" t="s">
        <v>916</v>
      </c>
      <c r="E11" s="104" t="s">
        <v>1123</v>
      </c>
      <c r="F11" s="63">
        <v>1510.81</v>
      </c>
      <c r="G11" s="62" t="s">
        <v>918</v>
      </c>
      <c r="H11" s="63">
        <v>2324.3200000000002</v>
      </c>
      <c r="I11" s="63">
        <v>2812.43</v>
      </c>
      <c r="J11" s="62" t="s">
        <v>829</v>
      </c>
      <c r="K11" s="63">
        <v>813.51000000000022</v>
      </c>
      <c r="L11" s="64">
        <v>34.999913953328303</v>
      </c>
      <c r="M11" s="64">
        <v>53.845950185662019</v>
      </c>
      <c r="N11" s="66"/>
      <c r="O11" s="66"/>
      <c r="P11" s="105"/>
      <c r="Q11" s="106"/>
    </row>
    <row r="12" spans="1:17" ht="16" x14ac:dyDescent="0.2">
      <c r="A12" s="55" t="s">
        <v>467</v>
      </c>
      <c r="B12" s="55" t="s">
        <v>929</v>
      </c>
      <c r="C12" s="55" t="s">
        <v>930</v>
      </c>
      <c r="D12" s="56" t="s">
        <v>931</v>
      </c>
      <c r="E12" s="101" t="s">
        <v>1123</v>
      </c>
      <c r="F12" s="57">
        <v>789.72</v>
      </c>
      <c r="G12" s="56" t="s">
        <v>918</v>
      </c>
      <c r="H12" s="57">
        <v>1052.96</v>
      </c>
      <c r="I12" s="57">
        <v>1274.08</v>
      </c>
      <c r="J12" s="56" t="s">
        <v>829</v>
      </c>
      <c r="K12" s="57">
        <v>263.24</v>
      </c>
      <c r="L12" s="58">
        <v>25</v>
      </c>
      <c r="M12" s="58">
        <v>33.333333333333329</v>
      </c>
      <c r="N12" s="60"/>
      <c r="O12" s="60"/>
      <c r="P12" s="102"/>
      <c r="Q12" s="103"/>
    </row>
    <row r="13" spans="1:17" ht="16" x14ac:dyDescent="0.2">
      <c r="A13" s="61" t="s">
        <v>467</v>
      </c>
      <c r="B13" s="61" t="s">
        <v>929</v>
      </c>
      <c r="C13" s="61" t="s">
        <v>932</v>
      </c>
      <c r="D13" s="62" t="s">
        <v>931</v>
      </c>
      <c r="E13" s="104" t="s">
        <v>1123</v>
      </c>
      <c r="F13" s="63">
        <v>1035.01</v>
      </c>
      <c r="G13" s="62" t="s">
        <v>918</v>
      </c>
      <c r="H13" s="63">
        <v>1380.01</v>
      </c>
      <c r="I13" s="63">
        <v>1669.81</v>
      </c>
      <c r="J13" s="62" t="s">
        <v>829</v>
      </c>
      <c r="K13" s="63">
        <v>345</v>
      </c>
      <c r="L13" s="64">
        <v>24.999818841892449</v>
      </c>
      <c r="M13" s="64">
        <v>33.333011275253376</v>
      </c>
      <c r="N13" s="66"/>
      <c r="O13" s="66"/>
      <c r="P13" s="105"/>
      <c r="Q13" s="106"/>
    </row>
    <row r="14" spans="1:17" ht="16" x14ac:dyDescent="0.2">
      <c r="A14" s="55" t="s">
        <v>467</v>
      </c>
      <c r="B14" s="55" t="s">
        <v>933</v>
      </c>
      <c r="C14" s="55" t="s">
        <v>928</v>
      </c>
      <c r="D14" s="56" t="s">
        <v>916</v>
      </c>
      <c r="E14" s="101" t="s">
        <v>1123</v>
      </c>
      <c r="F14" s="57">
        <v>1073.6099999999999</v>
      </c>
      <c r="G14" s="56" t="s">
        <v>918</v>
      </c>
      <c r="H14" s="57">
        <v>1651.71</v>
      </c>
      <c r="I14" s="57">
        <v>1998.57</v>
      </c>
      <c r="J14" s="56" t="s">
        <v>829</v>
      </c>
      <c r="K14" s="57">
        <v>578.10000000000014</v>
      </c>
      <c r="L14" s="58">
        <v>35.000090814973568</v>
      </c>
      <c r="M14" s="58">
        <v>53.846368793137188</v>
      </c>
      <c r="N14" s="60"/>
      <c r="O14" s="60"/>
      <c r="P14" s="102"/>
      <c r="Q14" s="103"/>
    </row>
    <row r="15" spans="1:17" ht="16" x14ac:dyDescent="0.2">
      <c r="A15" s="61" t="s">
        <v>467</v>
      </c>
      <c r="B15" s="61" t="s">
        <v>934</v>
      </c>
      <c r="C15" s="61" t="s">
        <v>935</v>
      </c>
      <c r="D15" s="62" t="s">
        <v>916</v>
      </c>
      <c r="E15" s="104" t="s">
        <v>1123</v>
      </c>
      <c r="F15" s="63">
        <v>54.88</v>
      </c>
      <c r="G15" s="62" t="s">
        <v>918</v>
      </c>
      <c r="H15" s="63">
        <v>84.43</v>
      </c>
      <c r="I15" s="63">
        <v>102.16</v>
      </c>
      <c r="J15" s="62" t="s">
        <v>829</v>
      </c>
      <c r="K15" s="63">
        <v>29.55</v>
      </c>
      <c r="L15" s="64">
        <v>34.999407793438351</v>
      </c>
      <c r="M15" s="64">
        <v>53.844752186588927</v>
      </c>
      <c r="N15" s="66"/>
      <c r="O15" s="66"/>
      <c r="P15" s="105"/>
      <c r="Q15" s="106"/>
    </row>
    <row r="16" spans="1:17" ht="16" x14ac:dyDescent="0.2">
      <c r="A16" s="55" t="s">
        <v>467</v>
      </c>
      <c r="B16" s="55" t="s">
        <v>934</v>
      </c>
      <c r="C16" s="55" t="s">
        <v>936</v>
      </c>
      <c r="D16" s="56" t="s">
        <v>916</v>
      </c>
      <c r="E16" s="101" t="s">
        <v>1123</v>
      </c>
      <c r="F16" s="57">
        <v>27.52</v>
      </c>
      <c r="G16" s="56" t="s">
        <v>918</v>
      </c>
      <c r="H16" s="57">
        <v>42.34</v>
      </c>
      <c r="I16" s="57">
        <v>51.23</v>
      </c>
      <c r="J16" s="56" t="s">
        <v>829</v>
      </c>
      <c r="K16" s="57">
        <v>14.82</v>
      </c>
      <c r="L16" s="58">
        <v>35.002361832782249</v>
      </c>
      <c r="M16" s="58">
        <v>53.851744186046517</v>
      </c>
      <c r="N16" s="60"/>
      <c r="O16" s="60"/>
      <c r="P16" s="102"/>
      <c r="Q16" s="103"/>
    </row>
    <row r="17" spans="1:17" ht="16" x14ac:dyDescent="0.2">
      <c r="A17" s="61" t="s">
        <v>467</v>
      </c>
      <c r="B17" s="61" t="s">
        <v>937</v>
      </c>
      <c r="C17" s="61" t="s">
        <v>938</v>
      </c>
      <c r="D17" s="62" t="s">
        <v>939</v>
      </c>
      <c r="E17" s="104" t="s">
        <v>1123</v>
      </c>
      <c r="F17" s="63">
        <v>18.440000000000001</v>
      </c>
      <c r="G17" s="62" t="s">
        <v>918</v>
      </c>
      <c r="H17" s="63">
        <v>29.74</v>
      </c>
      <c r="I17" s="63">
        <v>35.99</v>
      </c>
      <c r="J17" s="62" t="s">
        <v>829</v>
      </c>
      <c r="K17" s="63">
        <v>11.3</v>
      </c>
      <c r="L17" s="64">
        <v>37.995965030262262</v>
      </c>
      <c r="M17" s="64">
        <v>61.27982646420822</v>
      </c>
      <c r="N17" s="66"/>
      <c r="O17" s="66"/>
      <c r="P17" s="105"/>
      <c r="Q17" s="106"/>
    </row>
    <row r="18" spans="1:17" ht="16" x14ac:dyDescent="0.2">
      <c r="A18" s="55" t="s">
        <v>467</v>
      </c>
      <c r="B18" s="55" t="s">
        <v>937</v>
      </c>
      <c r="C18" s="55" t="s">
        <v>940</v>
      </c>
      <c r="D18" s="56" t="s">
        <v>939</v>
      </c>
      <c r="E18" s="101" t="s">
        <v>1123</v>
      </c>
      <c r="F18" s="57">
        <v>19.36</v>
      </c>
      <c r="G18" s="56" t="s">
        <v>918</v>
      </c>
      <c r="H18" s="57">
        <v>31.23</v>
      </c>
      <c r="I18" s="57">
        <v>37.79</v>
      </c>
      <c r="J18" s="56" t="s">
        <v>829</v>
      </c>
      <c r="K18" s="57">
        <v>11.87</v>
      </c>
      <c r="L18" s="58">
        <v>38.008325328210063</v>
      </c>
      <c r="M18" s="58">
        <v>61.311983471074377</v>
      </c>
      <c r="N18" s="60"/>
      <c r="O18" s="60"/>
      <c r="P18" s="102"/>
      <c r="Q18" s="103"/>
    </row>
    <row r="19" spans="1:17" ht="16" x14ac:dyDescent="0.2">
      <c r="A19" s="61" t="s">
        <v>467</v>
      </c>
      <c r="B19" s="61" t="s">
        <v>941</v>
      </c>
      <c r="C19" s="61" t="s">
        <v>942</v>
      </c>
      <c r="D19" s="62" t="s">
        <v>916</v>
      </c>
      <c r="E19" s="104" t="s">
        <v>1123</v>
      </c>
      <c r="F19" s="63">
        <v>41.58</v>
      </c>
      <c r="G19" s="62" t="s">
        <v>918</v>
      </c>
      <c r="H19" s="63">
        <v>63.96</v>
      </c>
      <c r="I19" s="63">
        <v>77.39</v>
      </c>
      <c r="J19" s="62" t="s">
        <v>829</v>
      </c>
      <c r="K19" s="63">
        <v>22.38</v>
      </c>
      <c r="L19" s="64">
        <v>34.990619136960603</v>
      </c>
      <c r="M19" s="64">
        <v>53.823953823953829</v>
      </c>
      <c r="N19" s="66"/>
      <c r="O19" s="66"/>
      <c r="P19" s="105"/>
      <c r="Q19" s="106"/>
    </row>
    <row r="20" spans="1:17" ht="16" x14ac:dyDescent="0.2">
      <c r="A20" s="55" t="s">
        <v>467</v>
      </c>
      <c r="B20" s="55" t="s">
        <v>941</v>
      </c>
      <c r="C20" s="55" t="s">
        <v>943</v>
      </c>
      <c r="D20" s="56" t="s">
        <v>916</v>
      </c>
      <c r="E20" s="101" t="s">
        <v>1123</v>
      </c>
      <c r="F20" s="57">
        <v>54.81</v>
      </c>
      <c r="G20" s="56" t="s">
        <v>918</v>
      </c>
      <c r="H20" s="57">
        <v>84.32</v>
      </c>
      <c r="I20" s="57">
        <v>102.03</v>
      </c>
      <c r="J20" s="56" t="s">
        <v>829</v>
      </c>
      <c r="K20" s="57">
        <v>29.509999999999991</v>
      </c>
      <c r="L20" s="58">
        <v>34.997628083491463</v>
      </c>
      <c r="M20" s="58">
        <v>53.840540047436583</v>
      </c>
      <c r="N20" s="60"/>
      <c r="O20" s="60"/>
      <c r="P20" s="102"/>
      <c r="Q20" s="103"/>
    </row>
    <row r="21" spans="1:17" ht="16" x14ac:dyDescent="0.2">
      <c r="A21" s="61" t="s">
        <v>467</v>
      </c>
      <c r="B21" s="61" t="s">
        <v>941</v>
      </c>
      <c r="C21" s="61" t="s">
        <v>944</v>
      </c>
      <c r="D21" s="62" t="s">
        <v>916</v>
      </c>
      <c r="E21" s="104" t="s">
        <v>1123</v>
      </c>
      <c r="F21" s="63">
        <v>43.92</v>
      </c>
      <c r="G21" s="62" t="s">
        <v>918</v>
      </c>
      <c r="H21" s="63">
        <v>67.569999999999993</v>
      </c>
      <c r="I21" s="63">
        <v>81.760000000000005</v>
      </c>
      <c r="J21" s="62" t="s">
        <v>829</v>
      </c>
      <c r="K21" s="63">
        <v>23.649999999999991</v>
      </c>
      <c r="L21" s="64">
        <v>35.00073997336095</v>
      </c>
      <c r="M21" s="64">
        <v>53.847905282331489</v>
      </c>
      <c r="N21" s="66"/>
      <c r="O21" s="66"/>
      <c r="P21" s="105"/>
      <c r="Q21" s="106"/>
    </row>
    <row r="22" spans="1:17" ht="16" x14ac:dyDescent="0.2">
      <c r="A22" s="55" t="s">
        <v>467</v>
      </c>
      <c r="B22" s="55" t="s">
        <v>941</v>
      </c>
      <c r="C22" s="55" t="s">
        <v>945</v>
      </c>
      <c r="D22" s="56" t="s">
        <v>916</v>
      </c>
      <c r="E22" s="101" t="s">
        <v>1123</v>
      </c>
      <c r="F22" s="57">
        <v>55.63</v>
      </c>
      <c r="G22" s="56" t="s">
        <v>918</v>
      </c>
      <c r="H22" s="57">
        <v>85.59</v>
      </c>
      <c r="I22" s="57">
        <v>103.56</v>
      </c>
      <c r="J22" s="56" t="s">
        <v>829</v>
      </c>
      <c r="K22" s="57">
        <v>29.96</v>
      </c>
      <c r="L22" s="58">
        <v>35.004089262764353</v>
      </c>
      <c r="M22" s="58">
        <v>53.85583318353406</v>
      </c>
      <c r="N22" s="60"/>
      <c r="O22" s="60"/>
      <c r="P22" s="102"/>
      <c r="Q22" s="103"/>
    </row>
    <row r="23" spans="1:17" ht="16" x14ac:dyDescent="0.2">
      <c r="A23" s="61" t="s">
        <v>467</v>
      </c>
      <c r="B23" s="61" t="s">
        <v>946</v>
      </c>
      <c r="C23" s="61" t="s">
        <v>947</v>
      </c>
      <c r="D23" s="62" t="s">
        <v>916</v>
      </c>
      <c r="E23" s="104" t="s">
        <v>1123</v>
      </c>
      <c r="F23" s="63">
        <v>139.66999999999999</v>
      </c>
      <c r="G23" s="62" t="s">
        <v>918</v>
      </c>
      <c r="H23" s="63">
        <v>251.66</v>
      </c>
      <c r="I23" s="63">
        <v>304.51</v>
      </c>
      <c r="J23" s="62" t="s">
        <v>829</v>
      </c>
      <c r="K23" s="63">
        <v>111.99</v>
      </c>
      <c r="L23" s="64">
        <v>44.500516569975368</v>
      </c>
      <c r="M23" s="64">
        <v>80.181857234910879</v>
      </c>
      <c r="N23" s="66"/>
      <c r="O23" s="66"/>
      <c r="P23" s="105"/>
      <c r="Q23" s="106"/>
    </row>
    <row r="24" spans="1:17" ht="16" x14ac:dyDescent="0.2">
      <c r="A24" s="55" t="s">
        <v>467</v>
      </c>
      <c r="B24" s="55" t="s">
        <v>948</v>
      </c>
      <c r="C24" s="55" t="s">
        <v>949</v>
      </c>
      <c r="D24" s="56" t="s">
        <v>931</v>
      </c>
      <c r="E24" s="101" t="s">
        <v>1123</v>
      </c>
      <c r="F24" s="57">
        <v>52.19</v>
      </c>
      <c r="G24" s="56" t="s">
        <v>918</v>
      </c>
      <c r="H24" s="57">
        <v>69.58</v>
      </c>
      <c r="I24" s="57">
        <v>84.19</v>
      </c>
      <c r="J24" s="56" t="s">
        <v>829</v>
      </c>
      <c r="K24" s="57">
        <v>17.39</v>
      </c>
      <c r="L24" s="58">
        <v>24.992814027019261</v>
      </c>
      <c r="M24" s="58">
        <v>33.320559494155972</v>
      </c>
      <c r="N24" s="60"/>
      <c r="O24" s="60"/>
      <c r="P24" s="102"/>
      <c r="Q24" s="103"/>
    </row>
    <row r="25" spans="1:17" ht="16" x14ac:dyDescent="0.2">
      <c r="A25" s="61" t="s">
        <v>467</v>
      </c>
      <c r="B25" s="61" t="s">
        <v>948</v>
      </c>
      <c r="C25" s="61" t="s">
        <v>950</v>
      </c>
      <c r="D25" s="62" t="s">
        <v>931</v>
      </c>
      <c r="E25" s="104" t="s">
        <v>1123</v>
      </c>
      <c r="F25" s="63">
        <v>43.89</v>
      </c>
      <c r="G25" s="62" t="s">
        <v>918</v>
      </c>
      <c r="H25" s="63">
        <v>58.52</v>
      </c>
      <c r="I25" s="63">
        <v>70.81</v>
      </c>
      <c r="J25" s="62" t="s">
        <v>829</v>
      </c>
      <c r="K25" s="63">
        <v>14.63</v>
      </c>
      <c r="L25" s="64">
        <v>25.000000000000011</v>
      </c>
      <c r="M25" s="64">
        <v>33.333333333333343</v>
      </c>
      <c r="N25" s="66"/>
      <c r="O25" s="66"/>
      <c r="P25" s="105"/>
      <c r="Q25" s="106"/>
    </row>
    <row r="26" spans="1:17" ht="16" x14ac:dyDescent="0.2">
      <c r="A26" s="55" t="s">
        <v>467</v>
      </c>
      <c r="B26" s="55" t="s">
        <v>951</v>
      </c>
      <c r="C26" s="55" t="s">
        <v>952</v>
      </c>
      <c r="D26" s="56" t="s">
        <v>916</v>
      </c>
      <c r="E26" s="101" t="s">
        <v>1123</v>
      </c>
      <c r="F26" s="57">
        <v>342.68</v>
      </c>
      <c r="G26" s="56" t="s">
        <v>918</v>
      </c>
      <c r="H26" s="57">
        <v>527.21</v>
      </c>
      <c r="I26" s="57">
        <v>637.91999999999996</v>
      </c>
      <c r="J26" s="56" t="s">
        <v>829</v>
      </c>
      <c r="K26" s="57">
        <v>184.53</v>
      </c>
      <c r="L26" s="58">
        <v>35.001232905293911</v>
      </c>
      <c r="M26" s="58">
        <v>53.84907202054395</v>
      </c>
      <c r="N26" s="60"/>
      <c r="O26" s="60"/>
      <c r="P26" s="102"/>
      <c r="Q26" s="103"/>
    </row>
    <row r="27" spans="1:17" ht="16" x14ac:dyDescent="0.2">
      <c r="A27" s="61" t="s">
        <v>467</v>
      </c>
      <c r="B27" s="61" t="s">
        <v>951</v>
      </c>
      <c r="C27" s="61" t="s">
        <v>953</v>
      </c>
      <c r="D27" s="62" t="s">
        <v>916</v>
      </c>
      <c r="E27" s="104" t="s">
        <v>1123</v>
      </c>
      <c r="F27" s="63">
        <v>396.09</v>
      </c>
      <c r="G27" s="62" t="s">
        <v>918</v>
      </c>
      <c r="H27" s="63">
        <v>609.37</v>
      </c>
      <c r="I27" s="63">
        <v>737.34</v>
      </c>
      <c r="J27" s="62" t="s">
        <v>829</v>
      </c>
      <c r="K27" s="63">
        <v>213.28</v>
      </c>
      <c r="L27" s="64">
        <v>35.000082051955303</v>
      </c>
      <c r="M27" s="64">
        <v>53.846348052210367</v>
      </c>
      <c r="N27" s="66"/>
      <c r="O27" s="66"/>
      <c r="P27" s="105"/>
      <c r="Q27" s="106"/>
    </row>
    <row r="28" spans="1:17" ht="16" x14ac:dyDescent="0.2">
      <c r="A28" s="55" t="s">
        <v>467</v>
      </c>
      <c r="B28" s="55" t="s">
        <v>951</v>
      </c>
      <c r="C28" s="55" t="s">
        <v>954</v>
      </c>
      <c r="D28" s="56" t="s">
        <v>916</v>
      </c>
      <c r="E28" s="101" t="s">
        <v>1123</v>
      </c>
      <c r="F28" s="57">
        <v>412.95</v>
      </c>
      <c r="G28" s="56" t="s">
        <v>918</v>
      </c>
      <c r="H28" s="57">
        <v>635.32000000000005</v>
      </c>
      <c r="I28" s="57">
        <v>768.74</v>
      </c>
      <c r="J28" s="56" t="s">
        <v>829</v>
      </c>
      <c r="K28" s="57">
        <v>222.37000000000009</v>
      </c>
      <c r="L28" s="58">
        <v>35.001259207958199</v>
      </c>
      <c r="M28" s="58">
        <v>53.849134277757607</v>
      </c>
      <c r="N28" s="60"/>
      <c r="O28" s="60"/>
      <c r="P28" s="102"/>
      <c r="Q28" s="103"/>
    </row>
    <row r="29" spans="1:17" ht="16" x14ac:dyDescent="0.2">
      <c r="A29" s="61" t="s">
        <v>467</v>
      </c>
      <c r="B29" s="61" t="s">
        <v>951</v>
      </c>
      <c r="C29" s="61" t="s">
        <v>955</v>
      </c>
      <c r="D29" s="62" t="s">
        <v>916</v>
      </c>
      <c r="E29" s="104" t="s">
        <v>1123</v>
      </c>
      <c r="F29" s="63">
        <v>479.59</v>
      </c>
      <c r="G29" s="62" t="s">
        <v>918</v>
      </c>
      <c r="H29" s="63">
        <v>737.84</v>
      </c>
      <c r="I29" s="63">
        <v>892.79</v>
      </c>
      <c r="J29" s="62" t="s">
        <v>829</v>
      </c>
      <c r="K29" s="63">
        <v>258.25000000000011</v>
      </c>
      <c r="L29" s="64">
        <v>35.000813184430243</v>
      </c>
      <c r="M29" s="64">
        <v>53.848078567109432</v>
      </c>
      <c r="N29" s="66"/>
      <c r="O29" s="66"/>
      <c r="P29" s="105"/>
      <c r="Q29" s="106"/>
    </row>
    <row r="30" spans="1:17" ht="16" x14ac:dyDescent="0.2">
      <c r="A30" s="55" t="s">
        <v>467</v>
      </c>
      <c r="B30" s="55" t="s">
        <v>951</v>
      </c>
      <c r="C30" s="55" t="s">
        <v>956</v>
      </c>
      <c r="D30" s="56" t="s">
        <v>916</v>
      </c>
      <c r="E30" s="101" t="s">
        <v>1123</v>
      </c>
      <c r="F30" s="57">
        <v>506.65</v>
      </c>
      <c r="G30" s="56" t="s">
        <v>918</v>
      </c>
      <c r="H30" s="57">
        <v>779.46</v>
      </c>
      <c r="I30" s="57">
        <v>943.15</v>
      </c>
      <c r="J30" s="56" t="s">
        <v>829</v>
      </c>
      <c r="K30" s="57">
        <v>272.81000000000012</v>
      </c>
      <c r="L30" s="58">
        <v>34.999871706052907</v>
      </c>
      <c r="M30" s="58">
        <v>53.845850192440558</v>
      </c>
      <c r="N30" s="60"/>
      <c r="O30" s="60"/>
      <c r="P30" s="102"/>
      <c r="Q30" s="103"/>
    </row>
    <row r="31" spans="1:17" ht="16" x14ac:dyDescent="0.2">
      <c r="A31" s="61" t="s">
        <v>467</v>
      </c>
      <c r="B31" s="61" t="s">
        <v>951</v>
      </c>
      <c r="C31" s="61" t="s">
        <v>957</v>
      </c>
      <c r="D31" s="62" t="s">
        <v>916</v>
      </c>
      <c r="E31" s="104" t="s">
        <v>1123</v>
      </c>
      <c r="F31" s="63">
        <v>603.5</v>
      </c>
      <c r="G31" s="62" t="s">
        <v>918</v>
      </c>
      <c r="H31" s="63">
        <v>928.47</v>
      </c>
      <c r="I31" s="63">
        <v>1123.45</v>
      </c>
      <c r="J31" s="62" t="s">
        <v>829</v>
      </c>
      <c r="K31" s="63">
        <v>324.97000000000003</v>
      </c>
      <c r="L31" s="64">
        <v>35.000592372397612</v>
      </c>
      <c r="M31" s="64">
        <v>53.847555923777968</v>
      </c>
      <c r="N31" s="66"/>
      <c r="O31" s="66"/>
      <c r="P31" s="105"/>
      <c r="Q31" s="106"/>
    </row>
    <row r="32" spans="1:17" ht="16" x14ac:dyDescent="0.2">
      <c r="A32" s="55" t="s">
        <v>467</v>
      </c>
      <c r="B32" s="55" t="s">
        <v>951</v>
      </c>
      <c r="C32" s="55" t="s">
        <v>958</v>
      </c>
      <c r="D32" s="56" t="s">
        <v>916</v>
      </c>
      <c r="E32" s="101" t="s">
        <v>1123</v>
      </c>
      <c r="F32" s="57">
        <v>689</v>
      </c>
      <c r="G32" s="56" t="s">
        <v>918</v>
      </c>
      <c r="H32" s="57">
        <v>1060</v>
      </c>
      <c r="I32" s="57">
        <v>1282.5999999999999</v>
      </c>
      <c r="J32" s="56" t="s">
        <v>829</v>
      </c>
      <c r="K32" s="57">
        <v>371</v>
      </c>
      <c r="L32" s="58">
        <v>35</v>
      </c>
      <c r="M32" s="58">
        <v>53.846153846153847</v>
      </c>
      <c r="N32" s="60"/>
      <c r="O32" s="60"/>
      <c r="P32" s="102"/>
      <c r="Q32" s="103"/>
    </row>
    <row r="33" spans="1:17" ht="16" x14ac:dyDescent="0.2">
      <c r="A33" s="61" t="s">
        <v>467</v>
      </c>
      <c r="B33" s="61" t="s">
        <v>951</v>
      </c>
      <c r="C33" s="61" t="s">
        <v>959</v>
      </c>
      <c r="D33" s="62" t="s">
        <v>916</v>
      </c>
      <c r="E33" s="104" t="s">
        <v>1123</v>
      </c>
      <c r="F33" s="63">
        <v>694.04</v>
      </c>
      <c r="G33" s="62" t="s">
        <v>918</v>
      </c>
      <c r="H33" s="63">
        <v>1067.75</v>
      </c>
      <c r="I33" s="63">
        <v>1291.98</v>
      </c>
      <c r="J33" s="62" t="s">
        <v>829</v>
      </c>
      <c r="K33" s="63">
        <v>373.71</v>
      </c>
      <c r="L33" s="64">
        <v>34.999765862795599</v>
      </c>
      <c r="M33" s="64">
        <v>53.845599677252039</v>
      </c>
      <c r="N33" s="66"/>
      <c r="O33" s="66"/>
      <c r="P33" s="105"/>
      <c r="Q33" s="106"/>
    </row>
    <row r="34" spans="1:17" ht="16" x14ac:dyDescent="0.2">
      <c r="A34" s="55" t="s">
        <v>467</v>
      </c>
      <c r="B34" s="55" t="s">
        <v>951</v>
      </c>
      <c r="C34" s="55" t="s">
        <v>960</v>
      </c>
      <c r="D34" s="56" t="s">
        <v>916</v>
      </c>
      <c r="E34" s="101" t="s">
        <v>1123</v>
      </c>
      <c r="F34" s="57">
        <v>257.19</v>
      </c>
      <c r="G34" s="56" t="s">
        <v>918</v>
      </c>
      <c r="H34" s="57">
        <v>395.68</v>
      </c>
      <c r="I34" s="57">
        <v>478.77</v>
      </c>
      <c r="J34" s="56" t="s">
        <v>829</v>
      </c>
      <c r="K34" s="57">
        <v>138.49</v>
      </c>
      <c r="L34" s="58">
        <v>35.000505458956731</v>
      </c>
      <c r="M34" s="58">
        <v>53.847350208017417</v>
      </c>
      <c r="N34" s="60"/>
      <c r="O34" s="60"/>
      <c r="P34" s="102"/>
      <c r="Q34" s="103"/>
    </row>
    <row r="35" spans="1:17" ht="16" x14ac:dyDescent="0.2">
      <c r="A35" s="61" t="s">
        <v>467</v>
      </c>
      <c r="B35" s="61" t="s">
        <v>951</v>
      </c>
      <c r="C35" s="61" t="s">
        <v>961</v>
      </c>
      <c r="D35" s="62" t="s">
        <v>916</v>
      </c>
      <c r="E35" s="104" t="s">
        <v>1123</v>
      </c>
      <c r="F35" s="63">
        <v>290.22000000000003</v>
      </c>
      <c r="G35" s="62" t="s">
        <v>918</v>
      </c>
      <c r="H35" s="63">
        <v>446.49</v>
      </c>
      <c r="I35" s="63">
        <v>540.25</v>
      </c>
      <c r="J35" s="62" t="s">
        <v>829</v>
      </c>
      <c r="K35" s="63">
        <v>156.27000000000001</v>
      </c>
      <c r="L35" s="64">
        <v>34.999664046227238</v>
      </c>
      <c r="M35" s="64">
        <v>53.845358693404989</v>
      </c>
      <c r="N35" s="66"/>
      <c r="O35" s="66"/>
      <c r="P35" s="105"/>
      <c r="Q35" s="106"/>
    </row>
    <row r="36" spans="1:17" ht="16" x14ac:dyDescent="0.2">
      <c r="A36" s="55" t="s">
        <v>467</v>
      </c>
      <c r="B36" s="55" t="s">
        <v>962</v>
      </c>
      <c r="C36" s="55" t="s">
        <v>963</v>
      </c>
      <c r="D36" s="56" t="s">
        <v>939</v>
      </c>
      <c r="E36" s="101" t="s">
        <v>1123</v>
      </c>
      <c r="F36" s="57">
        <v>34.61</v>
      </c>
      <c r="G36" s="56" t="s">
        <v>918</v>
      </c>
      <c r="H36" s="57">
        <v>55.82</v>
      </c>
      <c r="I36" s="57">
        <v>67.540000000000006</v>
      </c>
      <c r="J36" s="56" t="s">
        <v>829</v>
      </c>
      <c r="K36" s="57">
        <v>21.21</v>
      </c>
      <c r="L36" s="58">
        <v>37.99713364385525</v>
      </c>
      <c r="M36" s="58">
        <v>61.282866223634791</v>
      </c>
      <c r="N36" s="60"/>
      <c r="O36" s="60"/>
      <c r="P36" s="102"/>
      <c r="Q36" s="103"/>
    </row>
    <row r="37" spans="1:17" ht="16" x14ac:dyDescent="0.2">
      <c r="A37" s="61" t="s">
        <v>467</v>
      </c>
      <c r="B37" s="61" t="s">
        <v>964</v>
      </c>
      <c r="C37" s="61" t="s">
        <v>965</v>
      </c>
      <c r="D37" s="62" t="s">
        <v>916</v>
      </c>
      <c r="E37" s="104" t="s">
        <v>1123</v>
      </c>
      <c r="F37" s="63">
        <v>140.88999999999999</v>
      </c>
      <c r="G37" s="62" t="s">
        <v>918</v>
      </c>
      <c r="H37" s="63">
        <v>216.76</v>
      </c>
      <c r="I37" s="63">
        <v>262.27999999999997</v>
      </c>
      <c r="J37" s="62" t="s">
        <v>829</v>
      </c>
      <c r="K37" s="63">
        <v>75.87</v>
      </c>
      <c r="L37" s="64">
        <v>35.00184535892231</v>
      </c>
      <c r="M37" s="64">
        <v>53.85052168358294</v>
      </c>
      <c r="N37" s="66"/>
      <c r="O37" s="66"/>
      <c r="P37" s="105"/>
      <c r="Q37" s="106"/>
    </row>
    <row r="38" spans="1:17" ht="16" x14ac:dyDescent="0.2">
      <c r="A38" s="55" t="s">
        <v>467</v>
      </c>
      <c r="B38" s="55" t="s">
        <v>966</v>
      </c>
      <c r="C38" s="55" t="s">
        <v>967</v>
      </c>
      <c r="D38" s="56" t="s">
        <v>916</v>
      </c>
      <c r="E38" s="101" t="s">
        <v>1123</v>
      </c>
      <c r="F38" s="57">
        <v>285.52999999999997</v>
      </c>
      <c r="G38" s="56" t="s">
        <v>918</v>
      </c>
      <c r="H38" s="57">
        <v>439.28</v>
      </c>
      <c r="I38" s="57">
        <v>531.53</v>
      </c>
      <c r="J38" s="56" t="s">
        <v>829</v>
      </c>
      <c r="K38" s="57">
        <v>153.75</v>
      </c>
      <c r="L38" s="58">
        <v>35.000455290475323</v>
      </c>
      <c r="M38" s="58">
        <v>53.847231464294467</v>
      </c>
      <c r="N38" s="60"/>
      <c r="O38" s="60"/>
      <c r="P38" s="102"/>
      <c r="Q38" s="103"/>
    </row>
    <row r="39" spans="1:17" ht="16" x14ac:dyDescent="0.2">
      <c r="A39" s="61" t="s">
        <v>467</v>
      </c>
      <c r="B39" s="61" t="s">
        <v>966</v>
      </c>
      <c r="C39" s="61" t="s">
        <v>968</v>
      </c>
      <c r="D39" s="62" t="s">
        <v>916</v>
      </c>
      <c r="E39" s="104" t="s">
        <v>1123</v>
      </c>
      <c r="F39" s="63">
        <v>334.63</v>
      </c>
      <c r="G39" s="62" t="s">
        <v>918</v>
      </c>
      <c r="H39" s="63">
        <v>514.82000000000005</v>
      </c>
      <c r="I39" s="63">
        <v>622.92999999999995</v>
      </c>
      <c r="J39" s="62" t="s">
        <v>829</v>
      </c>
      <c r="K39" s="63">
        <v>180.19000000000011</v>
      </c>
      <c r="L39" s="64">
        <v>35.000582727943751</v>
      </c>
      <c r="M39" s="64">
        <v>53.847533096255582</v>
      </c>
      <c r="N39" s="66"/>
      <c r="O39" s="66"/>
      <c r="P39" s="105"/>
      <c r="Q39" s="106"/>
    </row>
    <row r="40" spans="1:17" ht="16" x14ac:dyDescent="0.2">
      <c r="A40" s="55" t="s">
        <v>467</v>
      </c>
      <c r="B40" s="55" t="s">
        <v>966</v>
      </c>
      <c r="C40" s="55" t="s">
        <v>969</v>
      </c>
      <c r="D40" s="56" t="s">
        <v>916</v>
      </c>
      <c r="E40" s="101" t="s">
        <v>1123</v>
      </c>
      <c r="F40" s="57">
        <v>325.10000000000002</v>
      </c>
      <c r="G40" s="56" t="s">
        <v>918</v>
      </c>
      <c r="H40" s="57">
        <v>500.15</v>
      </c>
      <c r="I40" s="57">
        <v>605.17999999999995</v>
      </c>
      <c r="J40" s="56" t="s">
        <v>829</v>
      </c>
      <c r="K40" s="57">
        <v>175.05</v>
      </c>
      <c r="L40" s="58">
        <v>34.999500149954997</v>
      </c>
      <c r="M40" s="58">
        <v>53.84497077822207</v>
      </c>
      <c r="N40" s="60"/>
      <c r="O40" s="60"/>
      <c r="P40" s="102"/>
      <c r="Q40" s="103"/>
    </row>
    <row r="41" spans="1:17" ht="16" x14ac:dyDescent="0.2">
      <c r="A41" s="61" t="s">
        <v>467</v>
      </c>
      <c r="B41" s="61" t="s">
        <v>966</v>
      </c>
      <c r="C41" s="61" t="s">
        <v>970</v>
      </c>
      <c r="D41" s="62" t="s">
        <v>916</v>
      </c>
      <c r="E41" s="104" t="s">
        <v>1123</v>
      </c>
      <c r="F41" s="63">
        <v>358.03</v>
      </c>
      <c r="G41" s="62" t="s">
        <v>918</v>
      </c>
      <c r="H41" s="63">
        <v>550.82000000000005</v>
      </c>
      <c r="I41" s="63">
        <v>666.49</v>
      </c>
      <c r="J41" s="62" t="s">
        <v>829</v>
      </c>
      <c r="K41" s="63">
        <v>192.79000000000011</v>
      </c>
      <c r="L41" s="64">
        <v>35.000544642532958</v>
      </c>
      <c r="M41" s="64">
        <v>53.847442951707983</v>
      </c>
      <c r="N41" s="66"/>
      <c r="O41" s="66"/>
      <c r="P41" s="105"/>
      <c r="Q41" s="106"/>
    </row>
    <row r="42" spans="1:17" ht="16" x14ac:dyDescent="0.2">
      <c r="A42" s="55" t="s">
        <v>467</v>
      </c>
      <c r="B42" s="55" t="s">
        <v>966</v>
      </c>
      <c r="C42" s="55" t="s">
        <v>971</v>
      </c>
      <c r="D42" s="56" t="s">
        <v>916</v>
      </c>
      <c r="E42" s="101" t="s">
        <v>1123</v>
      </c>
      <c r="F42" s="57">
        <v>245.33</v>
      </c>
      <c r="G42" s="56" t="s">
        <v>918</v>
      </c>
      <c r="H42" s="57">
        <v>377.43</v>
      </c>
      <c r="I42" s="57">
        <v>456.69</v>
      </c>
      <c r="J42" s="56" t="s">
        <v>829</v>
      </c>
      <c r="K42" s="57">
        <v>132.1</v>
      </c>
      <c r="L42" s="58">
        <v>34.999867525103987</v>
      </c>
      <c r="M42" s="58">
        <v>53.845840296743162</v>
      </c>
      <c r="N42" s="60"/>
      <c r="O42" s="60"/>
      <c r="P42" s="102"/>
      <c r="Q42" s="103"/>
    </row>
    <row r="43" spans="1:17" ht="16" x14ac:dyDescent="0.2">
      <c r="A43" s="61" t="s">
        <v>467</v>
      </c>
      <c r="B43" s="61" t="s">
        <v>966</v>
      </c>
      <c r="C43" s="61" t="s">
        <v>972</v>
      </c>
      <c r="D43" s="62" t="s">
        <v>916</v>
      </c>
      <c r="E43" s="104" t="s">
        <v>1123</v>
      </c>
      <c r="F43" s="63">
        <v>263.01</v>
      </c>
      <c r="G43" s="62" t="s">
        <v>918</v>
      </c>
      <c r="H43" s="63">
        <v>404.63</v>
      </c>
      <c r="I43" s="63">
        <v>489.6</v>
      </c>
      <c r="J43" s="62" t="s">
        <v>829</v>
      </c>
      <c r="K43" s="63">
        <v>141.62</v>
      </c>
      <c r="L43" s="64">
        <v>34.999876430319063</v>
      </c>
      <c r="M43" s="64">
        <v>53.845861374092237</v>
      </c>
      <c r="N43" s="66"/>
      <c r="O43" s="66"/>
      <c r="P43" s="105"/>
      <c r="Q43" s="106"/>
    </row>
    <row r="44" spans="1:17" ht="16" x14ac:dyDescent="0.2">
      <c r="A44" s="55" t="s">
        <v>467</v>
      </c>
      <c r="B44" s="55" t="s">
        <v>966</v>
      </c>
      <c r="C44" s="55" t="s">
        <v>973</v>
      </c>
      <c r="D44" s="56" t="s">
        <v>916</v>
      </c>
      <c r="E44" s="101" t="s">
        <v>1123</v>
      </c>
      <c r="F44" s="57">
        <v>283.88</v>
      </c>
      <c r="G44" s="56" t="s">
        <v>918</v>
      </c>
      <c r="H44" s="57">
        <v>436.74</v>
      </c>
      <c r="I44" s="57">
        <v>528.46</v>
      </c>
      <c r="J44" s="56" t="s">
        <v>829</v>
      </c>
      <c r="K44" s="57">
        <v>152.86000000000001</v>
      </c>
      <c r="L44" s="58">
        <v>35.000228969180753</v>
      </c>
      <c r="M44" s="58">
        <v>53.846695786952239</v>
      </c>
      <c r="N44" s="60"/>
      <c r="O44" s="60"/>
      <c r="P44" s="102"/>
      <c r="Q44" s="103"/>
    </row>
    <row r="45" spans="1:17" ht="16" x14ac:dyDescent="0.2">
      <c r="A45" s="61" t="s">
        <v>467</v>
      </c>
      <c r="B45" s="61" t="s">
        <v>966</v>
      </c>
      <c r="C45" s="61" t="s">
        <v>974</v>
      </c>
      <c r="D45" s="62" t="s">
        <v>916</v>
      </c>
      <c r="E45" s="104" t="s">
        <v>1123</v>
      </c>
      <c r="F45" s="63">
        <v>317.27999999999997</v>
      </c>
      <c r="G45" s="62" t="s">
        <v>918</v>
      </c>
      <c r="H45" s="63">
        <v>488.12</v>
      </c>
      <c r="I45" s="63">
        <v>590.63</v>
      </c>
      <c r="J45" s="62" t="s">
        <v>829</v>
      </c>
      <c r="K45" s="63">
        <v>170.84</v>
      </c>
      <c r="L45" s="64">
        <v>34.999590264689019</v>
      </c>
      <c r="M45" s="64">
        <v>53.845184064548683</v>
      </c>
      <c r="N45" s="66"/>
      <c r="O45" s="66"/>
      <c r="P45" s="105"/>
      <c r="Q45" s="106"/>
    </row>
    <row r="46" spans="1:17" ht="16" x14ac:dyDescent="0.2">
      <c r="A46" s="55" t="s">
        <v>467</v>
      </c>
      <c r="B46" s="55" t="s">
        <v>966</v>
      </c>
      <c r="C46" s="55" t="s">
        <v>975</v>
      </c>
      <c r="D46" s="56" t="s">
        <v>916</v>
      </c>
      <c r="E46" s="101" t="s">
        <v>1123</v>
      </c>
      <c r="F46" s="57">
        <v>203.29</v>
      </c>
      <c r="G46" s="56" t="s">
        <v>918</v>
      </c>
      <c r="H46" s="57">
        <v>312.75</v>
      </c>
      <c r="I46" s="57">
        <v>378.43</v>
      </c>
      <c r="J46" s="56" t="s">
        <v>829</v>
      </c>
      <c r="K46" s="57">
        <v>109.46</v>
      </c>
      <c r="L46" s="58">
        <v>34.999200639488407</v>
      </c>
      <c r="M46" s="58">
        <v>53.844261891878602</v>
      </c>
      <c r="N46" s="60"/>
      <c r="O46" s="60"/>
      <c r="P46" s="102"/>
      <c r="Q46" s="103"/>
    </row>
    <row r="47" spans="1:17" ht="16" x14ac:dyDescent="0.2">
      <c r="A47" s="61" t="s">
        <v>467</v>
      </c>
      <c r="B47" s="61" t="s">
        <v>966</v>
      </c>
      <c r="C47" s="61" t="s">
        <v>976</v>
      </c>
      <c r="D47" s="62" t="s">
        <v>916</v>
      </c>
      <c r="E47" s="104" t="s">
        <v>1123</v>
      </c>
      <c r="F47" s="63">
        <v>232.21</v>
      </c>
      <c r="G47" s="62" t="s">
        <v>918</v>
      </c>
      <c r="H47" s="63">
        <v>357.25</v>
      </c>
      <c r="I47" s="63">
        <v>432.27</v>
      </c>
      <c r="J47" s="62" t="s">
        <v>829</v>
      </c>
      <c r="K47" s="63">
        <v>125.04</v>
      </c>
      <c r="L47" s="64">
        <v>35.000699790062981</v>
      </c>
      <c r="M47" s="64">
        <v>53.847810171827213</v>
      </c>
      <c r="N47" s="66"/>
      <c r="O47" s="66"/>
      <c r="P47" s="105"/>
      <c r="Q47" s="106"/>
    </row>
    <row r="48" spans="1:17" ht="16" x14ac:dyDescent="0.2">
      <c r="A48" s="55" t="s">
        <v>467</v>
      </c>
      <c r="B48" s="55" t="s">
        <v>966</v>
      </c>
      <c r="C48" s="55" t="s">
        <v>977</v>
      </c>
      <c r="D48" s="56" t="s">
        <v>916</v>
      </c>
      <c r="E48" s="101" t="s">
        <v>1123</v>
      </c>
      <c r="F48" s="57">
        <v>218.28</v>
      </c>
      <c r="G48" s="56" t="s">
        <v>918</v>
      </c>
      <c r="H48" s="57">
        <v>335.82</v>
      </c>
      <c r="I48" s="57">
        <v>406.34</v>
      </c>
      <c r="J48" s="56" t="s">
        <v>829</v>
      </c>
      <c r="K48" s="57">
        <v>117.54</v>
      </c>
      <c r="L48" s="58">
        <v>35.00089333571556</v>
      </c>
      <c r="M48" s="58">
        <v>53.848268279274322</v>
      </c>
      <c r="N48" s="60"/>
      <c r="O48" s="60"/>
      <c r="P48" s="102"/>
      <c r="Q48" s="103"/>
    </row>
    <row r="49" spans="1:17" ht="16" x14ac:dyDescent="0.2">
      <c r="A49" s="61" t="s">
        <v>467</v>
      </c>
      <c r="B49" s="61" t="s">
        <v>966</v>
      </c>
      <c r="C49" s="61" t="s">
        <v>978</v>
      </c>
      <c r="D49" s="62" t="s">
        <v>916</v>
      </c>
      <c r="E49" s="104" t="s">
        <v>1123</v>
      </c>
      <c r="F49" s="63">
        <v>228.9</v>
      </c>
      <c r="G49" s="62" t="s">
        <v>918</v>
      </c>
      <c r="H49" s="63">
        <v>352.15</v>
      </c>
      <c r="I49" s="63">
        <v>426.1</v>
      </c>
      <c r="J49" s="62" t="s">
        <v>829</v>
      </c>
      <c r="K49" s="63">
        <v>123.25</v>
      </c>
      <c r="L49" s="64">
        <v>34.999290075252013</v>
      </c>
      <c r="M49" s="64">
        <v>53.844473569244201</v>
      </c>
      <c r="N49" s="66"/>
      <c r="O49" s="66"/>
      <c r="P49" s="105"/>
      <c r="Q49" s="106"/>
    </row>
    <row r="50" spans="1:17" ht="16" x14ac:dyDescent="0.2">
      <c r="A50" s="55" t="s">
        <v>467</v>
      </c>
      <c r="B50" s="55" t="s">
        <v>966</v>
      </c>
      <c r="C50" s="55" t="s">
        <v>979</v>
      </c>
      <c r="D50" s="56" t="s">
        <v>916</v>
      </c>
      <c r="E50" s="101" t="s">
        <v>1123</v>
      </c>
      <c r="F50" s="57">
        <v>273.99</v>
      </c>
      <c r="G50" s="56" t="s">
        <v>918</v>
      </c>
      <c r="H50" s="57">
        <v>421.53</v>
      </c>
      <c r="I50" s="57">
        <v>510.05</v>
      </c>
      <c r="J50" s="56" t="s">
        <v>829</v>
      </c>
      <c r="K50" s="57">
        <v>147.54</v>
      </c>
      <c r="L50" s="58">
        <v>35.001067539676882</v>
      </c>
      <c r="M50" s="58">
        <v>53.848680608781329</v>
      </c>
      <c r="N50" s="60"/>
      <c r="O50" s="60"/>
      <c r="P50" s="102"/>
      <c r="Q50" s="103"/>
    </row>
    <row r="51" spans="1:17" ht="16" x14ac:dyDescent="0.2">
      <c r="A51" s="61" t="s">
        <v>467</v>
      </c>
      <c r="B51" s="61" t="s">
        <v>966</v>
      </c>
      <c r="C51" s="61" t="s">
        <v>980</v>
      </c>
      <c r="D51" s="62" t="s">
        <v>916</v>
      </c>
      <c r="E51" s="104" t="s">
        <v>1123</v>
      </c>
      <c r="F51" s="63">
        <v>279.99</v>
      </c>
      <c r="G51" s="62" t="s">
        <v>918</v>
      </c>
      <c r="H51" s="63">
        <v>430.75</v>
      </c>
      <c r="I51" s="63">
        <v>521.21</v>
      </c>
      <c r="J51" s="62" t="s">
        <v>829</v>
      </c>
      <c r="K51" s="63">
        <v>150.76</v>
      </c>
      <c r="L51" s="64">
        <v>34.999419616947179</v>
      </c>
      <c r="M51" s="64">
        <v>53.844780170720377</v>
      </c>
      <c r="N51" s="66"/>
      <c r="O51" s="66"/>
      <c r="P51" s="105"/>
      <c r="Q51" s="106"/>
    </row>
    <row r="52" spans="1:17" ht="16" x14ac:dyDescent="0.2">
      <c r="A52" s="55" t="s">
        <v>467</v>
      </c>
      <c r="B52" s="55" t="s">
        <v>966</v>
      </c>
      <c r="C52" s="55" t="s">
        <v>981</v>
      </c>
      <c r="D52" s="56" t="s">
        <v>916</v>
      </c>
      <c r="E52" s="101" t="s">
        <v>1123</v>
      </c>
      <c r="F52" s="57">
        <v>187.58</v>
      </c>
      <c r="G52" s="56" t="s">
        <v>918</v>
      </c>
      <c r="H52" s="57">
        <v>288.58999999999997</v>
      </c>
      <c r="I52" s="57">
        <v>349.19</v>
      </c>
      <c r="J52" s="56" t="s">
        <v>829</v>
      </c>
      <c r="K52" s="57">
        <v>101.01</v>
      </c>
      <c r="L52" s="58">
        <v>35.001212793236071</v>
      </c>
      <c r="M52" s="58">
        <v>53.849024416249037</v>
      </c>
      <c r="N52" s="60"/>
      <c r="O52" s="60"/>
      <c r="P52" s="102"/>
      <c r="Q52" s="103"/>
    </row>
    <row r="53" spans="1:17" ht="16" x14ac:dyDescent="0.2">
      <c r="A53" s="61" t="s">
        <v>467</v>
      </c>
      <c r="B53" s="61" t="s">
        <v>966</v>
      </c>
      <c r="C53" s="61" t="s">
        <v>982</v>
      </c>
      <c r="D53" s="62" t="s">
        <v>916</v>
      </c>
      <c r="E53" s="104" t="s">
        <v>1123</v>
      </c>
      <c r="F53" s="63">
        <v>208.21</v>
      </c>
      <c r="G53" s="62" t="s">
        <v>918</v>
      </c>
      <c r="H53" s="63">
        <v>320.32</v>
      </c>
      <c r="I53" s="63">
        <v>387.59</v>
      </c>
      <c r="J53" s="62" t="s">
        <v>829</v>
      </c>
      <c r="K53" s="63">
        <v>112.11</v>
      </c>
      <c r="L53" s="64">
        <v>34.999375624375617</v>
      </c>
      <c r="M53" s="64">
        <v>53.844676048220542</v>
      </c>
      <c r="N53" s="66"/>
      <c r="O53" s="66"/>
      <c r="P53" s="105"/>
      <c r="Q53" s="106"/>
    </row>
    <row r="54" spans="1:17" ht="16" x14ac:dyDescent="0.2">
      <c r="A54" s="55" t="s">
        <v>467</v>
      </c>
      <c r="B54" s="55" t="s">
        <v>966</v>
      </c>
      <c r="C54" s="55" t="s">
        <v>983</v>
      </c>
      <c r="D54" s="56" t="s">
        <v>916</v>
      </c>
      <c r="E54" s="101" t="s">
        <v>1123</v>
      </c>
      <c r="F54" s="57">
        <v>207.97</v>
      </c>
      <c r="G54" s="56" t="s">
        <v>918</v>
      </c>
      <c r="H54" s="57">
        <v>319.95</v>
      </c>
      <c r="I54" s="57">
        <v>387.14</v>
      </c>
      <c r="J54" s="56" t="s">
        <v>829</v>
      </c>
      <c r="K54" s="57">
        <v>111.98</v>
      </c>
      <c r="L54" s="58">
        <v>34.999218627910608</v>
      </c>
      <c r="M54" s="58">
        <v>53.844304466990422</v>
      </c>
      <c r="N54" s="60"/>
      <c r="O54" s="60"/>
      <c r="P54" s="102"/>
      <c r="Q54" s="103"/>
    </row>
    <row r="55" spans="1:17" ht="16" x14ac:dyDescent="0.2">
      <c r="A55" s="61" t="s">
        <v>467</v>
      </c>
      <c r="B55" s="61" t="s">
        <v>966</v>
      </c>
      <c r="C55" s="61" t="s">
        <v>984</v>
      </c>
      <c r="D55" s="62" t="s">
        <v>916</v>
      </c>
      <c r="E55" s="104" t="s">
        <v>1123</v>
      </c>
      <c r="F55" s="63">
        <v>235.95</v>
      </c>
      <c r="G55" s="62" t="s">
        <v>918</v>
      </c>
      <c r="H55" s="63">
        <v>363.01</v>
      </c>
      <c r="I55" s="63">
        <v>439.24</v>
      </c>
      <c r="J55" s="62" t="s">
        <v>829</v>
      </c>
      <c r="K55" s="63">
        <v>127.06</v>
      </c>
      <c r="L55" s="64">
        <v>35.00179058428143</v>
      </c>
      <c r="M55" s="64">
        <v>53.850392032210223</v>
      </c>
      <c r="N55" s="66"/>
      <c r="O55" s="66"/>
      <c r="P55" s="105"/>
      <c r="Q55" s="106"/>
    </row>
    <row r="56" spans="1:17" ht="16" x14ac:dyDescent="0.2">
      <c r="A56" s="55" t="s">
        <v>467</v>
      </c>
      <c r="B56" s="55" t="s">
        <v>966</v>
      </c>
      <c r="C56" s="55" t="s">
        <v>985</v>
      </c>
      <c r="D56" s="56" t="s">
        <v>916</v>
      </c>
      <c r="E56" s="101" t="s">
        <v>1123</v>
      </c>
      <c r="F56" s="57">
        <v>209.41</v>
      </c>
      <c r="G56" s="56" t="s">
        <v>918</v>
      </c>
      <c r="H56" s="57">
        <v>322.18</v>
      </c>
      <c r="I56" s="57">
        <v>389.84</v>
      </c>
      <c r="J56" s="56" t="s">
        <v>829</v>
      </c>
      <c r="K56" s="57">
        <v>112.77</v>
      </c>
      <c r="L56" s="58">
        <v>35.002172698491528</v>
      </c>
      <c r="M56" s="58">
        <v>53.851296499689603</v>
      </c>
      <c r="N56" s="60"/>
      <c r="O56" s="60"/>
      <c r="P56" s="102"/>
      <c r="Q56" s="103"/>
    </row>
    <row r="57" spans="1:17" ht="16" x14ac:dyDescent="0.2">
      <c r="A57" s="61" t="s">
        <v>467</v>
      </c>
      <c r="B57" s="61" t="s">
        <v>966</v>
      </c>
      <c r="C57" s="61" t="s">
        <v>986</v>
      </c>
      <c r="D57" s="62" t="s">
        <v>916</v>
      </c>
      <c r="E57" s="104" t="s">
        <v>1123</v>
      </c>
      <c r="F57" s="63">
        <v>237.88</v>
      </c>
      <c r="G57" s="62" t="s">
        <v>918</v>
      </c>
      <c r="H57" s="63">
        <v>365.97</v>
      </c>
      <c r="I57" s="63">
        <v>442.82</v>
      </c>
      <c r="J57" s="62" t="s">
        <v>829</v>
      </c>
      <c r="K57" s="63">
        <v>128.09</v>
      </c>
      <c r="L57" s="64">
        <v>35.000136623220492</v>
      </c>
      <c r="M57" s="64">
        <v>53.846477215402743</v>
      </c>
      <c r="N57" s="66"/>
      <c r="O57" s="66"/>
      <c r="P57" s="105"/>
      <c r="Q57" s="106"/>
    </row>
    <row r="58" spans="1:17" ht="16" x14ac:dyDescent="0.2">
      <c r="A58" s="55" t="s">
        <v>467</v>
      </c>
      <c r="B58" s="55" t="s">
        <v>987</v>
      </c>
      <c r="C58" s="55" t="s">
        <v>988</v>
      </c>
      <c r="D58" s="56" t="s">
        <v>939</v>
      </c>
      <c r="E58" s="101" t="s">
        <v>1123</v>
      </c>
      <c r="F58" s="57">
        <v>107.1</v>
      </c>
      <c r="G58" s="56" t="s">
        <v>918</v>
      </c>
      <c r="H58" s="57">
        <v>172.75</v>
      </c>
      <c r="I58" s="57">
        <v>209.03</v>
      </c>
      <c r="J58" s="56" t="s">
        <v>829</v>
      </c>
      <c r="K58" s="57">
        <v>65.650000000000006</v>
      </c>
      <c r="L58" s="58">
        <v>38.00289435600579</v>
      </c>
      <c r="M58" s="58">
        <v>61.297852474323072</v>
      </c>
      <c r="N58" s="60"/>
      <c r="O58" s="60"/>
      <c r="P58" s="102"/>
      <c r="Q58" s="103"/>
    </row>
    <row r="59" spans="1:17" ht="16" x14ac:dyDescent="0.2">
      <c r="A59" s="61" t="s">
        <v>467</v>
      </c>
      <c r="B59" s="61" t="s">
        <v>987</v>
      </c>
      <c r="C59" s="61" t="s">
        <v>989</v>
      </c>
      <c r="D59" s="62" t="s">
        <v>939</v>
      </c>
      <c r="E59" s="104" t="s">
        <v>1123</v>
      </c>
      <c r="F59" s="63">
        <v>93.89</v>
      </c>
      <c r="G59" s="62" t="s">
        <v>918</v>
      </c>
      <c r="H59" s="63">
        <v>151.43</v>
      </c>
      <c r="I59" s="63">
        <v>183.23</v>
      </c>
      <c r="J59" s="62" t="s">
        <v>829</v>
      </c>
      <c r="K59" s="63">
        <v>57.540000000000013</v>
      </c>
      <c r="L59" s="64">
        <v>37.997754738162847</v>
      </c>
      <c r="M59" s="64">
        <v>61.284481840451598</v>
      </c>
      <c r="N59" s="66"/>
      <c r="O59" s="66"/>
      <c r="P59" s="105"/>
      <c r="Q59" s="106"/>
    </row>
    <row r="60" spans="1:17" ht="16" x14ac:dyDescent="0.2">
      <c r="A60" s="55" t="s">
        <v>467</v>
      </c>
      <c r="B60" s="55" t="s">
        <v>987</v>
      </c>
      <c r="C60" s="55" t="s">
        <v>990</v>
      </c>
      <c r="D60" s="56" t="s">
        <v>939</v>
      </c>
      <c r="E60" s="101" t="s">
        <v>1123</v>
      </c>
      <c r="F60" s="57">
        <v>112.55</v>
      </c>
      <c r="G60" s="56" t="s">
        <v>918</v>
      </c>
      <c r="H60" s="57">
        <v>181.54</v>
      </c>
      <c r="I60" s="57">
        <v>219.66</v>
      </c>
      <c r="J60" s="56" t="s">
        <v>829</v>
      </c>
      <c r="K60" s="57">
        <v>68.989999999999995</v>
      </c>
      <c r="L60" s="58">
        <v>38.002644045389452</v>
      </c>
      <c r="M60" s="58">
        <v>61.2972012438916</v>
      </c>
      <c r="N60" s="60"/>
      <c r="O60" s="60"/>
      <c r="P60" s="102"/>
      <c r="Q60" s="103"/>
    </row>
    <row r="61" spans="1:17" ht="16" x14ac:dyDescent="0.2">
      <c r="A61" s="61" t="s">
        <v>467</v>
      </c>
      <c r="B61" s="61" t="s">
        <v>987</v>
      </c>
      <c r="C61" s="61" t="s">
        <v>991</v>
      </c>
      <c r="D61" s="62" t="s">
        <v>939</v>
      </c>
      <c r="E61" s="104" t="s">
        <v>1123</v>
      </c>
      <c r="F61" s="63">
        <v>96.47</v>
      </c>
      <c r="G61" s="62" t="s">
        <v>918</v>
      </c>
      <c r="H61" s="63">
        <v>155.6</v>
      </c>
      <c r="I61" s="63">
        <v>188.28</v>
      </c>
      <c r="J61" s="62" t="s">
        <v>829</v>
      </c>
      <c r="K61" s="63">
        <v>59.13</v>
      </c>
      <c r="L61" s="64">
        <v>38.001285347043698</v>
      </c>
      <c r="M61" s="64">
        <v>61.293666424795269</v>
      </c>
      <c r="N61" s="66"/>
      <c r="O61" s="66"/>
      <c r="P61" s="105"/>
      <c r="Q61" s="106"/>
    </row>
    <row r="62" spans="1:17" ht="16" x14ac:dyDescent="0.2">
      <c r="A62" s="55" t="s">
        <v>467</v>
      </c>
      <c r="B62" s="55" t="s">
        <v>992</v>
      </c>
      <c r="C62" s="55" t="s">
        <v>993</v>
      </c>
      <c r="D62" s="56" t="s">
        <v>916</v>
      </c>
      <c r="E62" s="101" t="s">
        <v>1123</v>
      </c>
      <c r="F62" s="57">
        <v>28.69</v>
      </c>
      <c r="G62" s="56" t="s">
        <v>918</v>
      </c>
      <c r="H62" s="57">
        <v>44.14</v>
      </c>
      <c r="I62" s="57">
        <v>53.41</v>
      </c>
      <c r="J62" s="56" t="s">
        <v>829</v>
      </c>
      <c r="K62" s="57">
        <v>15.45</v>
      </c>
      <c r="L62" s="58">
        <v>35.002265518803803</v>
      </c>
      <c r="M62" s="58">
        <v>53.85151620773788</v>
      </c>
      <c r="N62" s="60"/>
      <c r="O62" s="60"/>
      <c r="P62" s="102"/>
      <c r="Q62" s="103"/>
    </row>
    <row r="63" spans="1:17" ht="16" x14ac:dyDescent="0.2">
      <c r="A63" s="61" t="s">
        <v>467</v>
      </c>
      <c r="B63" s="61" t="s">
        <v>994</v>
      </c>
      <c r="C63" s="61" t="s">
        <v>995</v>
      </c>
      <c r="D63" s="62" t="s">
        <v>916</v>
      </c>
      <c r="E63" s="104" t="s">
        <v>1123</v>
      </c>
      <c r="F63" s="63">
        <v>70.569999999999993</v>
      </c>
      <c r="G63" s="62" t="s">
        <v>918</v>
      </c>
      <c r="H63" s="63">
        <v>108.57</v>
      </c>
      <c r="I63" s="63">
        <v>131.37</v>
      </c>
      <c r="J63" s="62" t="s">
        <v>829</v>
      </c>
      <c r="K63" s="63">
        <v>38</v>
      </c>
      <c r="L63" s="64">
        <v>35.000460532375428</v>
      </c>
      <c r="M63" s="64">
        <v>53.847243871333433</v>
      </c>
      <c r="N63" s="66"/>
      <c r="O63" s="66"/>
      <c r="P63" s="105"/>
      <c r="Q63" s="106"/>
    </row>
    <row r="64" spans="1:17" ht="16" x14ac:dyDescent="0.2">
      <c r="A64" s="55" t="s">
        <v>467</v>
      </c>
      <c r="B64" s="55" t="s">
        <v>994</v>
      </c>
      <c r="C64" s="55" t="s">
        <v>996</v>
      </c>
      <c r="D64" s="56" t="s">
        <v>916</v>
      </c>
      <c r="E64" s="101" t="s">
        <v>1123</v>
      </c>
      <c r="F64" s="57">
        <v>102.54</v>
      </c>
      <c r="G64" s="56" t="s">
        <v>918</v>
      </c>
      <c r="H64" s="57">
        <v>157.75</v>
      </c>
      <c r="I64" s="57">
        <v>190.88</v>
      </c>
      <c r="J64" s="56" t="s">
        <v>829</v>
      </c>
      <c r="K64" s="57">
        <v>55.209999999999987</v>
      </c>
      <c r="L64" s="58">
        <v>34.998415213946117</v>
      </c>
      <c r="M64" s="58">
        <v>53.842402964696689</v>
      </c>
      <c r="N64" s="60"/>
      <c r="O64" s="60"/>
      <c r="P64" s="102"/>
      <c r="Q64" s="103"/>
    </row>
    <row r="65" spans="1:17" ht="16" x14ac:dyDescent="0.2">
      <c r="A65" s="61" t="s">
        <v>467</v>
      </c>
      <c r="B65" s="61" t="s">
        <v>994</v>
      </c>
      <c r="C65" s="61" t="s">
        <v>997</v>
      </c>
      <c r="D65" s="62" t="s">
        <v>916</v>
      </c>
      <c r="E65" s="104" t="s">
        <v>1123</v>
      </c>
      <c r="F65" s="63">
        <v>62.07</v>
      </c>
      <c r="G65" s="62" t="s">
        <v>918</v>
      </c>
      <c r="H65" s="63">
        <v>95.5</v>
      </c>
      <c r="I65" s="63">
        <v>115.55</v>
      </c>
      <c r="J65" s="62" t="s">
        <v>829</v>
      </c>
      <c r="K65" s="63">
        <v>33.43</v>
      </c>
      <c r="L65" s="64">
        <v>35.005235602094253</v>
      </c>
      <c r="M65" s="64">
        <v>53.85854680199774</v>
      </c>
      <c r="N65" s="66"/>
      <c r="O65" s="66"/>
      <c r="P65" s="105"/>
      <c r="Q65" s="106"/>
    </row>
    <row r="66" spans="1:17" ht="16" x14ac:dyDescent="0.2">
      <c r="A66" s="55" t="s">
        <v>467</v>
      </c>
      <c r="B66" s="55" t="s">
        <v>998</v>
      </c>
      <c r="C66" s="55" t="s">
        <v>949</v>
      </c>
      <c r="D66" s="56" t="s">
        <v>931</v>
      </c>
      <c r="E66" s="101" t="s">
        <v>1123</v>
      </c>
      <c r="F66" s="57">
        <v>122.56</v>
      </c>
      <c r="G66" s="56" t="s">
        <v>918</v>
      </c>
      <c r="H66" s="57">
        <v>163.41</v>
      </c>
      <c r="I66" s="57">
        <v>197.73</v>
      </c>
      <c r="J66" s="56" t="s">
        <v>829</v>
      </c>
      <c r="K66" s="57">
        <v>40.849999999999987</v>
      </c>
      <c r="L66" s="58">
        <v>24.99847010586867</v>
      </c>
      <c r="M66" s="58">
        <v>33.330613577023492</v>
      </c>
      <c r="N66" s="60"/>
      <c r="O66" s="60"/>
      <c r="P66" s="102"/>
      <c r="Q66" s="103"/>
    </row>
    <row r="67" spans="1:17" ht="16" x14ac:dyDescent="0.2">
      <c r="A67" s="61" t="s">
        <v>467</v>
      </c>
      <c r="B67" s="61" t="s">
        <v>999</v>
      </c>
      <c r="C67" s="61" t="s">
        <v>1000</v>
      </c>
      <c r="D67" s="62" t="s">
        <v>916</v>
      </c>
      <c r="E67" s="104" t="s">
        <v>1123</v>
      </c>
      <c r="F67" s="63">
        <v>194.7</v>
      </c>
      <c r="G67" s="62" t="s">
        <v>918</v>
      </c>
      <c r="H67" s="63">
        <v>299.54000000000002</v>
      </c>
      <c r="I67" s="63">
        <v>362.44</v>
      </c>
      <c r="J67" s="62" t="s">
        <v>829</v>
      </c>
      <c r="K67" s="63">
        <v>104.84</v>
      </c>
      <c r="L67" s="64">
        <v>35.000333845229363</v>
      </c>
      <c r="M67" s="64">
        <v>53.846944016435558</v>
      </c>
      <c r="N67" s="66"/>
      <c r="O67" s="66"/>
      <c r="P67" s="105"/>
      <c r="Q67" s="106"/>
    </row>
    <row r="68" spans="1:17" ht="16" x14ac:dyDescent="0.2">
      <c r="A68" s="55" t="s">
        <v>467</v>
      </c>
      <c r="B68" s="55" t="s">
        <v>999</v>
      </c>
      <c r="C68" s="55" t="s">
        <v>1001</v>
      </c>
      <c r="D68" s="56" t="s">
        <v>916</v>
      </c>
      <c r="E68" s="101" t="s">
        <v>1123</v>
      </c>
      <c r="F68" s="57">
        <v>226.66</v>
      </c>
      <c r="G68" s="56" t="s">
        <v>918</v>
      </c>
      <c r="H68" s="57">
        <v>348.72</v>
      </c>
      <c r="I68" s="57">
        <v>421.95</v>
      </c>
      <c r="J68" s="56" t="s">
        <v>829</v>
      </c>
      <c r="K68" s="57">
        <v>122.06</v>
      </c>
      <c r="L68" s="58">
        <v>35.002294104152327</v>
      </c>
      <c r="M68" s="58">
        <v>53.851583870113842</v>
      </c>
      <c r="N68" s="60"/>
      <c r="O68" s="60"/>
      <c r="P68" s="102"/>
      <c r="Q68" s="103"/>
    </row>
    <row r="69" spans="1:17" ht="16" x14ac:dyDescent="0.2">
      <c r="A69" s="61" t="s">
        <v>467</v>
      </c>
      <c r="B69" s="61" t="s">
        <v>1002</v>
      </c>
      <c r="C69" s="61" t="s">
        <v>1003</v>
      </c>
      <c r="D69" s="62" t="s">
        <v>916</v>
      </c>
      <c r="E69" s="104" t="s">
        <v>1123</v>
      </c>
      <c r="F69" s="63">
        <v>102.17</v>
      </c>
      <c r="G69" s="62" t="s">
        <v>918</v>
      </c>
      <c r="H69" s="63">
        <v>157.19</v>
      </c>
      <c r="I69" s="63">
        <v>190.2</v>
      </c>
      <c r="J69" s="62" t="s">
        <v>829</v>
      </c>
      <c r="K69" s="63">
        <v>55.02</v>
      </c>
      <c r="L69" s="64">
        <v>35.002226604745843</v>
      </c>
      <c r="M69" s="64">
        <v>53.851424097093073</v>
      </c>
      <c r="N69" s="66"/>
      <c r="O69" s="66"/>
      <c r="P69" s="105"/>
      <c r="Q69" s="106"/>
    </row>
    <row r="70" spans="1:17" ht="16" x14ac:dyDescent="0.2">
      <c r="A70" s="55" t="s">
        <v>467</v>
      </c>
      <c r="B70" s="55" t="s">
        <v>1002</v>
      </c>
      <c r="C70" s="55" t="s">
        <v>949</v>
      </c>
      <c r="D70" s="56" t="s">
        <v>916</v>
      </c>
      <c r="E70" s="101" t="s">
        <v>1123</v>
      </c>
      <c r="F70" s="57">
        <v>97.71</v>
      </c>
      <c r="G70" s="56" t="s">
        <v>918</v>
      </c>
      <c r="H70" s="57">
        <v>150.32</v>
      </c>
      <c r="I70" s="57">
        <v>181.89</v>
      </c>
      <c r="J70" s="56" t="s">
        <v>829</v>
      </c>
      <c r="K70" s="57">
        <v>52.61</v>
      </c>
      <c r="L70" s="58">
        <v>34.998669505055879</v>
      </c>
      <c r="M70" s="58">
        <v>53.843004810152493</v>
      </c>
      <c r="N70" s="60"/>
      <c r="O70" s="60"/>
      <c r="P70" s="102"/>
      <c r="Q70" s="103"/>
    </row>
    <row r="71" spans="1:17" ht="16" x14ac:dyDescent="0.2">
      <c r="A71" s="61" t="s">
        <v>467</v>
      </c>
      <c r="B71" s="61" t="s">
        <v>1002</v>
      </c>
      <c r="C71" s="61" t="s">
        <v>1004</v>
      </c>
      <c r="D71" s="62" t="s">
        <v>916</v>
      </c>
      <c r="E71" s="104" t="s">
        <v>1123</v>
      </c>
      <c r="F71" s="63">
        <v>100.25</v>
      </c>
      <c r="G71" s="62" t="s">
        <v>918</v>
      </c>
      <c r="H71" s="63">
        <v>154.22999999999999</v>
      </c>
      <c r="I71" s="63">
        <v>186.62</v>
      </c>
      <c r="J71" s="62" t="s">
        <v>829</v>
      </c>
      <c r="K71" s="63">
        <v>53.97999999999999</v>
      </c>
      <c r="L71" s="64">
        <v>34.9996758088569</v>
      </c>
      <c r="M71" s="64">
        <v>53.845386533665831</v>
      </c>
      <c r="N71" s="66"/>
      <c r="O71" s="66"/>
      <c r="P71" s="105"/>
      <c r="Q71" s="106"/>
    </row>
    <row r="72" spans="1:17" ht="16" x14ac:dyDescent="0.2">
      <c r="A72" s="55" t="s">
        <v>467</v>
      </c>
      <c r="B72" s="55" t="s">
        <v>1005</v>
      </c>
      <c r="C72" s="55" t="s">
        <v>925</v>
      </c>
      <c r="D72" s="56" t="s">
        <v>916</v>
      </c>
      <c r="E72" s="101" t="s">
        <v>1123</v>
      </c>
      <c r="F72" s="57">
        <v>229.08</v>
      </c>
      <c r="G72" s="56" t="s">
        <v>918</v>
      </c>
      <c r="H72" s="57">
        <v>352.43</v>
      </c>
      <c r="I72" s="57">
        <v>426.44</v>
      </c>
      <c r="J72" s="56" t="s">
        <v>829</v>
      </c>
      <c r="K72" s="57">
        <v>123.35</v>
      </c>
      <c r="L72" s="58">
        <v>34.999858127855177</v>
      </c>
      <c r="M72" s="58">
        <v>53.845818054828001</v>
      </c>
      <c r="N72" s="60"/>
      <c r="O72" s="60"/>
      <c r="P72" s="102"/>
      <c r="Q72" s="103"/>
    </row>
    <row r="73" spans="1:17" ht="16" x14ac:dyDescent="0.2">
      <c r="A73" s="61" t="s">
        <v>467</v>
      </c>
      <c r="B73" s="61" t="s">
        <v>1005</v>
      </c>
      <c r="C73" s="61" t="s">
        <v>1006</v>
      </c>
      <c r="D73" s="62" t="s">
        <v>916</v>
      </c>
      <c r="E73" s="104" t="s">
        <v>1123</v>
      </c>
      <c r="F73" s="63">
        <v>252.74</v>
      </c>
      <c r="G73" s="62" t="s">
        <v>918</v>
      </c>
      <c r="H73" s="63">
        <v>388.83</v>
      </c>
      <c r="I73" s="63">
        <v>470.48</v>
      </c>
      <c r="J73" s="62" t="s">
        <v>829</v>
      </c>
      <c r="K73" s="63">
        <v>136.09</v>
      </c>
      <c r="L73" s="64">
        <v>34.999871409099093</v>
      </c>
      <c r="M73" s="64">
        <v>53.845849489594031</v>
      </c>
      <c r="N73" s="66"/>
      <c r="O73" s="66"/>
      <c r="P73" s="105"/>
      <c r="Q73" s="106"/>
    </row>
    <row r="74" spans="1:17" ht="16" x14ac:dyDescent="0.2">
      <c r="A74" s="55" t="s">
        <v>467</v>
      </c>
      <c r="B74" s="55" t="s">
        <v>1007</v>
      </c>
      <c r="C74" s="55" t="s">
        <v>925</v>
      </c>
      <c r="D74" s="56" t="s">
        <v>916</v>
      </c>
      <c r="E74" s="101" t="s">
        <v>1123</v>
      </c>
      <c r="F74" s="57">
        <v>248.76</v>
      </c>
      <c r="G74" s="56" t="s">
        <v>918</v>
      </c>
      <c r="H74" s="57">
        <v>382.7</v>
      </c>
      <c r="I74" s="57">
        <v>463.07</v>
      </c>
      <c r="J74" s="56" t="s">
        <v>829</v>
      </c>
      <c r="K74" s="57">
        <v>133.94</v>
      </c>
      <c r="L74" s="58">
        <v>34.998693493598118</v>
      </c>
      <c r="M74" s="58">
        <v>53.8430615854639</v>
      </c>
      <c r="N74" s="60"/>
      <c r="O74" s="60"/>
      <c r="P74" s="102"/>
      <c r="Q74" s="103"/>
    </row>
    <row r="75" spans="1:17" ht="16" x14ac:dyDescent="0.2">
      <c r="A75" s="61" t="s">
        <v>467</v>
      </c>
      <c r="B75" s="61" t="s">
        <v>1007</v>
      </c>
      <c r="C75" s="61" t="s">
        <v>1006</v>
      </c>
      <c r="D75" s="62" t="s">
        <v>916</v>
      </c>
      <c r="E75" s="104" t="s">
        <v>1123</v>
      </c>
      <c r="F75" s="63">
        <v>266.56</v>
      </c>
      <c r="G75" s="62" t="s">
        <v>918</v>
      </c>
      <c r="H75" s="63">
        <v>410.09</v>
      </c>
      <c r="I75" s="63">
        <v>496.21</v>
      </c>
      <c r="J75" s="62" t="s">
        <v>829</v>
      </c>
      <c r="K75" s="63">
        <v>143.53</v>
      </c>
      <c r="L75" s="64">
        <v>34.999634226633177</v>
      </c>
      <c r="M75" s="64">
        <v>53.845288115246092</v>
      </c>
      <c r="N75" s="66"/>
      <c r="O75" s="66"/>
      <c r="P75" s="105"/>
      <c r="Q75" s="106"/>
    </row>
    <row r="76" spans="1:17" ht="16" x14ac:dyDescent="0.2">
      <c r="A76" s="55" t="s">
        <v>467</v>
      </c>
      <c r="B76" s="55" t="s">
        <v>1008</v>
      </c>
      <c r="C76" s="55" t="s">
        <v>1009</v>
      </c>
      <c r="D76" s="56" t="s">
        <v>939</v>
      </c>
      <c r="E76" s="101" t="s">
        <v>1123</v>
      </c>
      <c r="F76" s="57">
        <v>112.55</v>
      </c>
      <c r="G76" s="56" t="s">
        <v>918</v>
      </c>
      <c r="H76" s="57">
        <v>181.54</v>
      </c>
      <c r="I76" s="57">
        <v>219.66</v>
      </c>
      <c r="J76" s="56" t="s">
        <v>829</v>
      </c>
      <c r="K76" s="57">
        <v>68.989999999999995</v>
      </c>
      <c r="L76" s="58">
        <v>38.002644045389452</v>
      </c>
      <c r="M76" s="58">
        <v>61.2972012438916</v>
      </c>
      <c r="N76" s="60"/>
      <c r="O76" s="60"/>
      <c r="P76" s="102"/>
      <c r="Q76" s="103"/>
    </row>
    <row r="77" spans="1:17" ht="16" x14ac:dyDescent="0.2">
      <c r="A77" s="61" t="s">
        <v>467</v>
      </c>
      <c r="B77" s="61" t="s">
        <v>1008</v>
      </c>
      <c r="C77" s="61" t="s">
        <v>989</v>
      </c>
      <c r="D77" s="62" t="s">
        <v>939</v>
      </c>
      <c r="E77" s="104" t="s">
        <v>1123</v>
      </c>
      <c r="F77" s="63">
        <v>117.05</v>
      </c>
      <c r="G77" s="62" t="s">
        <v>918</v>
      </c>
      <c r="H77" s="63">
        <v>188.79</v>
      </c>
      <c r="I77" s="63">
        <v>228.44</v>
      </c>
      <c r="J77" s="62" t="s">
        <v>829</v>
      </c>
      <c r="K77" s="63">
        <v>71.739999999999995</v>
      </c>
      <c r="L77" s="64">
        <v>37.999894062185497</v>
      </c>
      <c r="M77" s="64">
        <v>61.290046988466457</v>
      </c>
      <c r="N77" s="66"/>
      <c r="O77" s="66"/>
      <c r="P77" s="105"/>
      <c r="Q77" s="106"/>
    </row>
    <row r="78" spans="1:17" ht="16" x14ac:dyDescent="0.2">
      <c r="A78" s="55" t="s">
        <v>467</v>
      </c>
      <c r="B78" s="55" t="s">
        <v>1008</v>
      </c>
      <c r="C78" s="55" t="s">
        <v>991</v>
      </c>
      <c r="D78" s="56" t="s">
        <v>939</v>
      </c>
      <c r="E78" s="101" t="s">
        <v>1123</v>
      </c>
      <c r="F78" s="57">
        <v>124.07</v>
      </c>
      <c r="G78" s="56" t="s">
        <v>918</v>
      </c>
      <c r="H78" s="57">
        <v>200.11</v>
      </c>
      <c r="I78" s="57">
        <v>242.13</v>
      </c>
      <c r="J78" s="56" t="s">
        <v>829</v>
      </c>
      <c r="K78" s="57">
        <v>76.04000000000002</v>
      </c>
      <c r="L78" s="58">
        <v>37.999100494727912</v>
      </c>
      <c r="M78" s="58">
        <v>61.287982590473142</v>
      </c>
      <c r="N78" s="60"/>
      <c r="O78" s="60"/>
      <c r="P78" s="102"/>
      <c r="Q78" s="103"/>
    </row>
    <row r="79" spans="1:17" ht="16" x14ac:dyDescent="0.2">
      <c r="A79" s="61" t="s">
        <v>467</v>
      </c>
      <c r="B79" s="61" t="s">
        <v>1010</v>
      </c>
      <c r="C79" s="61" t="s">
        <v>989</v>
      </c>
      <c r="D79" s="62" t="s">
        <v>939</v>
      </c>
      <c r="E79" s="104" t="s">
        <v>1123</v>
      </c>
      <c r="F79" s="63">
        <v>82.85</v>
      </c>
      <c r="G79" s="62" t="s">
        <v>918</v>
      </c>
      <c r="H79" s="63">
        <v>133.63</v>
      </c>
      <c r="I79" s="63">
        <v>161.69</v>
      </c>
      <c r="J79" s="62" t="s">
        <v>829</v>
      </c>
      <c r="K79" s="63">
        <v>50.78</v>
      </c>
      <c r="L79" s="64">
        <v>38.000449000972843</v>
      </c>
      <c r="M79" s="64">
        <v>61.291490645745327</v>
      </c>
      <c r="N79" s="66"/>
      <c r="O79" s="66"/>
      <c r="P79" s="105"/>
      <c r="Q79" s="106"/>
    </row>
    <row r="80" spans="1:17" ht="16" x14ac:dyDescent="0.2">
      <c r="A80" s="55" t="s">
        <v>467</v>
      </c>
      <c r="B80" s="55" t="s">
        <v>1011</v>
      </c>
      <c r="C80" s="55" t="s">
        <v>1012</v>
      </c>
      <c r="D80" s="56" t="s">
        <v>939</v>
      </c>
      <c r="E80" s="101" t="s">
        <v>1123</v>
      </c>
      <c r="F80" s="57">
        <v>98.52</v>
      </c>
      <c r="G80" s="56" t="s">
        <v>918</v>
      </c>
      <c r="H80" s="57">
        <v>158.9</v>
      </c>
      <c r="I80" s="57">
        <v>192.27</v>
      </c>
      <c r="J80" s="56" t="s">
        <v>829</v>
      </c>
      <c r="K80" s="57">
        <v>60.38000000000001</v>
      </c>
      <c r="L80" s="58">
        <v>37.998741346758983</v>
      </c>
      <c r="M80" s="58">
        <v>61.28704831506294</v>
      </c>
      <c r="N80" s="60"/>
      <c r="O80" s="60"/>
      <c r="P80" s="102"/>
      <c r="Q80" s="103"/>
    </row>
    <row r="81" spans="1:17" ht="16" x14ac:dyDescent="0.2">
      <c r="A81" s="61" t="s">
        <v>467</v>
      </c>
      <c r="B81" s="61" t="s">
        <v>1011</v>
      </c>
      <c r="C81" s="61" t="s">
        <v>989</v>
      </c>
      <c r="D81" s="62" t="s">
        <v>939</v>
      </c>
      <c r="E81" s="104" t="s">
        <v>1123</v>
      </c>
      <c r="F81" s="63">
        <v>94.7</v>
      </c>
      <c r="G81" s="62" t="s">
        <v>918</v>
      </c>
      <c r="H81" s="63">
        <v>152.75</v>
      </c>
      <c r="I81" s="63">
        <v>184.83</v>
      </c>
      <c r="J81" s="62" t="s">
        <v>829</v>
      </c>
      <c r="K81" s="63">
        <v>58.05</v>
      </c>
      <c r="L81" s="64">
        <v>38.003273322422253</v>
      </c>
      <c r="M81" s="64">
        <v>61.298838437170012</v>
      </c>
      <c r="N81" s="66"/>
      <c r="O81" s="66"/>
      <c r="P81" s="105"/>
      <c r="Q81" s="106"/>
    </row>
    <row r="82" spans="1:17" ht="16" x14ac:dyDescent="0.2">
      <c r="A82" s="55" t="s">
        <v>467</v>
      </c>
      <c r="B82" s="55" t="s">
        <v>1013</v>
      </c>
      <c r="C82" s="55" t="s">
        <v>988</v>
      </c>
      <c r="D82" s="56" t="s">
        <v>939</v>
      </c>
      <c r="E82" s="101" t="s">
        <v>1123</v>
      </c>
      <c r="F82" s="57">
        <v>89.39</v>
      </c>
      <c r="G82" s="56" t="s">
        <v>918</v>
      </c>
      <c r="H82" s="57">
        <v>144.18</v>
      </c>
      <c r="I82" s="57">
        <v>174.46</v>
      </c>
      <c r="J82" s="56" t="s">
        <v>829</v>
      </c>
      <c r="K82" s="57">
        <v>54.790000000000013</v>
      </c>
      <c r="L82" s="58">
        <v>38.001109723956169</v>
      </c>
      <c r="M82" s="58">
        <v>61.293209531267493</v>
      </c>
      <c r="N82" s="60"/>
      <c r="O82" s="60"/>
      <c r="P82" s="102"/>
      <c r="Q82" s="103"/>
    </row>
    <row r="83" spans="1:17" ht="16" x14ac:dyDescent="0.2">
      <c r="A83" s="61" t="s">
        <v>467</v>
      </c>
      <c r="B83" s="61" t="s">
        <v>1014</v>
      </c>
      <c r="C83" s="61" t="s">
        <v>988</v>
      </c>
      <c r="D83" s="62" t="s">
        <v>939</v>
      </c>
      <c r="E83" s="104" t="s">
        <v>1123</v>
      </c>
      <c r="F83" s="63">
        <v>97.43</v>
      </c>
      <c r="G83" s="62" t="s">
        <v>918</v>
      </c>
      <c r="H83" s="63">
        <v>157.13999999999999</v>
      </c>
      <c r="I83" s="63">
        <v>190.14</v>
      </c>
      <c r="J83" s="62" t="s">
        <v>829</v>
      </c>
      <c r="K83" s="63">
        <v>59.70999999999998</v>
      </c>
      <c r="L83" s="64">
        <v>37.997963599338163</v>
      </c>
      <c r="M83" s="64">
        <v>61.285025146258832</v>
      </c>
      <c r="N83" s="66"/>
      <c r="O83" s="66"/>
      <c r="P83" s="105"/>
      <c r="Q83" s="106"/>
    </row>
    <row r="84" spans="1:17" ht="16" x14ac:dyDescent="0.2">
      <c r="A84" s="55" t="s">
        <v>467</v>
      </c>
      <c r="B84" s="55" t="s">
        <v>1015</v>
      </c>
      <c r="C84" s="55" t="s">
        <v>1016</v>
      </c>
      <c r="D84" s="56" t="s">
        <v>916</v>
      </c>
      <c r="E84" s="101" t="s">
        <v>1123</v>
      </c>
      <c r="F84" s="57">
        <v>19.68</v>
      </c>
      <c r="G84" s="56" t="s">
        <v>918</v>
      </c>
      <c r="H84" s="57">
        <v>30.27</v>
      </c>
      <c r="I84" s="57">
        <v>36.630000000000003</v>
      </c>
      <c r="J84" s="56" t="s">
        <v>829</v>
      </c>
      <c r="K84" s="57">
        <v>10.59</v>
      </c>
      <c r="L84" s="58">
        <v>34.985133795837463</v>
      </c>
      <c r="M84" s="58">
        <v>53.810975609756099</v>
      </c>
      <c r="N84" s="60"/>
      <c r="O84" s="60"/>
      <c r="P84" s="102"/>
      <c r="Q84" s="103"/>
    </row>
    <row r="85" spans="1:17" ht="16" x14ac:dyDescent="0.2">
      <c r="A85" s="61" t="s">
        <v>467</v>
      </c>
      <c r="B85" s="61" t="s">
        <v>1017</v>
      </c>
      <c r="C85" s="61" t="s">
        <v>1018</v>
      </c>
      <c r="D85" s="62" t="s">
        <v>916</v>
      </c>
      <c r="E85" s="104" t="s">
        <v>1123</v>
      </c>
      <c r="F85" s="63">
        <v>45.21</v>
      </c>
      <c r="G85" s="62" t="s">
        <v>918</v>
      </c>
      <c r="H85" s="63">
        <v>69.55</v>
      </c>
      <c r="I85" s="63">
        <v>84.16</v>
      </c>
      <c r="J85" s="62" t="s">
        <v>829</v>
      </c>
      <c r="K85" s="63">
        <v>24.34</v>
      </c>
      <c r="L85" s="64">
        <v>34.996405463695183</v>
      </c>
      <c r="M85" s="64">
        <v>53.837646538376461</v>
      </c>
      <c r="N85" s="66"/>
      <c r="O85" s="66"/>
      <c r="P85" s="105"/>
      <c r="Q85" s="106"/>
    </row>
    <row r="86" spans="1:17" ht="16" x14ac:dyDescent="0.2">
      <c r="A86" s="55" t="s">
        <v>467</v>
      </c>
      <c r="B86" s="55" t="s">
        <v>1019</v>
      </c>
      <c r="C86" s="55" t="s">
        <v>1020</v>
      </c>
      <c r="D86" s="56" t="s">
        <v>916</v>
      </c>
      <c r="E86" s="101" t="s">
        <v>1123</v>
      </c>
      <c r="F86" s="57">
        <v>137.94</v>
      </c>
      <c r="G86" s="56" t="s">
        <v>918</v>
      </c>
      <c r="H86" s="57">
        <v>212.22</v>
      </c>
      <c r="I86" s="57">
        <v>256.79000000000002</v>
      </c>
      <c r="J86" s="56" t="s">
        <v>829</v>
      </c>
      <c r="K86" s="57">
        <v>74.28</v>
      </c>
      <c r="L86" s="58">
        <v>35.001413627367818</v>
      </c>
      <c r="M86" s="58">
        <v>53.849499782514137</v>
      </c>
      <c r="N86" s="60"/>
      <c r="O86" s="60"/>
      <c r="P86" s="102"/>
      <c r="Q86" s="103"/>
    </row>
    <row r="87" spans="1:17" ht="16" x14ac:dyDescent="0.2">
      <c r="A87" s="61" t="s">
        <v>467</v>
      </c>
      <c r="B87" s="61" t="s">
        <v>1019</v>
      </c>
      <c r="C87" s="61" t="s">
        <v>1021</v>
      </c>
      <c r="D87" s="62" t="s">
        <v>916</v>
      </c>
      <c r="E87" s="104" t="s">
        <v>1123</v>
      </c>
      <c r="F87" s="63">
        <v>42.82</v>
      </c>
      <c r="G87" s="62" t="s">
        <v>918</v>
      </c>
      <c r="H87" s="63">
        <v>65.88</v>
      </c>
      <c r="I87" s="63">
        <v>79.709999999999994</v>
      </c>
      <c r="J87" s="62" t="s">
        <v>829</v>
      </c>
      <c r="K87" s="63">
        <v>23.06</v>
      </c>
      <c r="L87" s="64">
        <v>35.00303582270795</v>
      </c>
      <c r="M87" s="64">
        <v>53.853339560952818</v>
      </c>
      <c r="N87" s="66"/>
      <c r="O87" s="66"/>
      <c r="P87" s="105"/>
      <c r="Q87" s="106"/>
    </row>
    <row r="88" spans="1:17" ht="16" x14ac:dyDescent="0.2">
      <c r="A88" s="55" t="s">
        <v>467</v>
      </c>
      <c r="B88" s="55" t="s">
        <v>1019</v>
      </c>
      <c r="C88" s="55" t="s">
        <v>1022</v>
      </c>
      <c r="D88" s="56" t="s">
        <v>916</v>
      </c>
      <c r="E88" s="101" t="s">
        <v>1123</v>
      </c>
      <c r="F88" s="57">
        <v>176.97</v>
      </c>
      <c r="G88" s="56" t="s">
        <v>918</v>
      </c>
      <c r="H88" s="57">
        <v>272.25</v>
      </c>
      <c r="I88" s="57">
        <v>329.42</v>
      </c>
      <c r="J88" s="56" t="s">
        <v>829</v>
      </c>
      <c r="K88" s="57">
        <v>95.28</v>
      </c>
      <c r="L88" s="58">
        <v>34.997245179063363</v>
      </c>
      <c r="M88" s="58">
        <v>53.839633836243429</v>
      </c>
      <c r="N88" s="60"/>
      <c r="O88" s="60"/>
      <c r="P88" s="102"/>
      <c r="Q88" s="103"/>
    </row>
    <row r="89" spans="1:17" ht="16" x14ac:dyDescent="0.2">
      <c r="A89" s="61" t="s">
        <v>467</v>
      </c>
      <c r="B89" s="61" t="s">
        <v>1023</v>
      </c>
      <c r="C89" s="61" t="s">
        <v>1024</v>
      </c>
      <c r="D89" s="62" t="s">
        <v>916</v>
      </c>
      <c r="E89" s="104" t="s">
        <v>1123</v>
      </c>
      <c r="F89" s="63">
        <v>99.95</v>
      </c>
      <c r="G89" s="62" t="s">
        <v>918</v>
      </c>
      <c r="H89" s="63">
        <v>153.77000000000001</v>
      </c>
      <c r="I89" s="63">
        <v>186.06</v>
      </c>
      <c r="J89" s="62" t="s">
        <v>829</v>
      </c>
      <c r="K89" s="63">
        <v>53.820000000000007</v>
      </c>
      <c r="L89" s="64">
        <v>35.000325160954667</v>
      </c>
      <c r="M89" s="64">
        <v>53.846923461730867</v>
      </c>
      <c r="N89" s="66"/>
      <c r="O89" s="66"/>
      <c r="P89" s="105"/>
      <c r="Q89" s="106"/>
    </row>
    <row r="90" spans="1:17" ht="16" x14ac:dyDescent="0.2">
      <c r="A90" s="55" t="s">
        <v>467</v>
      </c>
      <c r="B90" s="55" t="s">
        <v>1023</v>
      </c>
      <c r="C90" s="55" t="s">
        <v>1025</v>
      </c>
      <c r="D90" s="56" t="s">
        <v>916</v>
      </c>
      <c r="E90" s="101" t="s">
        <v>1123</v>
      </c>
      <c r="F90" s="57">
        <v>69.709999999999994</v>
      </c>
      <c r="G90" s="56" t="s">
        <v>918</v>
      </c>
      <c r="H90" s="57">
        <v>107.24</v>
      </c>
      <c r="I90" s="57">
        <v>129.76</v>
      </c>
      <c r="J90" s="56" t="s">
        <v>829</v>
      </c>
      <c r="K90" s="57">
        <v>37.53</v>
      </c>
      <c r="L90" s="58">
        <v>34.996270048489372</v>
      </c>
      <c r="M90" s="58">
        <v>53.837326065126959</v>
      </c>
      <c r="N90" s="60"/>
      <c r="O90" s="60"/>
      <c r="P90" s="102"/>
      <c r="Q90" s="103"/>
    </row>
    <row r="91" spans="1:17" ht="16" x14ac:dyDescent="0.2">
      <c r="A91" s="61" t="s">
        <v>467</v>
      </c>
      <c r="B91" s="61" t="s">
        <v>1023</v>
      </c>
      <c r="C91" s="61" t="s">
        <v>1026</v>
      </c>
      <c r="D91" s="62" t="s">
        <v>916</v>
      </c>
      <c r="E91" s="104" t="s">
        <v>1123</v>
      </c>
      <c r="F91" s="63">
        <v>122.35</v>
      </c>
      <c r="G91" s="62" t="s">
        <v>918</v>
      </c>
      <c r="H91" s="63">
        <v>188.24</v>
      </c>
      <c r="I91" s="63">
        <v>227.77</v>
      </c>
      <c r="J91" s="62" t="s">
        <v>829</v>
      </c>
      <c r="K91" s="63">
        <v>65.890000000000015</v>
      </c>
      <c r="L91" s="64">
        <v>35.003187420314497</v>
      </c>
      <c r="M91" s="64">
        <v>53.853698406211713</v>
      </c>
      <c r="N91" s="66"/>
      <c r="O91" s="66"/>
      <c r="P91" s="105"/>
      <c r="Q91" s="106"/>
    </row>
    <row r="92" spans="1:17" ht="16" x14ac:dyDescent="0.2">
      <c r="A92" s="55" t="s">
        <v>467</v>
      </c>
      <c r="B92" s="55" t="s">
        <v>1027</v>
      </c>
      <c r="C92" s="55" t="s">
        <v>1028</v>
      </c>
      <c r="D92" s="56" t="s">
        <v>931</v>
      </c>
      <c r="E92" s="101" t="s">
        <v>1123</v>
      </c>
      <c r="F92" s="57">
        <v>67.33</v>
      </c>
      <c r="G92" s="56" t="s">
        <v>918</v>
      </c>
      <c r="H92" s="57">
        <v>89.78</v>
      </c>
      <c r="I92" s="57">
        <v>108.63</v>
      </c>
      <c r="J92" s="56" t="s">
        <v>829</v>
      </c>
      <c r="K92" s="57">
        <v>22.45</v>
      </c>
      <c r="L92" s="58">
        <v>25.00556916907998</v>
      </c>
      <c r="M92" s="58">
        <v>33.343234813604639</v>
      </c>
      <c r="N92" s="60"/>
      <c r="O92" s="60"/>
      <c r="P92" s="102"/>
      <c r="Q92" s="103"/>
    </row>
    <row r="93" spans="1:17" ht="16" x14ac:dyDescent="0.2">
      <c r="A93" s="61" t="s">
        <v>467</v>
      </c>
      <c r="B93" s="61" t="s">
        <v>1029</v>
      </c>
      <c r="C93" s="61" t="s">
        <v>1030</v>
      </c>
      <c r="D93" s="62" t="s">
        <v>931</v>
      </c>
      <c r="E93" s="104" t="s">
        <v>1123</v>
      </c>
      <c r="F93" s="63">
        <v>96.11</v>
      </c>
      <c r="G93" s="62" t="s">
        <v>918</v>
      </c>
      <c r="H93" s="63">
        <v>128.15</v>
      </c>
      <c r="I93" s="63">
        <v>155.06</v>
      </c>
      <c r="J93" s="62" t="s">
        <v>829</v>
      </c>
      <c r="K93" s="63">
        <v>32.040000000000013</v>
      </c>
      <c r="L93" s="64">
        <v>25.001950838860719</v>
      </c>
      <c r="M93" s="64">
        <v>33.336801581521179</v>
      </c>
      <c r="N93" s="66"/>
      <c r="O93" s="66"/>
      <c r="P93" s="105"/>
      <c r="Q93" s="106"/>
    </row>
    <row r="94" spans="1:17" ht="16" x14ac:dyDescent="0.2">
      <c r="A94" s="55" t="s">
        <v>467</v>
      </c>
      <c r="B94" s="55" t="s">
        <v>1031</v>
      </c>
      <c r="C94" s="55" t="s">
        <v>1032</v>
      </c>
      <c r="D94" s="56" t="s">
        <v>916</v>
      </c>
      <c r="E94" s="101" t="s">
        <v>1123</v>
      </c>
      <c r="F94" s="57">
        <v>337.77</v>
      </c>
      <c r="G94" s="56" t="s">
        <v>918</v>
      </c>
      <c r="H94" s="57">
        <v>519.64</v>
      </c>
      <c r="I94" s="57">
        <v>628.76</v>
      </c>
      <c r="J94" s="56" t="s">
        <v>829</v>
      </c>
      <c r="K94" s="57">
        <v>181.87</v>
      </c>
      <c r="L94" s="58">
        <v>34.999230236317452</v>
      </c>
      <c r="M94" s="58">
        <v>53.84433194185393</v>
      </c>
      <c r="N94" s="60"/>
      <c r="O94" s="60"/>
      <c r="P94" s="102"/>
      <c r="Q94" s="103"/>
    </row>
    <row r="95" spans="1:17" ht="16" x14ac:dyDescent="0.2">
      <c r="A95" s="61" t="s">
        <v>467</v>
      </c>
      <c r="B95" s="61" t="s">
        <v>1033</v>
      </c>
      <c r="C95" s="61" t="s">
        <v>988</v>
      </c>
      <c r="D95" s="62" t="s">
        <v>939</v>
      </c>
      <c r="E95" s="104" t="s">
        <v>1123</v>
      </c>
      <c r="F95" s="63">
        <v>106.97</v>
      </c>
      <c r="G95" s="62" t="s">
        <v>918</v>
      </c>
      <c r="H95" s="63">
        <v>172.53</v>
      </c>
      <c r="I95" s="63">
        <v>208.76</v>
      </c>
      <c r="J95" s="62" t="s">
        <v>829</v>
      </c>
      <c r="K95" s="63">
        <v>65.56</v>
      </c>
      <c r="L95" s="64">
        <v>37.999188546919378</v>
      </c>
      <c r="M95" s="64">
        <v>61.288211648125653</v>
      </c>
      <c r="N95" s="66"/>
      <c r="O95" s="66"/>
      <c r="P95" s="105"/>
      <c r="Q95" s="106"/>
    </row>
    <row r="96" spans="1:17" ht="16" x14ac:dyDescent="0.2">
      <c r="A96" s="55" t="s">
        <v>467</v>
      </c>
      <c r="B96" s="55" t="s">
        <v>1033</v>
      </c>
      <c r="C96" s="55" t="s">
        <v>989</v>
      </c>
      <c r="D96" s="56" t="s">
        <v>939</v>
      </c>
      <c r="E96" s="101" t="s">
        <v>1123</v>
      </c>
      <c r="F96" s="57">
        <v>93.34</v>
      </c>
      <c r="G96" s="56" t="s">
        <v>918</v>
      </c>
      <c r="H96" s="57">
        <v>150.55000000000001</v>
      </c>
      <c r="I96" s="57">
        <v>182.17</v>
      </c>
      <c r="J96" s="56" t="s">
        <v>829</v>
      </c>
      <c r="K96" s="57">
        <v>57.210000000000008</v>
      </c>
      <c r="L96" s="58">
        <v>38.000664231152442</v>
      </c>
      <c r="M96" s="58">
        <v>61.292050567816588</v>
      </c>
      <c r="N96" s="60"/>
      <c r="O96" s="60"/>
      <c r="P96" s="102"/>
      <c r="Q96" s="103"/>
    </row>
    <row r="97" spans="1:17" ht="16" x14ac:dyDescent="0.2">
      <c r="A97" s="61" t="s">
        <v>467</v>
      </c>
      <c r="B97" s="61" t="s">
        <v>1033</v>
      </c>
      <c r="C97" s="61" t="s">
        <v>990</v>
      </c>
      <c r="D97" s="62" t="s">
        <v>939</v>
      </c>
      <c r="E97" s="104" t="s">
        <v>1123</v>
      </c>
      <c r="F97" s="63">
        <v>108.81</v>
      </c>
      <c r="G97" s="62" t="s">
        <v>918</v>
      </c>
      <c r="H97" s="63">
        <v>175.49</v>
      </c>
      <c r="I97" s="63">
        <v>212.34</v>
      </c>
      <c r="J97" s="62" t="s">
        <v>829</v>
      </c>
      <c r="K97" s="63">
        <v>66.680000000000007</v>
      </c>
      <c r="L97" s="64">
        <v>37.996467035158702</v>
      </c>
      <c r="M97" s="64">
        <v>61.281132248874187</v>
      </c>
      <c r="N97" s="66"/>
      <c r="O97" s="66"/>
      <c r="P97" s="105"/>
      <c r="Q97" s="106"/>
    </row>
    <row r="98" spans="1:17" ht="16" x14ac:dyDescent="0.2">
      <c r="A98" s="55" t="s">
        <v>467</v>
      </c>
      <c r="B98" s="55" t="s">
        <v>1033</v>
      </c>
      <c r="C98" s="55" t="s">
        <v>991</v>
      </c>
      <c r="D98" s="56" t="s">
        <v>939</v>
      </c>
      <c r="E98" s="101" t="s">
        <v>1123</v>
      </c>
      <c r="F98" s="57">
        <v>96.2</v>
      </c>
      <c r="G98" s="56" t="s">
        <v>918</v>
      </c>
      <c r="H98" s="57">
        <v>155.16</v>
      </c>
      <c r="I98" s="57">
        <v>187.74</v>
      </c>
      <c r="J98" s="56" t="s">
        <v>829</v>
      </c>
      <c r="K98" s="57">
        <v>58.959999999999987</v>
      </c>
      <c r="L98" s="58">
        <v>37.999484403196703</v>
      </c>
      <c r="M98" s="58">
        <v>61.288981288981283</v>
      </c>
      <c r="N98" s="60"/>
      <c r="O98" s="60"/>
      <c r="P98" s="102"/>
      <c r="Q98" s="103"/>
    </row>
    <row r="99" spans="1:17" ht="16" x14ac:dyDescent="0.2">
      <c r="A99" s="61" t="s">
        <v>467</v>
      </c>
      <c r="B99" s="61" t="s">
        <v>1034</v>
      </c>
      <c r="C99" s="61" t="s">
        <v>1035</v>
      </c>
      <c r="D99" s="62" t="s">
        <v>916</v>
      </c>
      <c r="E99" s="104" t="s">
        <v>1123</v>
      </c>
      <c r="F99" s="63">
        <v>114.6</v>
      </c>
      <c r="G99" s="62" t="s">
        <v>918</v>
      </c>
      <c r="H99" s="63">
        <v>176.31</v>
      </c>
      <c r="I99" s="63">
        <v>213.34</v>
      </c>
      <c r="J99" s="62" t="s">
        <v>829</v>
      </c>
      <c r="K99" s="63">
        <v>61.710000000000008</v>
      </c>
      <c r="L99" s="64">
        <v>35.00085077420453</v>
      </c>
      <c r="M99" s="64">
        <v>53.848167539267017</v>
      </c>
      <c r="N99" s="66"/>
      <c r="O99" s="66"/>
      <c r="P99" s="105"/>
      <c r="Q99" s="106"/>
    </row>
    <row r="100" spans="1:17" ht="16" x14ac:dyDescent="0.2">
      <c r="A100" s="55" t="s">
        <v>467</v>
      </c>
      <c r="B100" s="55" t="s">
        <v>1036</v>
      </c>
      <c r="C100" s="55" t="s">
        <v>925</v>
      </c>
      <c r="D100" s="56" t="s">
        <v>916</v>
      </c>
      <c r="E100" s="101" t="s">
        <v>1123</v>
      </c>
      <c r="F100" s="57">
        <v>173.92</v>
      </c>
      <c r="G100" s="56" t="s">
        <v>918</v>
      </c>
      <c r="H100" s="57">
        <v>267.57</v>
      </c>
      <c r="I100" s="57">
        <v>323.76</v>
      </c>
      <c r="J100" s="56" t="s">
        <v>829</v>
      </c>
      <c r="K100" s="57">
        <v>93.65</v>
      </c>
      <c r="L100" s="58">
        <v>35.000186866988081</v>
      </c>
      <c r="M100" s="58">
        <v>53.84659613615456</v>
      </c>
      <c r="N100" s="60"/>
      <c r="O100" s="60"/>
      <c r="P100" s="102"/>
      <c r="Q100" s="103"/>
    </row>
    <row r="101" spans="1:17" ht="16" x14ac:dyDescent="0.2">
      <c r="A101" s="61" t="s">
        <v>467</v>
      </c>
      <c r="B101" s="61" t="s">
        <v>1037</v>
      </c>
      <c r="C101" s="61" t="s">
        <v>1038</v>
      </c>
      <c r="D101" s="62" t="s">
        <v>916</v>
      </c>
      <c r="E101" s="104" t="s">
        <v>1123</v>
      </c>
      <c r="F101" s="63">
        <v>361.89</v>
      </c>
      <c r="G101" s="62" t="s">
        <v>918</v>
      </c>
      <c r="H101" s="63">
        <v>556.76</v>
      </c>
      <c r="I101" s="63">
        <v>673.68</v>
      </c>
      <c r="J101" s="62" t="s">
        <v>829</v>
      </c>
      <c r="K101" s="63">
        <v>194.87</v>
      </c>
      <c r="L101" s="64">
        <v>35.00071844241684</v>
      </c>
      <c r="M101" s="64">
        <v>53.8478543203736</v>
      </c>
      <c r="N101" s="66"/>
      <c r="O101" s="66"/>
      <c r="P101" s="105"/>
      <c r="Q101" s="106"/>
    </row>
    <row r="102" spans="1:17" ht="16" x14ac:dyDescent="0.2">
      <c r="A102" s="55" t="s">
        <v>467</v>
      </c>
      <c r="B102" s="55" t="s">
        <v>1037</v>
      </c>
      <c r="C102" s="55" t="s">
        <v>1039</v>
      </c>
      <c r="D102" s="56" t="s">
        <v>916</v>
      </c>
      <c r="E102" s="101" t="s">
        <v>1123</v>
      </c>
      <c r="F102" s="57">
        <v>368.6</v>
      </c>
      <c r="G102" s="56" t="s">
        <v>918</v>
      </c>
      <c r="H102" s="57">
        <v>567.07000000000005</v>
      </c>
      <c r="I102" s="57">
        <v>686.15</v>
      </c>
      <c r="J102" s="56" t="s">
        <v>829</v>
      </c>
      <c r="K102" s="57">
        <v>198.47</v>
      </c>
      <c r="L102" s="58">
        <v>34.999206447175837</v>
      </c>
      <c r="M102" s="58">
        <v>53.844275637547483</v>
      </c>
      <c r="N102" s="60"/>
      <c r="O102" s="60"/>
      <c r="P102" s="102"/>
      <c r="Q102" s="103"/>
    </row>
    <row r="103" spans="1:17" ht="16" x14ac:dyDescent="0.2">
      <c r="A103" s="61" t="s">
        <v>467</v>
      </c>
      <c r="B103" s="61" t="s">
        <v>1037</v>
      </c>
      <c r="C103" s="61" t="s">
        <v>1040</v>
      </c>
      <c r="D103" s="62" t="s">
        <v>916</v>
      </c>
      <c r="E103" s="104" t="s">
        <v>1123</v>
      </c>
      <c r="F103" s="63">
        <v>258.36</v>
      </c>
      <c r="G103" s="62" t="s">
        <v>918</v>
      </c>
      <c r="H103" s="63">
        <v>397.47</v>
      </c>
      <c r="I103" s="63">
        <v>480.94</v>
      </c>
      <c r="J103" s="62" t="s">
        <v>829</v>
      </c>
      <c r="K103" s="63">
        <v>139.11000000000001</v>
      </c>
      <c r="L103" s="64">
        <v>34.998867839082202</v>
      </c>
      <c r="M103" s="64">
        <v>53.8434742220158</v>
      </c>
      <c r="N103" s="66"/>
      <c r="O103" s="66"/>
      <c r="P103" s="105"/>
      <c r="Q103" s="106"/>
    </row>
    <row r="104" spans="1:17" ht="16" x14ac:dyDescent="0.2">
      <c r="A104" s="55" t="s">
        <v>467</v>
      </c>
      <c r="B104" s="55" t="s">
        <v>1037</v>
      </c>
      <c r="C104" s="55" t="s">
        <v>1041</v>
      </c>
      <c r="D104" s="56" t="s">
        <v>916</v>
      </c>
      <c r="E104" s="101" t="s">
        <v>1123</v>
      </c>
      <c r="F104" s="57">
        <v>226.39</v>
      </c>
      <c r="G104" s="56" t="s">
        <v>918</v>
      </c>
      <c r="H104" s="57">
        <v>348.29</v>
      </c>
      <c r="I104" s="57">
        <v>421.43</v>
      </c>
      <c r="J104" s="56" t="s">
        <v>829</v>
      </c>
      <c r="K104" s="57">
        <v>121.9</v>
      </c>
      <c r="L104" s="58">
        <v>34.999569324413571</v>
      </c>
      <c r="M104" s="58">
        <v>53.845134502407369</v>
      </c>
      <c r="N104" s="60"/>
      <c r="O104" s="60"/>
      <c r="P104" s="102"/>
      <c r="Q104" s="103"/>
    </row>
    <row r="105" spans="1:17" ht="16" x14ac:dyDescent="0.2">
      <c r="A105" s="61" t="s">
        <v>467</v>
      </c>
      <c r="B105" s="61" t="s">
        <v>1037</v>
      </c>
      <c r="C105" s="61" t="s">
        <v>1042</v>
      </c>
      <c r="D105" s="62" t="s">
        <v>916</v>
      </c>
      <c r="E105" s="104" t="s">
        <v>1123</v>
      </c>
      <c r="F105" s="63">
        <v>226.79</v>
      </c>
      <c r="G105" s="62" t="s">
        <v>918</v>
      </c>
      <c r="H105" s="63">
        <v>348.9</v>
      </c>
      <c r="I105" s="63">
        <v>422.17</v>
      </c>
      <c r="J105" s="62" t="s">
        <v>829</v>
      </c>
      <c r="K105" s="63">
        <v>122.11</v>
      </c>
      <c r="L105" s="64">
        <v>34.998566924620228</v>
      </c>
      <c r="M105" s="64">
        <v>53.842762026544378</v>
      </c>
      <c r="N105" s="66"/>
      <c r="O105" s="66"/>
      <c r="P105" s="105"/>
      <c r="Q105" s="106"/>
    </row>
    <row r="106" spans="1:17" ht="16" x14ac:dyDescent="0.2">
      <c r="A106" s="55" t="s">
        <v>467</v>
      </c>
      <c r="B106" s="55" t="s">
        <v>1037</v>
      </c>
      <c r="C106" s="55" t="s">
        <v>1043</v>
      </c>
      <c r="D106" s="56" t="s">
        <v>916</v>
      </c>
      <c r="E106" s="101" t="s">
        <v>1123</v>
      </c>
      <c r="F106" s="57">
        <v>258.75</v>
      </c>
      <c r="G106" s="56" t="s">
        <v>918</v>
      </c>
      <c r="H106" s="57">
        <v>398.08</v>
      </c>
      <c r="I106" s="57">
        <v>481.68</v>
      </c>
      <c r="J106" s="56" t="s">
        <v>829</v>
      </c>
      <c r="K106" s="57">
        <v>139.33000000000001</v>
      </c>
      <c r="L106" s="58">
        <v>35.00050241157556</v>
      </c>
      <c r="M106" s="58">
        <v>53.847342995169079</v>
      </c>
      <c r="N106" s="60"/>
      <c r="O106" s="60"/>
      <c r="P106" s="102"/>
      <c r="Q106" s="103"/>
    </row>
    <row r="107" spans="1:17" ht="16" x14ac:dyDescent="0.2">
      <c r="A107" s="61" t="s">
        <v>467</v>
      </c>
      <c r="B107" s="61" t="s">
        <v>1037</v>
      </c>
      <c r="C107" s="61" t="s">
        <v>1044</v>
      </c>
      <c r="D107" s="62" t="s">
        <v>916</v>
      </c>
      <c r="E107" s="104" t="s">
        <v>1123</v>
      </c>
      <c r="F107" s="63">
        <v>205.19</v>
      </c>
      <c r="G107" s="62" t="s">
        <v>918</v>
      </c>
      <c r="H107" s="63">
        <v>315.68</v>
      </c>
      <c r="I107" s="63">
        <v>381.97</v>
      </c>
      <c r="J107" s="62" t="s">
        <v>829</v>
      </c>
      <c r="K107" s="63">
        <v>110.49</v>
      </c>
      <c r="L107" s="64">
        <v>35.000633552965027</v>
      </c>
      <c r="M107" s="64">
        <v>53.847653394414941</v>
      </c>
      <c r="N107" s="66"/>
      <c r="O107" s="66"/>
      <c r="P107" s="105"/>
      <c r="Q107" s="106"/>
    </row>
    <row r="108" spans="1:17" ht="16" x14ac:dyDescent="0.2">
      <c r="A108" s="55" t="s">
        <v>467</v>
      </c>
      <c r="B108" s="55" t="s">
        <v>1037</v>
      </c>
      <c r="C108" s="55" t="s">
        <v>1045</v>
      </c>
      <c r="D108" s="56" t="s">
        <v>916</v>
      </c>
      <c r="E108" s="101" t="s">
        <v>1123</v>
      </c>
      <c r="F108" s="57">
        <v>211.05</v>
      </c>
      <c r="G108" s="56" t="s">
        <v>918</v>
      </c>
      <c r="H108" s="57">
        <v>324.68</v>
      </c>
      <c r="I108" s="57">
        <v>392.86</v>
      </c>
      <c r="J108" s="56" t="s">
        <v>829</v>
      </c>
      <c r="K108" s="57">
        <v>113.63</v>
      </c>
      <c r="L108" s="58">
        <v>34.997536035481083</v>
      </c>
      <c r="M108" s="58">
        <v>53.840322198531148</v>
      </c>
      <c r="N108" s="60"/>
      <c r="O108" s="60"/>
      <c r="P108" s="102"/>
      <c r="Q108" s="103"/>
    </row>
    <row r="109" spans="1:17" ht="16" x14ac:dyDescent="0.2">
      <c r="A109" s="61" t="s">
        <v>467</v>
      </c>
      <c r="B109" s="61" t="s">
        <v>1046</v>
      </c>
      <c r="C109" s="61" t="s">
        <v>1000</v>
      </c>
      <c r="D109" s="62" t="s">
        <v>916</v>
      </c>
      <c r="E109" s="104" t="s">
        <v>1123</v>
      </c>
      <c r="F109" s="63">
        <v>89.71</v>
      </c>
      <c r="G109" s="62" t="s">
        <v>918</v>
      </c>
      <c r="H109" s="63">
        <v>138.02000000000001</v>
      </c>
      <c r="I109" s="63">
        <v>167</v>
      </c>
      <c r="J109" s="62" t="s">
        <v>829</v>
      </c>
      <c r="K109" s="63">
        <v>48.310000000000016</v>
      </c>
      <c r="L109" s="64">
        <v>35.00217359802928</v>
      </c>
      <c r="M109" s="64">
        <v>53.851298628915409</v>
      </c>
      <c r="N109" s="66"/>
      <c r="O109" s="66"/>
      <c r="P109" s="105"/>
      <c r="Q109" s="106"/>
    </row>
    <row r="110" spans="1:17" ht="16" x14ac:dyDescent="0.2">
      <c r="A110" s="55" t="s">
        <v>467</v>
      </c>
      <c r="B110" s="55" t="s">
        <v>1046</v>
      </c>
      <c r="C110" s="55" t="s">
        <v>1001</v>
      </c>
      <c r="D110" s="56" t="s">
        <v>916</v>
      </c>
      <c r="E110" s="101" t="s">
        <v>1123</v>
      </c>
      <c r="F110" s="57">
        <v>94.05</v>
      </c>
      <c r="G110" s="56" t="s">
        <v>918</v>
      </c>
      <c r="H110" s="57">
        <v>144.68</v>
      </c>
      <c r="I110" s="57">
        <v>175.06</v>
      </c>
      <c r="J110" s="56" t="s">
        <v>829</v>
      </c>
      <c r="K110" s="57">
        <v>50.63000000000001</v>
      </c>
      <c r="L110" s="58">
        <v>34.994470555709157</v>
      </c>
      <c r="M110" s="58">
        <v>53.833067517278053</v>
      </c>
      <c r="N110" s="60"/>
      <c r="O110" s="60"/>
      <c r="P110" s="102"/>
      <c r="Q110" s="103"/>
    </row>
    <row r="111" spans="1:17" ht="16" x14ac:dyDescent="0.2">
      <c r="A111" s="61" t="s">
        <v>467</v>
      </c>
      <c r="B111" s="61" t="s">
        <v>1047</v>
      </c>
      <c r="C111" s="61" t="s">
        <v>1048</v>
      </c>
      <c r="D111" s="62" t="s">
        <v>931</v>
      </c>
      <c r="E111" s="104" t="s">
        <v>1123</v>
      </c>
      <c r="F111" s="63">
        <v>975.21</v>
      </c>
      <c r="G111" s="62" t="s">
        <v>918</v>
      </c>
      <c r="H111" s="63">
        <v>1300.28</v>
      </c>
      <c r="I111" s="63">
        <v>1573.34</v>
      </c>
      <c r="J111" s="62" t="s">
        <v>829</v>
      </c>
      <c r="K111" s="63">
        <v>325.06999999999988</v>
      </c>
      <c r="L111" s="64">
        <v>24.999999999999989</v>
      </c>
      <c r="M111" s="64">
        <v>33.333333333333329</v>
      </c>
      <c r="N111" s="66"/>
      <c r="O111" s="66"/>
      <c r="P111" s="105"/>
      <c r="Q111" s="106"/>
    </row>
    <row r="112" spans="1:17" ht="16" x14ac:dyDescent="0.2">
      <c r="A112" s="55" t="s">
        <v>467</v>
      </c>
      <c r="B112" s="55" t="s">
        <v>1047</v>
      </c>
      <c r="C112" s="55" t="s">
        <v>1049</v>
      </c>
      <c r="D112" s="56" t="s">
        <v>931</v>
      </c>
      <c r="E112" s="101" t="s">
        <v>1123</v>
      </c>
      <c r="F112" s="57">
        <v>987.56</v>
      </c>
      <c r="G112" s="56" t="s">
        <v>918</v>
      </c>
      <c r="H112" s="57">
        <v>1316.74</v>
      </c>
      <c r="I112" s="57">
        <v>1593.26</v>
      </c>
      <c r="J112" s="56" t="s">
        <v>829</v>
      </c>
      <c r="K112" s="57">
        <v>329.18000000000012</v>
      </c>
      <c r="L112" s="58">
        <v>24.999620274313841</v>
      </c>
      <c r="M112" s="58">
        <v>33.332658268864677</v>
      </c>
      <c r="N112" s="60"/>
      <c r="O112" s="60"/>
      <c r="P112" s="102"/>
      <c r="Q112" s="103"/>
    </row>
    <row r="113" spans="1:17" ht="16" x14ac:dyDescent="0.2">
      <c r="A113" s="61" t="s">
        <v>467</v>
      </c>
      <c r="B113" s="61" t="s">
        <v>1047</v>
      </c>
      <c r="C113" s="61" t="s">
        <v>1050</v>
      </c>
      <c r="D113" s="62" t="s">
        <v>931</v>
      </c>
      <c r="E113" s="104" t="s">
        <v>1123</v>
      </c>
      <c r="F113" s="63">
        <v>1250.19</v>
      </c>
      <c r="G113" s="62" t="s">
        <v>918</v>
      </c>
      <c r="H113" s="63">
        <v>1666.92</v>
      </c>
      <c r="I113" s="63">
        <v>2016.97</v>
      </c>
      <c r="J113" s="62" t="s">
        <v>829</v>
      </c>
      <c r="K113" s="63">
        <v>416.73</v>
      </c>
      <c r="L113" s="64">
        <v>25</v>
      </c>
      <c r="M113" s="64">
        <v>33.333333333333329</v>
      </c>
      <c r="N113" s="66"/>
      <c r="O113" s="66"/>
      <c r="P113" s="105"/>
      <c r="Q113" s="106"/>
    </row>
    <row r="114" spans="1:17" ht="16" x14ac:dyDescent="0.2">
      <c r="A114" s="55" t="s">
        <v>467</v>
      </c>
      <c r="B114" s="55" t="s">
        <v>1047</v>
      </c>
      <c r="C114" s="55" t="s">
        <v>1051</v>
      </c>
      <c r="D114" s="56" t="s">
        <v>931</v>
      </c>
      <c r="E114" s="101" t="s">
        <v>1123</v>
      </c>
      <c r="F114" s="57">
        <v>1423.37</v>
      </c>
      <c r="G114" s="56" t="s">
        <v>918</v>
      </c>
      <c r="H114" s="57">
        <v>1897.82</v>
      </c>
      <c r="I114" s="57">
        <v>2296.36</v>
      </c>
      <c r="J114" s="56" t="s">
        <v>829</v>
      </c>
      <c r="K114" s="57">
        <v>474.45</v>
      </c>
      <c r="L114" s="58">
        <v>24.999736539819381</v>
      </c>
      <c r="M114" s="58">
        <v>33.332864961324191</v>
      </c>
      <c r="N114" s="60"/>
      <c r="O114" s="60"/>
      <c r="P114" s="102"/>
      <c r="Q114" s="103"/>
    </row>
    <row r="115" spans="1:17" ht="16" x14ac:dyDescent="0.2">
      <c r="A115" s="61" t="s">
        <v>467</v>
      </c>
      <c r="B115" s="61" t="s">
        <v>1052</v>
      </c>
      <c r="C115" s="61" t="s">
        <v>949</v>
      </c>
      <c r="D115" s="62" t="s">
        <v>931</v>
      </c>
      <c r="E115" s="104" t="s">
        <v>1123</v>
      </c>
      <c r="F115" s="63">
        <v>60.67</v>
      </c>
      <c r="G115" s="62" t="s">
        <v>918</v>
      </c>
      <c r="H115" s="63">
        <v>80.89</v>
      </c>
      <c r="I115" s="63">
        <v>97.88</v>
      </c>
      <c r="J115" s="62" t="s">
        <v>829</v>
      </c>
      <c r="K115" s="63">
        <v>20.22</v>
      </c>
      <c r="L115" s="64">
        <v>24.996909383112872</v>
      </c>
      <c r="M115" s="64">
        <v>33.327839129718143</v>
      </c>
      <c r="N115" s="66"/>
      <c r="O115" s="66"/>
      <c r="P115" s="105"/>
      <c r="Q115" s="106"/>
    </row>
    <row r="116" spans="1:17" ht="16" x14ac:dyDescent="0.2">
      <c r="A116" s="55" t="s">
        <v>467</v>
      </c>
      <c r="B116" s="55" t="s">
        <v>1053</v>
      </c>
      <c r="C116" s="55" t="s">
        <v>938</v>
      </c>
      <c r="D116" s="56" t="s">
        <v>939</v>
      </c>
      <c r="E116" s="101" t="s">
        <v>1123</v>
      </c>
      <c r="F116" s="57">
        <v>14.17</v>
      </c>
      <c r="G116" s="56" t="s">
        <v>918</v>
      </c>
      <c r="H116" s="57">
        <v>22.86</v>
      </c>
      <c r="I116" s="57">
        <v>27.66</v>
      </c>
      <c r="J116" s="56" t="s">
        <v>829</v>
      </c>
      <c r="K116" s="57">
        <v>8.69</v>
      </c>
      <c r="L116" s="58">
        <v>38.013998250218719</v>
      </c>
      <c r="M116" s="58">
        <v>61.326746647847557</v>
      </c>
      <c r="N116" s="60"/>
      <c r="O116" s="60"/>
      <c r="P116" s="102"/>
      <c r="Q116" s="103"/>
    </row>
    <row r="117" spans="1:17" ht="16" x14ac:dyDescent="0.2">
      <c r="A117" s="61" t="s">
        <v>467</v>
      </c>
      <c r="B117" s="61" t="s">
        <v>1053</v>
      </c>
      <c r="C117" s="61" t="s">
        <v>1054</v>
      </c>
      <c r="D117" s="62" t="s">
        <v>939</v>
      </c>
      <c r="E117" s="104" t="s">
        <v>1123</v>
      </c>
      <c r="F117" s="63">
        <v>14.95</v>
      </c>
      <c r="G117" s="62" t="s">
        <v>918</v>
      </c>
      <c r="H117" s="63">
        <v>24.11</v>
      </c>
      <c r="I117" s="63">
        <v>29.17</v>
      </c>
      <c r="J117" s="62" t="s">
        <v>829</v>
      </c>
      <c r="K117" s="63">
        <v>9.16</v>
      </c>
      <c r="L117" s="64">
        <v>37.992534218166732</v>
      </c>
      <c r="M117" s="64">
        <v>61.27090301003345</v>
      </c>
      <c r="N117" s="66"/>
      <c r="O117" s="66"/>
      <c r="P117" s="105"/>
      <c r="Q117" s="106"/>
    </row>
    <row r="118" spans="1:17" ht="16" x14ac:dyDescent="0.2">
      <c r="A118" s="55" t="s">
        <v>467</v>
      </c>
      <c r="B118" s="55" t="s">
        <v>1055</v>
      </c>
      <c r="C118" s="55" t="s">
        <v>938</v>
      </c>
      <c r="D118" s="56" t="s">
        <v>939</v>
      </c>
      <c r="E118" s="101" t="s">
        <v>1123</v>
      </c>
      <c r="F118" s="57">
        <v>17.13</v>
      </c>
      <c r="G118" s="56" t="s">
        <v>918</v>
      </c>
      <c r="H118" s="57">
        <v>27.63</v>
      </c>
      <c r="I118" s="57">
        <v>33.43</v>
      </c>
      <c r="J118" s="56" t="s">
        <v>829</v>
      </c>
      <c r="K118" s="57">
        <v>10.5</v>
      </c>
      <c r="L118" s="58">
        <v>38.002171552660151</v>
      </c>
      <c r="M118" s="58">
        <v>61.295971978984241</v>
      </c>
      <c r="N118" s="60"/>
      <c r="O118" s="60"/>
      <c r="P118" s="102"/>
      <c r="Q118" s="103"/>
    </row>
    <row r="119" spans="1:17" ht="16" x14ac:dyDescent="0.2">
      <c r="A119" s="61" t="s">
        <v>467</v>
      </c>
      <c r="B119" s="61" t="s">
        <v>1055</v>
      </c>
      <c r="C119" s="61" t="s">
        <v>1056</v>
      </c>
      <c r="D119" s="62" t="s">
        <v>939</v>
      </c>
      <c r="E119" s="104" t="s">
        <v>1123</v>
      </c>
      <c r="F119" s="63">
        <v>17.63</v>
      </c>
      <c r="G119" s="62" t="s">
        <v>918</v>
      </c>
      <c r="H119" s="63">
        <v>28.44</v>
      </c>
      <c r="I119" s="63">
        <v>34.409999999999997</v>
      </c>
      <c r="J119" s="62" t="s">
        <v>829</v>
      </c>
      <c r="K119" s="63">
        <v>10.81</v>
      </c>
      <c r="L119" s="64">
        <v>38.009845288326296</v>
      </c>
      <c r="M119" s="64">
        <v>61.315938740782769</v>
      </c>
      <c r="N119" s="66"/>
      <c r="O119" s="66"/>
      <c r="P119" s="105"/>
      <c r="Q119" s="106"/>
    </row>
    <row r="120" spans="1:17" ht="16" x14ac:dyDescent="0.2">
      <c r="A120" s="55" t="s">
        <v>467</v>
      </c>
      <c r="B120" s="55" t="s">
        <v>1057</v>
      </c>
      <c r="C120" s="55" t="s">
        <v>938</v>
      </c>
      <c r="D120" s="56" t="s">
        <v>916</v>
      </c>
      <c r="E120" s="101" t="s">
        <v>1123</v>
      </c>
      <c r="F120" s="57">
        <v>69.97</v>
      </c>
      <c r="G120" s="56" t="s">
        <v>918</v>
      </c>
      <c r="H120" s="57">
        <v>107.64</v>
      </c>
      <c r="I120" s="57">
        <v>130.24</v>
      </c>
      <c r="J120" s="56" t="s">
        <v>829</v>
      </c>
      <c r="K120" s="57">
        <v>37.67</v>
      </c>
      <c r="L120" s="58">
        <v>34.996283909327389</v>
      </c>
      <c r="M120" s="58">
        <v>53.837358868086334</v>
      </c>
      <c r="N120" s="60"/>
      <c r="O120" s="60"/>
      <c r="P120" s="102"/>
      <c r="Q120" s="103"/>
    </row>
    <row r="121" spans="1:17" ht="16" x14ac:dyDescent="0.2">
      <c r="A121" s="61" t="s">
        <v>467</v>
      </c>
      <c r="B121" s="61" t="s">
        <v>1057</v>
      </c>
      <c r="C121" s="61" t="s">
        <v>940</v>
      </c>
      <c r="D121" s="62" t="s">
        <v>916</v>
      </c>
      <c r="E121" s="104" t="s">
        <v>1123</v>
      </c>
      <c r="F121" s="63">
        <v>73.58</v>
      </c>
      <c r="G121" s="62" t="s">
        <v>918</v>
      </c>
      <c r="H121" s="63">
        <v>113.21</v>
      </c>
      <c r="I121" s="63">
        <v>136.97999999999999</v>
      </c>
      <c r="J121" s="62" t="s">
        <v>829</v>
      </c>
      <c r="K121" s="63">
        <v>39.630000000000003</v>
      </c>
      <c r="L121" s="64">
        <v>35.005741542266577</v>
      </c>
      <c r="M121" s="64">
        <v>53.859744495786899</v>
      </c>
      <c r="N121" s="66"/>
      <c r="O121" s="66"/>
      <c r="P121" s="105"/>
      <c r="Q121" s="106"/>
    </row>
    <row r="122" spans="1:17" ht="16" x14ac:dyDescent="0.2">
      <c r="A122" s="55" t="s">
        <v>467</v>
      </c>
      <c r="B122" s="55" t="s">
        <v>1058</v>
      </c>
      <c r="C122" s="55" t="s">
        <v>989</v>
      </c>
      <c r="D122" s="56" t="s">
        <v>926</v>
      </c>
      <c r="E122" s="101" t="s">
        <v>1123</v>
      </c>
      <c r="F122" s="57">
        <v>215.24</v>
      </c>
      <c r="G122" s="56" t="s">
        <v>918</v>
      </c>
      <c r="H122" s="57">
        <v>331.14</v>
      </c>
      <c r="I122" s="57">
        <v>400.68</v>
      </c>
      <c r="J122" s="56" t="s">
        <v>829</v>
      </c>
      <c r="K122" s="57">
        <v>115.9</v>
      </c>
      <c r="L122" s="58">
        <v>35.000301987074948</v>
      </c>
      <c r="M122" s="58">
        <v>53.846868611782178</v>
      </c>
      <c r="N122" s="60"/>
      <c r="O122" s="60"/>
      <c r="P122" s="102"/>
      <c r="Q122" s="103"/>
    </row>
    <row r="123" spans="1:17" ht="16" x14ac:dyDescent="0.2">
      <c r="A123" s="61" t="s">
        <v>467</v>
      </c>
      <c r="B123" s="61" t="s">
        <v>1058</v>
      </c>
      <c r="C123" s="61" t="s">
        <v>991</v>
      </c>
      <c r="D123" s="62" t="s">
        <v>926</v>
      </c>
      <c r="E123" s="104" t="s">
        <v>1123</v>
      </c>
      <c r="F123" s="63">
        <v>225.25</v>
      </c>
      <c r="G123" s="62" t="s">
        <v>918</v>
      </c>
      <c r="H123" s="63">
        <v>346.54</v>
      </c>
      <c r="I123" s="63">
        <v>419.31</v>
      </c>
      <c r="J123" s="62" t="s">
        <v>829</v>
      </c>
      <c r="K123" s="63">
        <v>121.29</v>
      </c>
      <c r="L123" s="64">
        <v>35.000288566976401</v>
      </c>
      <c r="M123" s="64">
        <v>53.846836847946733</v>
      </c>
      <c r="N123" s="66"/>
      <c r="O123" s="66"/>
      <c r="P123" s="105"/>
      <c r="Q123" s="106"/>
    </row>
    <row r="124" spans="1:17" ht="16" x14ac:dyDescent="0.2">
      <c r="A124" s="55" t="s">
        <v>467</v>
      </c>
      <c r="B124" s="55" t="s">
        <v>1059</v>
      </c>
      <c r="C124" s="55" t="s">
        <v>1060</v>
      </c>
      <c r="D124" s="56" t="s">
        <v>916</v>
      </c>
      <c r="E124" s="101" t="s">
        <v>1123</v>
      </c>
      <c r="F124" s="57">
        <v>120.39</v>
      </c>
      <c r="G124" s="56" t="s">
        <v>918</v>
      </c>
      <c r="H124" s="57">
        <v>185.21</v>
      </c>
      <c r="I124" s="57">
        <v>224.1</v>
      </c>
      <c r="J124" s="56" t="s">
        <v>829</v>
      </c>
      <c r="K124" s="57">
        <v>64.820000000000007</v>
      </c>
      <c r="L124" s="58">
        <v>34.998110253226073</v>
      </c>
      <c r="M124" s="58">
        <v>53.841681202757712</v>
      </c>
      <c r="N124" s="60"/>
      <c r="O124" s="60"/>
      <c r="P124" s="102"/>
      <c r="Q124" s="103"/>
    </row>
    <row r="125" spans="1:17" ht="16" x14ac:dyDescent="0.2">
      <c r="A125" s="61" t="s">
        <v>467</v>
      </c>
      <c r="B125" s="61" t="s">
        <v>1061</v>
      </c>
      <c r="C125" s="61" t="s">
        <v>922</v>
      </c>
      <c r="D125" s="62" t="s">
        <v>916</v>
      </c>
      <c r="E125" s="104" t="s">
        <v>1123</v>
      </c>
      <c r="F125" s="63">
        <v>163.38</v>
      </c>
      <c r="G125" s="62" t="s">
        <v>918</v>
      </c>
      <c r="H125" s="63">
        <v>251.35</v>
      </c>
      <c r="I125" s="63">
        <v>304.13</v>
      </c>
      <c r="J125" s="62" t="s">
        <v>829</v>
      </c>
      <c r="K125" s="63">
        <v>87.97</v>
      </c>
      <c r="L125" s="64">
        <v>34.999005370996613</v>
      </c>
      <c r="M125" s="64">
        <v>53.843799730689192</v>
      </c>
      <c r="N125" s="66"/>
      <c r="O125" s="66"/>
      <c r="P125" s="105"/>
      <c r="Q125" s="106"/>
    </row>
    <row r="126" spans="1:17" ht="16" x14ac:dyDescent="0.2">
      <c r="A126" s="55" t="s">
        <v>467</v>
      </c>
      <c r="B126" s="55" t="s">
        <v>1061</v>
      </c>
      <c r="C126" s="55" t="s">
        <v>1062</v>
      </c>
      <c r="D126" s="56" t="s">
        <v>916</v>
      </c>
      <c r="E126" s="101" t="s">
        <v>1123</v>
      </c>
      <c r="F126" s="57">
        <v>204.95</v>
      </c>
      <c r="G126" s="56" t="s">
        <v>918</v>
      </c>
      <c r="H126" s="57">
        <v>315.32</v>
      </c>
      <c r="I126" s="57">
        <v>381.54</v>
      </c>
      <c r="J126" s="56" t="s">
        <v>829</v>
      </c>
      <c r="K126" s="57">
        <v>110.37</v>
      </c>
      <c r="L126" s="58">
        <v>35.002537105163007</v>
      </c>
      <c r="M126" s="58">
        <v>53.852159063186143</v>
      </c>
      <c r="N126" s="60"/>
      <c r="O126" s="60"/>
      <c r="P126" s="102"/>
      <c r="Q126" s="103"/>
    </row>
    <row r="127" spans="1:17" ht="16" x14ac:dyDescent="0.2">
      <c r="A127" s="61" t="s">
        <v>467</v>
      </c>
      <c r="B127" s="61" t="s">
        <v>1061</v>
      </c>
      <c r="C127" s="61" t="s">
        <v>923</v>
      </c>
      <c r="D127" s="62" t="s">
        <v>916</v>
      </c>
      <c r="E127" s="104" t="s">
        <v>1123</v>
      </c>
      <c r="F127" s="63">
        <v>213.86</v>
      </c>
      <c r="G127" s="62" t="s">
        <v>918</v>
      </c>
      <c r="H127" s="63">
        <v>329.01</v>
      </c>
      <c r="I127" s="63">
        <v>398.1</v>
      </c>
      <c r="J127" s="62" t="s">
        <v>829</v>
      </c>
      <c r="K127" s="63">
        <v>115.15</v>
      </c>
      <c r="L127" s="64">
        <v>34.998936202547029</v>
      </c>
      <c r="M127" s="64">
        <v>53.843636023566809</v>
      </c>
      <c r="N127" s="66"/>
      <c r="O127" s="66"/>
      <c r="P127" s="105"/>
      <c r="Q127" s="106"/>
    </row>
    <row r="128" spans="1:17" ht="16" x14ac:dyDescent="0.2">
      <c r="A128" s="55" t="s">
        <v>467</v>
      </c>
      <c r="B128" s="55" t="s">
        <v>1061</v>
      </c>
      <c r="C128" s="55" t="s">
        <v>1063</v>
      </c>
      <c r="D128" s="56" t="s">
        <v>916</v>
      </c>
      <c r="E128" s="101" t="s">
        <v>1123</v>
      </c>
      <c r="F128" s="57">
        <v>222.76</v>
      </c>
      <c r="G128" s="56" t="s">
        <v>918</v>
      </c>
      <c r="H128" s="57">
        <v>342.7</v>
      </c>
      <c r="I128" s="57">
        <v>414.67</v>
      </c>
      <c r="J128" s="56" t="s">
        <v>829</v>
      </c>
      <c r="K128" s="57">
        <v>119.94</v>
      </c>
      <c r="L128" s="58">
        <v>34.998540997957399</v>
      </c>
      <c r="M128" s="58">
        <v>53.842700664392183</v>
      </c>
      <c r="N128" s="60"/>
      <c r="O128" s="60"/>
      <c r="P128" s="102"/>
      <c r="Q128" s="103"/>
    </row>
    <row r="129" spans="1:17" ht="16" x14ac:dyDescent="0.2">
      <c r="A129" s="61" t="s">
        <v>467</v>
      </c>
      <c r="B129" s="61" t="s">
        <v>1064</v>
      </c>
      <c r="C129" s="61" t="s">
        <v>1065</v>
      </c>
      <c r="D129" s="62" t="s">
        <v>916</v>
      </c>
      <c r="E129" s="104" t="s">
        <v>1123</v>
      </c>
      <c r="F129" s="63">
        <v>84.68</v>
      </c>
      <c r="G129" s="62" t="s">
        <v>918</v>
      </c>
      <c r="H129" s="63">
        <v>130.27000000000001</v>
      </c>
      <c r="I129" s="63">
        <v>157.63</v>
      </c>
      <c r="J129" s="62" t="s">
        <v>829</v>
      </c>
      <c r="K129" s="63">
        <v>45.59</v>
      </c>
      <c r="L129" s="64">
        <v>34.996545635986799</v>
      </c>
      <c r="M129" s="64">
        <v>53.837978271138397</v>
      </c>
      <c r="N129" s="66"/>
      <c r="O129" s="66"/>
      <c r="P129" s="105"/>
      <c r="Q129" s="106"/>
    </row>
    <row r="130" spans="1:17" ht="16" x14ac:dyDescent="0.2">
      <c r="A130" s="55" t="s">
        <v>467</v>
      </c>
      <c r="B130" s="55" t="s">
        <v>1066</v>
      </c>
      <c r="C130" s="55" t="s">
        <v>1067</v>
      </c>
      <c r="D130" s="56" t="s">
        <v>916</v>
      </c>
      <c r="E130" s="101" t="s">
        <v>1123</v>
      </c>
      <c r="F130" s="57">
        <v>122.04</v>
      </c>
      <c r="G130" s="56" t="s">
        <v>918</v>
      </c>
      <c r="H130" s="57">
        <v>187.75</v>
      </c>
      <c r="I130" s="57">
        <v>227.18</v>
      </c>
      <c r="J130" s="56" t="s">
        <v>829</v>
      </c>
      <c r="K130" s="57">
        <v>65.709999999999994</v>
      </c>
      <c r="L130" s="58">
        <v>34.998668442077218</v>
      </c>
      <c r="M130" s="58">
        <v>53.843002294329722</v>
      </c>
      <c r="N130" s="60"/>
      <c r="O130" s="60"/>
      <c r="P130" s="102"/>
      <c r="Q130" s="103"/>
    </row>
    <row r="131" spans="1:17" ht="16" x14ac:dyDescent="0.2">
      <c r="A131" s="61" t="s">
        <v>467</v>
      </c>
      <c r="B131" s="61" t="s">
        <v>1066</v>
      </c>
      <c r="C131" s="61" t="s">
        <v>1068</v>
      </c>
      <c r="D131" s="62" t="s">
        <v>916</v>
      </c>
      <c r="E131" s="104" t="s">
        <v>1123</v>
      </c>
      <c r="F131" s="63">
        <v>130.35</v>
      </c>
      <c r="G131" s="62" t="s">
        <v>918</v>
      </c>
      <c r="H131" s="63">
        <v>200.54</v>
      </c>
      <c r="I131" s="63">
        <v>242.65</v>
      </c>
      <c r="J131" s="62" t="s">
        <v>829</v>
      </c>
      <c r="K131" s="63">
        <v>70.19</v>
      </c>
      <c r="L131" s="64">
        <v>35.000498653635177</v>
      </c>
      <c r="M131" s="64">
        <v>53.847334100498657</v>
      </c>
      <c r="N131" s="66"/>
      <c r="O131" s="66"/>
      <c r="P131" s="105"/>
      <c r="Q131" s="106"/>
    </row>
    <row r="132" spans="1:17" ht="16" x14ac:dyDescent="0.2">
      <c r="A132" s="55" t="s">
        <v>467</v>
      </c>
      <c r="B132" s="55" t="s">
        <v>1066</v>
      </c>
      <c r="C132" s="55" t="s">
        <v>1069</v>
      </c>
      <c r="D132" s="56" t="s">
        <v>916</v>
      </c>
      <c r="E132" s="101" t="s">
        <v>1123</v>
      </c>
      <c r="F132" s="57">
        <v>123.32</v>
      </c>
      <c r="G132" s="56" t="s">
        <v>918</v>
      </c>
      <c r="H132" s="57">
        <v>189.72</v>
      </c>
      <c r="I132" s="57">
        <v>229.56</v>
      </c>
      <c r="J132" s="56" t="s">
        <v>829</v>
      </c>
      <c r="K132" s="57">
        <v>66.400000000000006</v>
      </c>
      <c r="L132" s="58">
        <v>34.998945814885097</v>
      </c>
      <c r="M132" s="58">
        <v>53.843658773921511</v>
      </c>
      <c r="N132" s="60"/>
      <c r="O132" s="60"/>
      <c r="P132" s="102"/>
      <c r="Q132" s="103"/>
    </row>
    <row r="133" spans="1:17" ht="16" x14ac:dyDescent="0.2">
      <c r="A133" s="61" t="s">
        <v>467</v>
      </c>
      <c r="B133" s="61" t="s">
        <v>1066</v>
      </c>
      <c r="C133" s="61" t="s">
        <v>1070</v>
      </c>
      <c r="D133" s="62" t="s">
        <v>916</v>
      </c>
      <c r="E133" s="104" t="s">
        <v>1123</v>
      </c>
      <c r="F133" s="63">
        <v>136.79</v>
      </c>
      <c r="G133" s="62" t="s">
        <v>918</v>
      </c>
      <c r="H133" s="63">
        <v>210.45</v>
      </c>
      <c r="I133" s="63">
        <v>254.64</v>
      </c>
      <c r="J133" s="62" t="s">
        <v>829</v>
      </c>
      <c r="K133" s="63">
        <v>73.66</v>
      </c>
      <c r="L133" s="64">
        <v>35.001187930624852</v>
      </c>
      <c r="M133" s="64">
        <v>53.84896556765846</v>
      </c>
      <c r="N133" s="66"/>
      <c r="O133" s="66"/>
      <c r="P133" s="105"/>
      <c r="Q133" s="106"/>
    </row>
    <row r="134" spans="1:17" ht="16" x14ac:dyDescent="0.2">
      <c r="A134" s="55" t="s">
        <v>467</v>
      </c>
      <c r="B134" s="55" t="s">
        <v>1071</v>
      </c>
      <c r="C134" s="55" t="s">
        <v>1032</v>
      </c>
      <c r="D134" s="56" t="s">
        <v>916</v>
      </c>
      <c r="E134" s="101" t="s">
        <v>1123</v>
      </c>
      <c r="F134" s="57">
        <v>315.63</v>
      </c>
      <c r="G134" s="56" t="s">
        <v>918</v>
      </c>
      <c r="H134" s="57">
        <v>485.59</v>
      </c>
      <c r="I134" s="57">
        <v>587.55999999999995</v>
      </c>
      <c r="J134" s="56" t="s">
        <v>829</v>
      </c>
      <c r="K134" s="57">
        <v>169.96</v>
      </c>
      <c r="L134" s="58">
        <v>35.000720772668288</v>
      </c>
      <c r="M134" s="58">
        <v>53.847859835883781</v>
      </c>
      <c r="N134" s="60"/>
      <c r="O134" s="60"/>
      <c r="P134" s="102"/>
      <c r="Q134" s="103"/>
    </row>
    <row r="135" spans="1:17" ht="16" x14ac:dyDescent="0.2">
      <c r="A135" s="61" t="s">
        <v>467</v>
      </c>
      <c r="B135" s="61" t="s">
        <v>1071</v>
      </c>
      <c r="C135" s="61" t="s">
        <v>1072</v>
      </c>
      <c r="D135" s="62" t="s">
        <v>916</v>
      </c>
      <c r="E135" s="104" t="s">
        <v>1123</v>
      </c>
      <c r="F135" s="63">
        <v>287.64</v>
      </c>
      <c r="G135" s="62" t="s">
        <v>918</v>
      </c>
      <c r="H135" s="63">
        <v>442.52</v>
      </c>
      <c r="I135" s="63">
        <v>535.45000000000005</v>
      </c>
      <c r="J135" s="62" t="s">
        <v>829</v>
      </c>
      <c r="K135" s="63">
        <v>154.88</v>
      </c>
      <c r="L135" s="64">
        <v>34.999548043026302</v>
      </c>
      <c r="M135" s="64">
        <v>53.845084132943953</v>
      </c>
      <c r="N135" s="66"/>
      <c r="O135" s="66"/>
      <c r="P135" s="105"/>
      <c r="Q135" s="106"/>
    </row>
    <row r="136" spans="1:17" ht="16" x14ac:dyDescent="0.2">
      <c r="A136" s="55" t="s">
        <v>467</v>
      </c>
      <c r="B136" s="55" t="s">
        <v>1073</v>
      </c>
      <c r="C136" s="55" t="s">
        <v>1074</v>
      </c>
      <c r="D136" s="56" t="s">
        <v>916</v>
      </c>
      <c r="E136" s="101" t="s">
        <v>1123</v>
      </c>
      <c r="F136" s="57">
        <v>356.97</v>
      </c>
      <c r="G136" s="56" t="s">
        <v>918</v>
      </c>
      <c r="H136" s="57">
        <v>549.19000000000005</v>
      </c>
      <c r="I136" s="57">
        <v>664.52</v>
      </c>
      <c r="J136" s="56" t="s">
        <v>829</v>
      </c>
      <c r="K136" s="57">
        <v>192.22</v>
      </c>
      <c r="L136" s="58">
        <v>35.000637302208709</v>
      </c>
      <c r="M136" s="58">
        <v>53.847662268537967</v>
      </c>
      <c r="N136" s="60"/>
      <c r="O136" s="60"/>
      <c r="P136" s="102"/>
      <c r="Q136" s="103"/>
    </row>
    <row r="137" spans="1:17" ht="16" x14ac:dyDescent="0.2">
      <c r="A137" s="61" t="s">
        <v>467</v>
      </c>
      <c r="B137" s="61" t="s">
        <v>1073</v>
      </c>
      <c r="C137" s="61" t="s">
        <v>1075</v>
      </c>
      <c r="D137" s="62" t="s">
        <v>916</v>
      </c>
      <c r="E137" s="104" t="s">
        <v>1123</v>
      </c>
      <c r="F137" s="63">
        <v>279.44</v>
      </c>
      <c r="G137" s="62" t="s">
        <v>918</v>
      </c>
      <c r="H137" s="63">
        <v>429.91</v>
      </c>
      <c r="I137" s="63">
        <v>520.19000000000005</v>
      </c>
      <c r="J137" s="62" t="s">
        <v>829</v>
      </c>
      <c r="K137" s="63">
        <v>150.47</v>
      </c>
      <c r="L137" s="64">
        <v>35.00034891023703</v>
      </c>
      <c r="M137" s="64">
        <v>53.846979673632987</v>
      </c>
      <c r="N137" s="66"/>
      <c r="O137" s="66"/>
      <c r="P137" s="105"/>
      <c r="Q137" s="106"/>
    </row>
    <row r="138" spans="1:17" ht="16" x14ac:dyDescent="0.2">
      <c r="A138" s="55" t="s">
        <v>467</v>
      </c>
      <c r="B138" s="55" t="s">
        <v>1073</v>
      </c>
      <c r="C138" s="55" t="s">
        <v>1076</v>
      </c>
      <c r="D138" s="56" t="s">
        <v>916</v>
      </c>
      <c r="E138" s="101" t="s">
        <v>1123</v>
      </c>
      <c r="F138" s="57">
        <v>534.41</v>
      </c>
      <c r="G138" s="56" t="s">
        <v>918</v>
      </c>
      <c r="H138" s="57">
        <v>822.16</v>
      </c>
      <c r="I138" s="57">
        <v>994.81</v>
      </c>
      <c r="J138" s="56" t="s">
        <v>829</v>
      </c>
      <c r="K138" s="57">
        <v>287.75</v>
      </c>
      <c r="L138" s="58">
        <v>34.999270215043303</v>
      </c>
      <c r="M138" s="58">
        <v>53.84442656387418</v>
      </c>
      <c r="N138" s="60"/>
      <c r="O138" s="60"/>
      <c r="P138" s="102"/>
      <c r="Q138" s="103"/>
    </row>
    <row r="139" spans="1:17" ht="16" x14ac:dyDescent="0.2">
      <c r="A139" s="61" t="s">
        <v>467</v>
      </c>
      <c r="B139" s="61" t="s">
        <v>1077</v>
      </c>
      <c r="C139" s="61" t="s">
        <v>922</v>
      </c>
      <c r="D139" s="62" t="s">
        <v>916</v>
      </c>
      <c r="E139" s="104" t="s">
        <v>1123</v>
      </c>
      <c r="F139" s="63">
        <v>206.48</v>
      </c>
      <c r="G139" s="62" t="s">
        <v>918</v>
      </c>
      <c r="H139" s="63">
        <v>317.66000000000003</v>
      </c>
      <c r="I139" s="63">
        <v>384.37</v>
      </c>
      <c r="J139" s="62" t="s">
        <v>829</v>
      </c>
      <c r="K139" s="63">
        <v>111.18</v>
      </c>
      <c r="L139" s="64">
        <v>34.999685198010461</v>
      </c>
      <c r="M139" s="64">
        <v>53.845408756296031</v>
      </c>
      <c r="N139" s="66"/>
      <c r="O139" s="66"/>
      <c r="P139" s="105"/>
      <c r="Q139" s="106"/>
    </row>
    <row r="140" spans="1:17" ht="16" x14ac:dyDescent="0.2">
      <c r="A140" s="55" t="s">
        <v>467</v>
      </c>
      <c r="B140" s="55" t="s">
        <v>1077</v>
      </c>
      <c r="C140" s="55" t="s">
        <v>923</v>
      </c>
      <c r="D140" s="56" t="s">
        <v>916</v>
      </c>
      <c r="E140" s="101" t="s">
        <v>1123</v>
      </c>
      <c r="F140" s="57">
        <v>221.96</v>
      </c>
      <c r="G140" s="56" t="s">
        <v>918</v>
      </c>
      <c r="H140" s="57">
        <v>341.48</v>
      </c>
      <c r="I140" s="57">
        <v>413.19</v>
      </c>
      <c r="J140" s="56" t="s">
        <v>829</v>
      </c>
      <c r="K140" s="57">
        <v>119.52</v>
      </c>
      <c r="L140" s="58">
        <v>35.000585685838118</v>
      </c>
      <c r="M140" s="58">
        <v>53.847540097314841</v>
      </c>
      <c r="N140" s="60"/>
      <c r="O140" s="60"/>
      <c r="P140" s="102"/>
      <c r="Q140" s="103"/>
    </row>
    <row r="141" spans="1:17" ht="16" x14ac:dyDescent="0.2">
      <c r="A141" s="61" t="s">
        <v>467</v>
      </c>
      <c r="B141" s="61" t="s">
        <v>1078</v>
      </c>
      <c r="C141" s="61" t="s">
        <v>1079</v>
      </c>
      <c r="D141" s="62" t="s">
        <v>916</v>
      </c>
      <c r="E141" s="104" t="s">
        <v>1123</v>
      </c>
      <c r="F141" s="63">
        <v>561.54</v>
      </c>
      <c r="G141" s="62" t="s">
        <v>918</v>
      </c>
      <c r="H141" s="63">
        <v>863.9</v>
      </c>
      <c r="I141" s="63">
        <v>1045.32</v>
      </c>
      <c r="J141" s="62" t="s">
        <v>829</v>
      </c>
      <c r="K141" s="63">
        <v>302.36</v>
      </c>
      <c r="L141" s="64">
        <v>34.99942122930895</v>
      </c>
      <c r="M141" s="64">
        <v>53.844783986893198</v>
      </c>
      <c r="N141" s="66"/>
      <c r="O141" s="66"/>
      <c r="P141" s="105"/>
      <c r="Q141" s="106"/>
    </row>
    <row r="142" spans="1:17" ht="16" x14ac:dyDescent="0.2">
      <c r="A142" s="55" t="s">
        <v>467</v>
      </c>
      <c r="B142" s="55" t="s">
        <v>1080</v>
      </c>
      <c r="C142" s="55" t="s">
        <v>1081</v>
      </c>
      <c r="D142" s="56" t="s">
        <v>916</v>
      </c>
      <c r="E142" s="101" t="s">
        <v>1123</v>
      </c>
      <c r="F142" s="57">
        <v>561.54</v>
      </c>
      <c r="G142" s="56" t="s">
        <v>918</v>
      </c>
      <c r="H142" s="57">
        <v>863.9</v>
      </c>
      <c r="I142" s="57">
        <v>1045.32</v>
      </c>
      <c r="J142" s="56" t="s">
        <v>829</v>
      </c>
      <c r="K142" s="57">
        <v>302.36</v>
      </c>
      <c r="L142" s="58">
        <v>34.99942122930895</v>
      </c>
      <c r="M142" s="58">
        <v>53.844783986893198</v>
      </c>
      <c r="N142" s="60"/>
      <c r="O142" s="60"/>
      <c r="P142" s="102"/>
      <c r="Q142" s="103"/>
    </row>
    <row r="143" spans="1:17" ht="16" x14ac:dyDescent="0.2">
      <c r="A143" s="61" t="s">
        <v>467</v>
      </c>
      <c r="B143" s="61" t="s">
        <v>1082</v>
      </c>
      <c r="C143" s="61" t="s">
        <v>1083</v>
      </c>
      <c r="D143" s="62" t="s">
        <v>916</v>
      </c>
      <c r="E143" s="104" t="s">
        <v>1123</v>
      </c>
      <c r="F143" s="63">
        <v>1019.5</v>
      </c>
      <c r="G143" s="62" t="s">
        <v>918</v>
      </c>
      <c r="H143" s="63">
        <v>1568.47</v>
      </c>
      <c r="I143" s="63">
        <v>1897.85</v>
      </c>
      <c r="J143" s="62" t="s">
        <v>829</v>
      </c>
      <c r="K143" s="63">
        <v>548.97</v>
      </c>
      <c r="L143" s="64">
        <v>35.000350660197519</v>
      </c>
      <c r="M143" s="64">
        <v>53.846983815595877</v>
      </c>
      <c r="N143" s="66"/>
      <c r="O143" s="66"/>
      <c r="P143" s="105"/>
      <c r="Q143" s="106"/>
    </row>
    <row r="144" spans="1:17" ht="16" x14ac:dyDescent="0.2">
      <c r="A144" s="55" t="s">
        <v>467</v>
      </c>
      <c r="B144" s="55" t="s">
        <v>1084</v>
      </c>
      <c r="C144" s="55" t="s">
        <v>1085</v>
      </c>
      <c r="D144" s="56" t="s">
        <v>916</v>
      </c>
      <c r="E144" s="101" t="s">
        <v>1123</v>
      </c>
      <c r="F144" s="57">
        <v>82.22</v>
      </c>
      <c r="G144" s="56" t="s">
        <v>918</v>
      </c>
      <c r="H144" s="57">
        <v>126.49</v>
      </c>
      <c r="I144" s="57">
        <v>153.05000000000001</v>
      </c>
      <c r="J144" s="56" t="s">
        <v>829</v>
      </c>
      <c r="K144" s="57">
        <v>44.27</v>
      </c>
      <c r="L144" s="58">
        <v>34.99881413550478</v>
      </c>
      <c r="M144" s="58">
        <v>53.843347117489657</v>
      </c>
      <c r="N144" s="60"/>
      <c r="O144" s="60"/>
      <c r="P144" s="102"/>
      <c r="Q144" s="103"/>
    </row>
    <row r="145" spans="1:17" ht="16" x14ac:dyDescent="0.2">
      <c r="A145" s="61" t="s">
        <v>467</v>
      </c>
      <c r="B145" s="61" t="s">
        <v>1086</v>
      </c>
      <c r="C145" s="61" t="s">
        <v>1087</v>
      </c>
      <c r="D145" s="62" t="s">
        <v>916</v>
      </c>
      <c r="E145" s="104" t="s">
        <v>1123</v>
      </c>
      <c r="F145" s="63">
        <v>48.25</v>
      </c>
      <c r="G145" s="62" t="s">
        <v>918</v>
      </c>
      <c r="H145" s="63">
        <v>74.23</v>
      </c>
      <c r="I145" s="63">
        <v>89.82</v>
      </c>
      <c r="J145" s="62" t="s">
        <v>829</v>
      </c>
      <c r="K145" s="63">
        <v>25.98</v>
      </c>
      <c r="L145" s="64">
        <v>34.999326417890337</v>
      </c>
      <c r="M145" s="64">
        <v>53.844559585492227</v>
      </c>
      <c r="N145" s="66"/>
      <c r="O145" s="66"/>
      <c r="P145" s="105"/>
      <c r="Q145" s="106"/>
    </row>
    <row r="146" spans="1:17" ht="16" x14ac:dyDescent="0.2">
      <c r="A146" s="55" t="s">
        <v>467</v>
      </c>
      <c r="B146" s="55" t="s">
        <v>1088</v>
      </c>
      <c r="C146" s="55" t="s">
        <v>1089</v>
      </c>
      <c r="D146" s="56" t="s">
        <v>916</v>
      </c>
      <c r="E146" s="101" t="s">
        <v>1123</v>
      </c>
      <c r="F146" s="57">
        <v>88.17</v>
      </c>
      <c r="G146" s="56" t="s">
        <v>918</v>
      </c>
      <c r="H146" s="57">
        <v>135.65</v>
      </c>
      <c r="I146" s="57">
        <v>164.14</v>
      </c>
      <c r="J146" s="56" t="s">
        <v>829</v>
      </c>
      <c r="K146" s="57">
        <v>47.48</v>
      </c>
      <c r="L146" s="58">
        <v>35.001842978252853</v>
      </c>
      <c r="M146" s="58">
        <v>53.850516048542588</v>
      </c>
      <c r="N146" s="60"/>
      <c r="O146" s="60"/>
      <c r="P146" s="102"/>
      <c r="Q146" s="103"/>
    </row>
    <row r="147" spans="1:17" ht="16" x14ac:dyDescent="0.2">
      <c r="A147" s="61" t="s">
        <v>467</v>
      </c>
      <c r="B147" s="61" t="s">
        <v>1088</v>
      </c>
      <c r="C147" s="61" t="s">
        <v>1090</v>
      </c>
      <c r="D147" s="62" t="s">
        <v>916</v>
      </c>
      <c r="E147" s="104" t="s">
        <v>1123</v>
      </c>
      <c r="F147" s="63">
        <v>68.16</v>
      </c>
      <c r="G147" s="62" t="s">
        <v>918</v>
      </c>
      <c r="H147" s="63">
        <v>104.86</v>
      </c>
      <c r="I147" s="63">
        <v>126.88</v>
      </c>
      <c r="J147" s="62" t="s">
        <v>829</v>
      </c>
      <c r="K147" s="63">
        <v>36.700000000000003</v>
      </c>
      <c r="L147" s="64">
        <v>34.999046347510969</v>
      </c>
      <c r="M147" s="64">
        <v>53.843896713615017</v>
      </c>
      <c r="N147" s="66"/>
      <c r="O147" s="66"/>
      <c r="P147" s="105"/>
      <c r="Q147" s="106"/>
    </row>
    <row r="148" spans="1:17" ht="16" x14ac:dyDescent="0.2">
      <c r="A148" s="55" t="s">
        <v>467</v>
      </c>
      <c r="B148" s="55" t="s">
        <v>1091</v>
      </c>
      <c r="C148" s="55" t="s">
        <v>1092</v>
      </c>
      <c r="D148" s="56" t="s">
        <v>916</v>
      </c>
      <c r="E148" s="101" t="s">
        <v>1123</v>
      </c>
      <c r="F148" s="57">
        <v>12.41</v>
      </c>
      <c r="G148" s="56" t="s">
        <v>918</v>
      </c>
      <c r="H148" s="57">
        <v>19.09</v>
      </c>
      <c r="I148" s="57">
        <v>23.1</v>
      </c>
      <c r="J148" s="56" t="s">
        <v>829</v>
      </c>
      <c r="K148" s="57">
        <v>6.68</v>
      </c>
      <c r="L148" s="58">
        <v>34.992142482975382</v>
      </c>
      <c r="M148" s="58">
        <v>53.82755842062852</v>
      </c>
      <c r="N148" s="60"/>
      <c r="O148" s="60"/>
      <c r="P148" s="102"/>
      <c r="Q148" s="103"/>
    </row>
    <row r="149" spans="1:17" ht="16" x14ac:dyDescent="0.2">
      <c r="A149" s="61" t="s">
        <v>467</v>
      </c>
      <c r="B149" s="61" t="s">
        <v>1093</v>
      </c>
      <c r="C149" s="61" t="s">
        <v>1094</v>
      </c>
      <c r="D149" s="62" t="s">
        <v>916</v>
      </c>
      <c r="E149" s="104" t="s">
        <v>1123</v>
      </c>
      <c r="F149" s="63">
        <v>169.64</v>
      </c>
      <c r="G149" s="62" t="s">
        <v>918</v>
      </c>
      <c r="H149" s="63">
        <v>260.99</v>
      </c>
      <c r="I149" s="63">
        <v>315.8</v>
      </c>
      <c r="J149" s="62" t="s">
        <v>829</v>
      </c>
      <c r="K149" s="63">
        <v>91.350000000000023</v>
      </c>
      <c r="L149" s="64">
        <v>35.001341047549722</v>
      </c>
      <c r="M149" s="64">
        <v>53.849327988681928</v>
      </c>
      <c r="N149" s="66"/>
      <c r="O149" s="66"/>
      <c r="P149" s="105"/>
      <c r="Q149" s="106"/>
    </row>
    <row r="150" spans="1:17" ht="16" x14ac:dyDescent="0.2">
      <c r="A150" s="55" t="s">
        <v>467</v>
      </c>
      <c r="B150" s="55" t="s">
        <v>1093</v>
      </c>
      <c r="C150" s="55" t="s">
        <v>1095</v>
      </c>
      <c r="D150" s="56" t="s">
        <v>916</v>
      </c>
      <c r="E150" s="101" t="s">
        <v>1123</v>
      </c>
      <c r="F150" s="57">
        <v>118.31</v>
      </c>
      <c r="G150" s="56" t="s">
        <v>918</v>
      </c>
      <c r="H150" s="57">
        <v>182.02</v>
      </c>
      <c r="I150" s="57">
        <v>220.24</v>
      </c>
      <c r="J150" s="56" t="s">
        <v>829</v>
      </c>
      <c r="K150" s="57">
        <v>63.710000000000008</v>
      </c>
      <c r="L150" s="58">
        <v>35.001648170530707</v>
      </c>
      <c r="M150" s="58">
        <v>53.8500549404108</v>
      </c>
      <c r="N150" s="60"/>
      <c r="O150" s="60"/>
      <c r="P150" s="102"/>
      <c r="Q150" s="103"/>
    </row>
    <row r="151" spans="1:17" ht="16" x14ac:dyDescent="0.2">
      <c r="A151" s="61" t="s">
        <v>467</v>
      </c>
      <c r="B151" s="61" t="s">
        <v>1093</v>
      </c>
      <c r="C151" s="61" t="s">
        <v>1096</v>
      </c>
      <c r="D151" s="62" t="s">
        <v>916</v>
      </c>
      <c r="E151" s="104" t="s">
        <v>1123</v>
      </c>
      <c r="F151" s="63">
        <v>131.01</v>
      </c>
      <c r="G151" s="62" t="s">
        <v>918</v>
      </c>
      <c r="H151" s="63">
        <v>201.55</v>
      </c>
      <c r="I151" s="63">
        <v>243.88</v>
      </c>
      <c r="J151" s="62" t="s">
        <v>829</v>
      </c>
      <c r="K151" s="63">
        <v>70.54000000000002</v>
      </c>
      <c r="L151" s="64">
        <v>34.998759612999272</v>
      </c>
      <c r="M151" s="64">
        <v>53.843218074956127</v>
      </c>
      <c r="N151" s="66"/>
      <c r="O151" s="66"/>
      <c r="P151" s="105"/>
      <c r="Q151" s="106"/>
    </row>
    <row r="152" spans="1:17" ht="16" x14ac:dyDescent="0.2">
      <c r="A152" s="55" t="s">
        <v>467</v>
      </c>
      <c r="B152" s="55" t="s">
        <v>1093</v>
      </c>
      <c r="C152" s="55" t="s">
        <v>1097</v>
      </c>
      <c r="D152" s="56" t="s">
        <v>916</v>
      </c>
      <c r="E152" s="101" t="s">
        <v>1123</v>
      </c>
      <c r="F152" s="57">
        <v>84.79</v>
      </c>
      <c r="G152" s="56" t="s">
        <v>918</v>
      </c>
      <c r="H152" s="57">
        <v>130.44999999999999</v>
      </c>
      <c r="I152" s="57">
        <v>157.84</v>
      </c>
      <c r="J152" s="56" t="s">
        <v>829</v>
      </c>
      <c r="K152" s="57">
        <v>45.659999999999982</v>
      </c>
      <c r="L152" s="58">
        <v>35.001916443081633</v>
      </c>
      <c r="M152" s="58">
        <v>53.850689939851371</v>
      </c>
      <c r="N152" s="60"/>
      <c r="O152" s="60"/>
      <c r="P152" s="102"/>
      <c r="Q152" s="103"/>
    </row>
    <row r="153" spans="1:17" ht="16" x14ac:dyDescent="0.2">
      <c r="A153" s="61" t="s">
        <v>467</v>
      </c>
      <c r="B153" s="61" t="s">
        <v>1093</v>
      </c>
      <c r="C153" s="61" t="s">
        <v>1098</v>
      </c>
      <c r="D153" s="62" t="s">
        <v>916</v>
      </c>
      <c r="E153" s="104" t="s">
        <v>1123</v>
      </c>
      <c r="F153" s="63">
        <v>97.55</v>
      </c>
      <c r="G153" s="62" t="s">
        <v>918</v>
      </c>
      <c r="H153" s="63">
        <v>150.07</v>
      </c>
      <c r="I153" s="63">
        <v>181.58</v>
      </c>
      <c r="J153" s="62" t="s">
        <v>829</v>
      </c>
      <c r="K153" s="63">
        <v>52.52</v>
      </c>
      <c r="L153" s="64">
        <v>34.997001399346971</v>
      </c>
      <c r="M153" s="64">
        <v>53.839056893900562</v>
      </c>
      <c r="N153" s="66"/>
      <c r="O153" s="66"/>
      <c r="P153" s="105"/>
      <c r="Q153" s="106"/>
    </row>
    <row r="154" spans="1:17" ht="16" x14ac:dyDescent="0.2">
      <c r="A154" s="55" t="s">
        <v>467</v>
      </c>
      <c r="B154" s="55" t="s">
        <v>1093</v>
      </c>
      <c r="C154" s="55" t="s">
        <v>1099</v>
      </c>
      <c r="D154" s="56" t="s">
        <v>916</v>
      </c>
      <c r="E154" s="101" t="s">
        <v>1123</v>
      </c>
      <c r="F154" s="57">
        <v>101.49</v>
      </c>
      <c r="G154" s="56" t="s">
        <v>918</v>
      </c>
      <c r="H154" s="57">
        <v>156.13999999999999</v>
      </c>
      <c r="I154" s="57">
        <v>188.93</v>
      </c>
      <c r="J154" s="56" t="s">
        <v>829</v>
      </c>
      <c r="K154" s="57">
        <v>54.649999999999991</v>
      </c>
      <c r="L154" s="58">
        <v>35.000640450877412</v>
      </c>
      <c r="M154" s="58">
        <v>53.847669721154787</v>
      </c>
      <c r="N154" s="60"/>
      <c r="O154" s="60"/>
      <c r="P154" s="102"/>
      <c r="Q154" s="103"/>
    </row>
    <row r="155" spans="1:17" ht="16" x14ac:dyDescent="0.2">
      <c r="A155" s="61" t="s">
        <v>467</v>
      </c>
      <c r="B155" s="61" t="s">
        <v>1093</v>
      </c>
      <c r="C155" s="61" t="s">
        <v>1100</v>
      </c>
      <c r="D155" s="62" t="s">
        <v>916</v>
      </c>
      <c r="E155" s="104" t="s">
        <v>1123</v>
      </c>
      <c r="F155" s="63">
        <v>118.78</v>
      </c>
      <c r="G155" s="62" t="s">
        <v>918</v>
      </c>
      <c r="H155" s="63">
        <v>182.74</v>
      </c>
      <c r="I155" s="63">
        <v>221.12</v>
      </c>
      <c r="J155" s="62" t="s">
        <v>829</v>
      </c>
      <c r="K155" s="63">
        <v>63.960000000000008</v>
      </c>
      <c r="L155" s="64">
        <v>35.000547225566379</v>
      </c>
      <c r="M155" s="64">
        <v>53.847449065499262</v>
      </c>
      <c r="N155" s="66"/>
      <c r="O155" s="66"/>
      <c r="P155" s="105"/>
      <c r="Q155" s="106"/>
    </row>
    <row r="156" spans="1:17" ht="16" x14ac:dyDescent="0.2">
      <c r="A156" s="55" t="s">
        <v>467</v>
      </c>
      <c r="B156" s="55" t="s">
        <v>1101</v>
      </c>
      <c r="C156" s="55" t="s">
        <v>1102</v>
      </c>
      <c r="D156" s="56" t="s">
        <v>939</v>
      </c>
      <c r="E156" s="101" t="s">
        <v>1123</v>
      </c>
      <c r="F156" s="57">
        <v>17.170000000000002</v>
      </c>
      <c r="G156" s="56" t="s">
        <v>918</v>
      </c>
      <c r="H156" s="57">
        <v>27.69</v>
      </c>
      <c r="I156" s="57">
        <v>33.5</v>
      </c>
      <c r="J156" s="56" t="s">
        <v>829</v>
      </c>
      <c r="K156" s="57">
        <v>10.52</v>
      </c>
      <c r="L156" s="58">
        <v>37.99205489346334</v>
      </c>
      <c r="M156" s="58">
        <v>61.269656377402427</v>
      </c>
      <c r="N156" s="60"/>
      <c r="O156" s="60"/>
      <c r="P156" s="102"/>
      <c r="Q156" s="103"/>
    </row>
    <row r="157" spans="1:17" ht="16" x14ac:dyDescent="0.2">
      <c r="A157" s="61" t="s">
        <v>467</v>
      </c>
      <c r="B157" s="61" t="s">
        <v>1101</v>
      </c>
      <c r="C157" s="61" t="s">
        <v>1103</v>
      </c>
      <c r="D157" s="62" t="s">
        <v>939</v>
      </c>
      <c r="E157" s="104" t="s">
        <v>1123</v>
      </c>
      <c r="F157" s="63">
        <v>20.77</v>
      </c>
      <c r="G157" s="62" t="s">
        <v>918</v>
      </c>
      <c r="H157" s="63">
        <v>33.49</v>
      </c>
      <c r="I157" s="63">
        <v>40.520000000000003</v>
      </c>
      <c r="J157" s="62" t="s">
        <v>829</v>
      </c>
      <c r="K157" s="63">
        <v>12.72</v>
      </c>
      <c r="L157" s="64">
        <v>37.981487011048081</v>
      </c>
      <c r="M157" s="64">
        <v>61.242176215695729</v>
      </c>
      <c r="N157" s="66"/>
      <c r="O157" s="66"/>
      <c r="P157" s="105"/>
      <c r="Q157" s="106"/>
    </row>
    <row r="158" spans="1:17" ht="16" x14ac:dyDescent="0.2">
      <c r="A158" s="55" t="s">
        <v>467</v>
      </c>
      <c r="B158" s="55" t="s">
        <v>1104</v>
      </c>
      <c r="C158" s="55" t="s">
        <v>949</v>
      </c>
      <c r="D158" s="56" t="s">
        <v>931</v>
      </c>
      <c r="E158" s="101" t="s">
        <v>1123</v>
      </c>
      <c r="F158" s="57">
        <v>55.51</v>
      </c>
      <c r="G158" s="56" t="s">
        <v>918</v>
      </c>
      <c r="H158" s="57">
        <v>74.010000000000005</v>
      </c>
      <c r="I158" s="57">
        <v>89.55</v>
      </c>
      <c r="J158" s="56" t="s">
        <v>829</v>
      </c>
      <c r="K158" s="57">
        <v>18.500000000000011</v>
      </c>
      <c r="L158" s="58">
        <v>24.996622078097559</v>
      </c>
      <c r="M158" s="58">
        <v>33.327328409295639</v>
      </c>
      <c r="N158" s="60"/>
      <c r="O158" s="60"/>
      <c r="P158" s="102"/>
      <c r="Q158" s="103"/>
    </row>
    <row r="159" spans="1:17" ht="16" x14ac:dyDescent="0.2">
      <c r="A159" s="61" t="s">
        <v>467</v>
      </c>
      <c r="B159" s="61" t="s">
        <v>1105</v>
      </c>
      <c r="C159" s="61" t="s">
        <v>949</v>
      </c>
      <c r="D159" s="62" t="s">
        <v>931</v>
      </c>
      <c r="E159" s="104" t="s">
        <v>1123</v>
      </c>
      <c r="F159" s="63">
        <v>43.83</v>
      </c>
      <c r="G159" s="62" t="s">
        <v>918</v>
      </c>
      <c r="H159" s="63">
        <v>58.44</v>
      </c>
      <c r="I159" s="63">
        <v>70.709999999999994</v>
      </c>
      <c r="J159" s="62" t="s">
        <v>829</v>
      </c>
      <c r="K159" s="63">
        <v>14.61</v>
      </c>
      <c r="L159" s="64">
        <v>25</v>
      </c>
      <c r="M159" s="64">
        <v>33.333333333333329</v>
      </c>
      <c r="N159" s="66"/>
      <c r="O159" s="66"/>
      <c r="P159" s="105"/>
      <c r="Q159" s="106"/>
    </row>
    <row r="160" spans="1:17" ht="16" x14ac:dyDescent="0.2">
      <c r="A160" s="55" t="s">
        <v>467</v>
      </c>
      <c r="B160" s="55" t="s">
        <v>1105</v>
      </c>
      <c r="C160" s="55" t="s">
        <v>950</v>
      </c>
      <c r="D160" s="56" t="s">
        <v>931</v>
      </c>
      <c r="E160" s="101" t="s">
        <v>1123</v>
      </c>
      <c r="F160" s="57">
        <v>40.56</v>
      </c>
      <c r="G160" s="56" t="s">
        <v>918</v>
      </c>
      <c r="H160" s="57">
        <v>54.07</v>
      </c>
      <c r="I160" s="57">
        <v>65.42</v>
      </c>
      <c r="J160" s="56" t="s">
        <v>829</v>
      </c>
      <c r="K160" s="57">
        <v>13.51</v>
      </c>
      <c r="L160" s="58">
        <v>24.986129091917881</v>
      </c>
      <c r="M160" s="58">
        <v>33.30867850098619</v>
      </c>
      <c r="N160" s="60"/>
      <c r="O160" s="60"/>
      <c r="P160" s="102"/>
      <c r="Q160" s="103"/>
    </row>
    <row r="161" spans="1:17" ht="16" x14ac:dyDescent="0.2">
      <c r="A161" s="61" t="s">
        <v>467</v>
      </c>
      <c r="B161" s="61" t="s">
        <v>1106</v>
      </c>
      <c r="C161" s="61" t="s">
        <v>1107</v>
      </c>
      <c r="D161" s="62" t="s">
        <v>916</v>
      </c>
      <c r="E161" s="104" t="s">
        <v>1123</v>
      </c>
      <c r="F161" s="63">
        <v>611.77</v>
      </c>
      <c r="G161" s="62" t="s">
        <v>918</v>
      </c>
      <c r="H161" s="63">
        <v>941.18</v>
      </c>
      <c r="I161" s="63">
        <v>1138.83</v>
      </c>
      <c r="J161" s="62" t="s">
        <v>829</v>
      </c>
      <c r="K161" s="63">
        <v>329.41</v>
      </c>
      <c r="L161" s="64">
        <v>34.999681251195312</v>
      </c>
      <c r="M161" s="64">
        <v>53.845399414812753</v>
      </c>
      <c r="N161" s="66"/>
      <c r="O161" s="66"/>
      <c r="P161" s="105"/>
      <c r="Q161" s="106"/>
    </row>
    <row r="162" spans="1:17" ht="16" x14ac:dyDescent="0.2">
      <c r="A162" s="55" t="s">
        <v>467</v>
      </c>
      <c r="B162" s="55" t="s">
        <v>1106</v>
      </c>
      <c r="C162" s="55" t="s">
        <v>1108</v>
      </c>
      <c r="D162" s="56" t="s">
        <v>916</v>
      </c>
      <c r="E162" s="101" t="s">
        <v>1123</v>
      </c>
      <c r="F162" s="57">
        <v>367.06</v>
      </c>
      <c r="G162" s="56" t="s">
        <v>918</v>
      </c>
      <c r="H162" s="57">
        <v>564.71</v>
      </c>
      <c r="I162" s="57">
        <v>683.3</v>
      </c>
      <c r="J162" s="56" t="s">
        <v>829</v>
      </c>
      <c r="K162" s="57">
        <v>197.65</v>
      </c>
      <c r="L162" s="58">
        <v>35.000265623063171</v>
      </c>
      <c r="M162" s="58">
        <v>53.846782542363663</v>
      </c>
      <c r="N162" s="60"/>
      <c r="O162" s="60"/>
      <c r="P162" s="102"/>
      <c r="Q162" s="103"/>
    </row>
    <row r="163" spans="1:17" ht="16" x14ac:dyDescent="0.2">
      <c r="A163" s="61" t="s">
        <v>467</v>
      </c>
      <c r="B163" s="61" t="s">
        <v>1106</v>
      </c>
      <c r="C163" s="61" t="s">
        <v>1109</v>
      </c>
      <c r="D163" s="62" t="s">
        <v>916</v>
      </c>
      <c r="E163" s="104" t="s">
        <v>1123</v>
      </c>
      <c r="F163" s="63">
        <v>837.52</v>
      </c>
      <c r="G163" s="62" t="s">
        <v>918</v>
      </c>
      <c r="H163" s="63">
        <v>1288.49</v>
      </c>
      <c r="I163" s="63">
        <v>1559.07</v>
      </c>
      <c r="J163" s="62" t="s">
        <v>829</v>
      </c>
      <c r="K163" s="63">
        <v>450.97</v>
      </c>
      <c r="L163" s="64">
        <v>34.99988358466112</v>
      </c>
      <c r="M163" s="64">
        <v>53.845878307383707</v>
      </c>
      <c r="N163" s="66"/>
      <c r="O163" s="66"/>
      <c r="P163" s="105"/>
      <c r="Q163" s="106"/>
    </row>
    <row r="164" spans="1:17" ht="16" x14ac:dyDescent="0.2">
      <c r="A164" s="55" t="s">
        <v>467</v>
      </c>
      <c r="B164" s="55" t="s">
        <v>1110</v>
      </c>
      <c r="C164" s="55" t="s">
        <v>1111</v>
      </c>
      <c r="D164" s="56" t="s">
        <v>916</v>
      </c>
      <c r="E164" s="101" t="s">
        <v>1123</v>
      </c>
      <c r="F164" s="57">
        <v>178.35</v>
      </c>
      <c r="G164" s="56" t="s">
        <v>918</v>
      </c>
      <c r="H164" s="57">
        <v>274.39</v>
      </c>
      <c r="I164" s="57">
        <v>332.01</v>
      </c>
      <c r="J164" s="56" t="s">
        <v>829</v>
      </c>
      <c r="K164" s="57">
        <v>96.039999999999992</v>
      </c>
      <c r="L164" s="58">
        <v>35.001275556689379</v>
      </c>
      <c r="M164" s="58">
        <v>53.849172974488347</v>
      </c>
      <c r="N164" s="60"/>
      <c r="O164" s="60"/>
      <c r="P164" s="102"/>
      <c r="Q164" s="103"/>
    </row>
    <row r="165" spans="1:17" ht="16" x14ac:dyDescent="0.2">
      <c r="A165" s="61" t="s">
        <v>467</v>
      </c>
      <c r="B165" s="61" t="s">
        <v>1110</v>
      </c>
      <c r="C165" s="61" t="s">
        <v>1112</v>
      </c>
      <c r="D165" s="62" t="s">
        <v>916</v>
      </c>
      <c r="E165" s="104" t="s">
        <v>1123</v>
      </c>
      <c r="F165" s="63">
        <v>177.5</v>
      </c>
      <c r="G165" s="62" t="s">
        <v>918</v>
      </c>
      <c r="H165" s="63">
        <v>273.08</v>
      </c>
      <c r="I165" s="63">
        <v>330.43</v>
      </c>
      <c r="J165" s="62" t="s">
        <v>829</v>
      </c>
      <c r="K165" s="63">
        <v>95.579999999999984</v>
      </c>
      <c r="L165" s="64">
        <v>35.000732386113953</v>
      </c>
      <c r="M165" s="64">
        <v>53.847887323943652</v>
      </c>
      <c r="N165" s="66"/>
      <c r="O165" s="66"/>
      <c r="P165" s="105"/>
      <c r="Q165" s="106"/>
    </row>
    <row r="166" spans="1:17" ht="16" x14ac:dyDescent="0.2">
      <c r="A166" s="55" t="s">
        <v>467</v>
      </c>
      <c r="B166" s="55" t="s">
        <v>1110</v>
      </c>
      <c r="C166" s="55" t="s">
        <v>960</v>
      </c>
      <c r="D166" s="56" t="s">
        <v>916</v>
      </c>
      <c r="E166" s="101" t="s">
        <v>1123</v>
      </c>
      <c r="F166" s="57">
        <v>186.98</v>
      </c>
      <c r="G166" s="56" t="s">
        <v>918</v>
      </c>
      <c r="H166" s="57">
        <v>287.66000000000003</v>
      </c>
      <c r="I166" s="57">
        <v>348.07</v>
      </c>
      <c r="J166" s="56" t="s">
        <v>829</v>
      </c>
      <c r="K166" s="57">
        <v>100.68</v>
      </c>
      <c r="L166" s="58">
        <v>34.999652367378161</v>
      </c>
      <c r="M166" s="58">
        <v>53.845331051449378</v>
      </c>
      <c r="N166" s="60"/>
      <c r="O166" s="60"/>
      <c r="P166" s="102"/>
      <c r="Q166" s="103"/>
    </row>
    <row r="167" spans="1:17" ht="16" x14ac:dyDescent="0.2">
      <c r="A167" s="61" t="s">
        <v>467</v>
      </c>
      <c r="B167" s="61" t="s">
        <v>1110</v>
      </c>
      <c r="C167" s="61" t="s">
        <v>961</v>
      </c>
      <c r="D167" s="62" t="s">
        <v>916</v>
      </c>
      <c r="E167" s="104" t="s">
        <v>1123</v>
      </c>
      <c r="F167" s="63">
        <v>206.53</v>
      </c>
      <c r="G167" s="62" t="s">
        <v>918</v>
      </c>
      <c r="H167" s="63">
        <v>317.75</v>
      </c>
      <c r="I167" s="63">
        <v>384.48</v>
      </c>
      <c r="J167" s="62" t="s">
        <v>829</v>
      </c>
      <c r="K167" s="63">
        <v>111.22</v>
      </c>
      <c r="L167" s="64">
        <v>35.002360346184098</v>
      </c>
      <c r="M167" s="64">
        <v>53.851740667215417</v>
      </c>
      <c r="N167" s="66"/>
      <c r="O167" s="66"/>
      <c r="P167" s="105"/>
      <c r="Q167" s="106"/>
    </row>
    <row r="168" spans="1:17" ht="16" x14ac:dyDescent="0.2">
      <c r="A168" s="55" t="s">
        <v>467</v>
      </c>
      <c r="B168" s="55" t="s">
        <v>1113</v>
      </c>
      <c r="C168" s="55" t="s">
        <v>949</v>
      </c>
      <c r="D168" s="56" t="s">
        <v>931</v>
      </c>
      <c r="E168" s="101" t="s">
        <v>1123</v>
      </c>
      <c r="F168" s="57">
        <v>49.44</v>
      </c>
      <c r="G168" s="56" t="s">
        <v>918</v>
      </c>
      <c r="H168" s="57">
        <v>65.92</v>
      </c>
      <c r="I168" s="57">
        <v>79.760000000000005</v>
      </c>
      <c r="J168" s="56" t="s">
        <v>829</v>
      </c>
      <c r="K168" s="57">
        <v>16.48</v>
      </c>
      <c r="L168" s="58">
        <v>25.000000000000011</v>
      </c>
      <c r="M168" s="58">
        <v>33.333333333333343</v>
      </c>
      <c r="N168" s="60"/>
      <c r="O168" s="60"/>
      <c r="P168" s="102"/>
      <c r="Q168" s="103"/>
    </row>
    <row r="169" spans="1:17" ht="16" x14ac:dyDescent="0.2">
      <c r="A169" s="61" t="s">
        <v>467</v>
      </c>
      <c r="B169" s="61" t="s">
        <v>1113</v>
      </c>
      <c r="C169" s="61" t="s">
        <v>1114</v>
      </c>
      <c r="D169" s="62" t="s">
        <v>931</v>
      </c>
      <c r="E169" s="104" t="s">
        <v>1123</v>
      </c>
      <c r="F169" s="63">
        <v>71.33</v>
      </c>
      <c r="G169" s="62" t="s">
        <v>918</v>
      </c>
      <c r="H169" s="63">
        <v>95.11</v>
      </c>
      <c r="I169" s="63">
        <v>115.08</v>
      </c>
      <c r="J169" s="62" t="s">
        <v>829</v>
      </c>
      <c r="K169" s="63">
        <v>23.78</v>
      </c>
      <c r="L169" s="64">
        <v>25.00262853538009</v>
      </c>
      <c r="M169" s="64">
        <v>33.338006448899478</v>
      </c>
      <c r="N169" s="66"/>
      <c r="O169" s="66"/>
      <c r="P169" s="105"/>
      <c r="Q169" s="106"/>
    </row>
    <row r="170" spans="1:17" ht="16" x14ac:dyDescent="0.2">
      <c r="A170" s="55" t="s">
        <v>467</v>
      </c>
      <c r="B170" s="55" t="s">
        <v>1113</v>
      </c>
      <c r="C170" s="55" t="s">
        <v>950</v>
      </c>
      <c r="D170" s="56" t="s">
        <v>931</v>
      </c>
      <c r="E170" s="101" t="s">
        <v>1123</v>
      </c>
      <c r="F170" s="57">
        <v>48.33</v>
      </c>
      <c r="G170" s="56" t="s">
        <v>918</v>
      </c>
      <c r="H170" s="57">
        <v>64.44</v>
      </c>
      <c r="I170" s="57">
        <v>77.97</v>
      </c>
      <c r="J170" s="56" t="s">
        <v>829</v>
      </c>
      <c r="K170" s="57">
        <v>16.11</v>
      </c>
      <c r="L170" s="58">
        <v>25</v>
      </c>
      <c r="M170" s="58">
        <v>33.333333333333329</v>
      </c>
      <c r="N170" s="60"/>
      <c r="O170" s="60"/>
      <c r="P170" s="102"/>
      <c r="Q170" s="103"/>
    </row>
    <row r="171" spans="1:17" x14ac:dyDescent="0.2">
      <c r="B171" s="79" t="s">
        <v>814</v>
      </c>
      <c r="F171" s="80">
        <f>SUM(F6:F170)</f>
        <v>38863.069999999992</v>
      </c>
      <c r="H171" s="80">
        <f>SUM(H6:H170)</f>
        <v>58481.010000000017</v>
      </c>
      <c r="I171" s="80">
        <f>SUM(I6:I170)</f>
        <v>70761.969999999958</v>
      </c>
      <c r="K171" s="80">
        <f>SUM(K6:K170)</f>
        <v>19617.940000000006</v>
      </c>
      <c r="L171" s="81">
        <f>AVERAGE(L6:L170)</f>
        <v>34.420945023099371</v>
      </c>
      <c r="M171" s="81">
        <f>AVERAGE(M6:M170)</f>
        <v>52.895333405910961</v>
      </c>
    </row>
  </sheetData>
  <autoFilter ref="A5:Q170" xr:uid="{00000000-0009-0000-0000-000008000000}"/>
  <mergeCells count="3">
    <mergeCell ref="A3:Q3"/>
    <mergeCell ref="A2:Q2"/>
    <mergeCell ref="A1:Q1"/>
  </mergeCells>
  <conditionalFormatting sqref="L6:L170">
    <cfRule type="colorScale" priority="1">
      <colorScale>
        <cfvo type="num" val="0"/>
        <cfvo type="num" val="35"/>
        <cfvo type="num" val="5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5"/>
  <sheetViews>
    <sheetView workbookViewId="0">
      <pane xSplit="1" ySplit="4" topLeftCell="B5" activePane="bottomRight" state="frozen"/>
      <selection pane="topRight"/>
      <selection pane="bottomLeft"/>
      <selection pane="bottomRight" sqref="A1:E1"/>
    </sheetView>
  </sheetViews>
  <sheetFormatPr baseColWidth="10" defaultColWidth="8.83203125" defaultRowHeight="15" x14ac:dyDescent="0.2"/>
  <cols>
    <col min="1" max="1" width="42" customWidth="1"/>
    <col min="2" max="4" width="18" customWidth="1"/>
    <col min="5" max="5" width="50" customWidth="1"/>
  </cols>
  <sheetData>
    <row r="1" spans="1:5" ht="28" customHeight="1" x14ac:dyDescent="0.2">
      <c r="A1" s="158" t="s">
        <v>1124</v>
      </c>
      <c r="B1" s="156"/>
      <c r="C1" s="156"/>
      <c r="D1" s="156"/>
      <c r="E1" s="156"/>
    </row>
    <row r="2" spans="1:5" x14ac:dyDescent="0.2">
      <c r="A2" s="157" t="s">
        <v>1125</v>
      </c>
      <c r="B2" s="156"/>
      <c r="C2" s="156"/>
      <c r="D2" s="156"/>
      <c r="E2" s="156"/>
    </row>
    <row r="4" spans="1:5" ht="28" customHeight="1" x14ac:dyDescent="0.2">
      <c r="A4" s="117" t="s">
        <v>1126</v>
      </c>
      <c r="B4" s="42" t="s">
        <v>1127</v>
      </c>
      <c r="C4" s="42" t="s">
        <v>1128</v>
      </c>
      <c r="D4" s="42" t="s">
        <v>1129</v>
      </c>
      <c r="E4" s="42" t="s">
        <v>1130</v>
      </c>
    </row>
    <row r="5" spans="1:5" x14ac:dyDescent="0.2">
      <c r="A5" s="155" t="s">
        <v>1131</v>
      </c>
      <c r="B5" s="156"/>
      <c r="C5" s="156"/>
      <c r="D5" s="156"/>
      <c r="E5" s="156"/>
    </row>
    <row r="6" spans="1:5" x14ac:dyDescent="0.2">
      <c r="A6" s="109" t="s">
        <v>1132</v>
      </c>
      <c r="B6" s="118">
        <f>Pedidos_mes_conservador</f>
        <v>15</v>
      </c>
      <c r="C6" s="118">
        <f>Pedidos_mes_base</f>
        <v>30</v>
      </c>
      <c r="D6" s="118">
        <f>Pedidos_mes_optimista</f>
        <v>60</v>
      </c>
      <c r="E6" s="107" t="s">
        <v>1133</v>
      </c>
    </row>
    <row r="7" spans="1:5" x14ac:dyDescent="0.2">
      <c r="A7" s="109" t="s">
        <v>1134</v>
      </c>
      <c r="B7" s="119">
        <f>AOV</f>
        <v>500</v>
      </c>
      <c r="C7" s="119">
        <f>AOV</f>
        <v>500</v>
      </c>
      <c r="D7" s="119">
        <f>AOV</f>
        <v>500</v>
      </c>
      <c r="E7" s="107" t="s">
        <v>1135</v>
      </c>
    </row>
    <row r="9" spans="1:5" x14ac:dyDescent="0.2">
      <c r="A9" s="155" t="s">
        <v>1136</v>
      </c>
      <c r="B9" s="156"/>
      <c r="C9" s="156"/>
      <c r="D9" s="156"/>
      <c r="E9" s="156"/>
    </row>
    <row r="10" spans="1:5" x14ac:dyDescent="0.2">
      <c r="A10" s="109" t="s">
        <v>1137</v>
      </c>
      <c r="B10" s="116">
        <f>B6*AOV</f>
        <v>7500</v>
      </c>
      <c r="C10" s="116">
        <f>C6*AOV</f>
        <v>15000</v>
      </c>
      <c r="D10" s="116">
        <f>D6*AOV</f>
        <v>30000</v>
      </c>
      <c r="E10" s="107" t="s">
        <v>1138</v>
      </c>
    </row>
    <row r="11" spans="1:5" x14ac:dyDescent="0.2">
      <c r="A11" s="109" t="s">
        <v>1139</v>
      </c>
      <c r="B11" s="119">
        <f>-B10*IVA/(1+IVA)</f>
        <v>-1301.6528925619834</v>
      </c>
      <c r="C11" s="119">
        <f>-C10*IVA/(1+IVA)</f>
        <v>-2603.3057851239669</v>
      </c>
      <c r="D11" s="119">
        <f>-D10*IVA/(1+IVA)</f>
        <v>-5206.6115702479337</v>
      </c>
      <c r="E11" s="107" t="s">
        <v>1140</v>
      </c>
    </row>
    <row r="12" spans="1:5" x14ac:dyDescent="0.2">
      <c r="A12" s="109" t="s">
        <v>1141</v>
      </c>
      <c r="B12" s="116">
        <f>B10/(1+IVA)</f>
        <v>6198.3471074380168</v>
      </c>
      <c r="C12" s="116">
        <f>C10/(1+IVA)</f>
        <v>12396.694214876034</v>
      </c>
      <c r="D12" s="116">
        <f>D10/(1+IVA)</f>
        <v>24793.388429752067</v>
      </c>
      <c r="E12" s="107" t="s">
        <v>1142</v>
      </c>
    </row>
    <row r="14" spans="1:5" x14ac:dyDescent="0.2">
      <c r="A14" s="155" t="s">
        <v>1143</v>
      </c>
      <c r="B14" s="156"/>
      <c r="C14" s="156"/>
      <c r="D14" s="156"/>
      <c r="E14" s="156"/>
    </row>
    <row r="15" spans="1:5" x14ac:dyDescent="0.2">
      <c r="A15" s="109" t="s">
        <v>91</v>
      </c>
      <c r="B15" s="120">
        <f>Margen_bruto_medio</f>
        <v>0.35454875444839851</v>
      </c>
      <c r="C15" s="120">
        <f>Margen_bruto_medio</f>
        <v>0.35454875444839851</v>
      </c>
      <c r="D15" s="120">
        <f>Margen_bruto_medio</f>
        <v>0.35454875444839851</v>
      </c>
      <c r="E15" s="107" t="s">
        <v>1144</v>
      </c>
    </row>
    <row r="16" spans="1:5" x14ac:dyDescent="0.2">
      <c r="A16" s="109" t="s">
        <v>1145</v>
      </c>
      <c r="B16" s="119">
        <f>-B12*(1-B15)</f>
        <v>-4000.7308608570343</v>
      </c>
      <c r="C16" s="119">
        <f>-C12*(1-C15)</f>
        <v>-8001.4617217140685</v>
      </c>
      <c r="D16" s="119">
        <f>-D12*(1-D15)</f>
        <v>-16002.923443428137</v>
      </c>
      <c r="E16" s="107" t="s">
        <v>1146</v>
      </c>
    </row>
    <row r="17" spans="1:5" x14ac:dyDescent="0.2">
      <c r="A17" s="109" t="s">
        <v>1147</v>
      </c>
      <c r="B17" s="116">
        <f>B12+B16</f>
        <v>2197.6162465809825</v>
      </c>
      <c r="C17" s="116">
        <f>C12+C16</f>
        <v>4395.2324931619651</v>
      </c>
      <c r="D17" s="116">
        <f>D12+D16</f>
        <v>8790.4649863239301</v>
      </c>
      <c r="E17" s="107" t="s">
        <v>1148</v>
      </c>
    </row>
    <row r="18" spans="1:5" x14ac:dyDescent="0.2">
      <c r="A18" s="109" t="s">
        <v>1149</v>
      </c>
      <c r="B18" s="120">
        <f>B17/B12</f>
        <v>0.35454875444839851</v>
      </c>
      <c r="C18" s="120">
        <f>C17/C12</f>
        <v>0.35454875444839851</v>
      </c>
      <c r="D18" s="120">
        <f>D17/D12</f>
        <v>0.35454875444839851</v>
      </c>
    </row>
    <row r="20" spans="1:5" x14ac:dyDescent="0.2">
      <c r="A20" s="155" t="s">
        <v>1150</v>
      </c>
      <c r="B20" s="156"/>
      <c r="C20" s="156"/>
      <c r="D20" s="156"/>
      <c r="E20" s="156"/>
    </row>
    <row r="21" spans="1:5" x14ac:dyDescent="0.2">
      <c r="A21" s="109" t="s">
        <v>1151</v>
      </c>
      <c r="B21" s="119">
        <f>-(B10*Comision_pago_pct + B6*Comision_pago_fija)</f>
        <v>-162</v>
      </c>
      <c r="C21" s="119">
        <f>-(C10*Comision_pago_pct + C6*Comision_pago_fija)</f>
        <v>-324</v>
      </c>
      <c r="D21" s="119">
        <f>-(D10*Comision_pago_pct + D6*Comision_pago_fija)</f>
        <v>-648</v>
      </c>
      <c r="E21" s="107" t="s">
        <v>1152</v>
      </c>
    </row>
    <row r="22" spans="1:5" x14ac:dyDescent="0.2">
      <c r="A22" s="109" t="s">
        <v>1153</v>
      </c>
      <c r="B22" s="119">
        <f>-B6*Coste_medio_envio_pedido</f>
        <v>-330</v>
      </c>
      <c r="C22" s="119">
        <f>-C6*Coste_medio_envio_pedido</f>
        <v>-660</v>
      </c>
      <c r="D22" s="119">
        <f>-D6*Coste_medio_envio_pedido</f>
        <v>-1320</v>
      </c>
      <c r="E22" s="107" t="s">
        <v>1154</v>
      </c>
    </row>
    <row r="23" spans="1:5" x14ac:dyDescent="0.2">
      <c r="A23" s="109" t="s">
        <v>1155</v>
      </c>
      <c r="B23" s="119">
        <f>-B6*Tasa_devolucion*Coste_devolucion</f>
        <v>-30</v>
      </c>
      <c r="C23" s="119">
        <f>-C6*Tasa_devolucion*Coste_devolucion</f>
        <v>-60</v>
      </c>
      <c r="D23" s="119">
        <f>-D6*Tasa_devolucion*Coste_devolucion</f>
        <v>-120</v>
      </c>
      <c r="E23" s="107" t="s">
        <v>1156</v>
      </c>
    </row>
    <row r="24" spans="1:5" x14ac:dyDescent="0.2">
      <c r="A24" s="109" t="s">
        <v>1157</v>
      </c>
      <c r="B24" s="119">
        <f>-B6*Tasa_incidencia*Coste_incidencia</f>
        <v>-24</v>
      </c>
      <c r="C24" s="119">
        <f>-C6*Tasa_incidencia*Coste_incidencia</f>
        <v>-48</v>
      </c>
      <c r="D24" s="119">
        <f>-D6*Tasa_incidencia*Coste_incidencia</f>
        <v>-96</v>
      </c>
      <c r="E24" s="107" t="s">
        <v>1158</v>
      </c>
    </row>
    <row r="25" spans="1:5" x14ac:dyDescent="0.2">
      <c r="A25" s="109" t="s">
        <v>1159</v>
      </c>
      <c r="B25" s="116">
        <f>B17+B21+B22+B23+B24</f>
        <v>1651.6162465809825</v>
      </c>
      <c r="C25" s="116">
        <f>C17+C21+C22+C23+C24</f>
        <v>3303.2324931619651</v>
      </c>
      <c r="D25" s="116">
        <f>D17+D21+D22+D23+D24</f>
        <v>6606.4649863239301</v>
      </c>
      <c r="E25" s="107" t="s">
        <v>1160</v>
      </c>
    </row>
    <row r="26" spans="1:5" x14ac:dyDescent="0.2">
      <c r="A26" s="109" t="s">
        <v>1161</v>
      </c>
      <c r="B26" s="120">
        <f>B25/B12</f>
        <v>0.26646075444839851</v>
      </c>
      <c r="C26" s="120">
        <f>C25/C12</f>
        <v>0.26646075444839851</v>
      </c>
      <c r="D26" s="120">
        <f>D25/D12</f>
        <v>0.26646075444839851</v>
      </c>
    </row>
    <row r="28" spans="1:5" x14ac:dyDescent="0.2">
      <c r="A28" s="155" t="s">
        <v>1162</v>
      </c>
      <c r="B28" s="156"/>
      <c r="C28" s="156"/>
      <c r="D28" s="156"/>
      <c r="E28" s="156"/>
    </row>
    <row r="29" spans="1:5" x14ac:dyDescent="0.2">
      <c r="A29" s="109" t="s">
        <v>1163</v>
      </c>
      <c r="B29" s="121">
        <f>ROAS_conservador</f>
        <v>5</v>
      </c>
      <c r="C29" s="121">
        <f>ROAS_base</f>
        <v>4</v>
      </c>
      <c r="D29" s="121">
        <f>ROAS_optimista</f>
        <v>3</v>
      </c>
    </row>
    <row r="30" spans="1:5" x14ac:dyDescent="0.2">
      <c r="A30" s="109" t="s">
        <v>1164</v>
      </c>
      <c r="B30" s="119">
        <f>-B10/B29</f>
        <v>-1500</v>
      </c>
      <c r="C30" s="119">
        <f>-C10/C29</f>
        <v>-3750</v>
      </c>
      <c r="D30" s="119">
        <f>-D10/D29</f>
        <v>-10000</v>
      </c>
      <c r="E30" s="107" t="s">
        <v>1165</v>
      </c>
    </row>
    <row r="31" spans="1:5" x14ac:dyDescent="0.2">
      <c r="A31" s="109" t="s">
        <v>1166</v>
      </c>
      <c r="B31" s="120">
        <f>-B30/B10</f>
        <v>0.2</v>
      </c>
      <c r="C31" s="120">
        <f>-C30/C10</f>
        <v>0.25</v>
      </c>
      <c r="D31" s="120">
        <f>-D30/D10</f>
        <v>0.33333333333333331</v>
      </c>
    </row>
    <row r="32" spans="1:5" x14ac:dyDescent="0.2">
      <c r="A32" s="109" t="s">
        <v>1167</v>
      </c>
      <c r="B32" s="116">
        <f>B25+B30</f>
        <v>151.61624658098253</v>
      </c>
      <c r="C32" s="116">
        <f>C25+C30</f>
        <v>-446.76750683803493</v>
      </c>
      <c r="D32" s="116">
        <f>D25+D30</f>
        <v>-3393.5350136760699</v>
      </c>
    </row>
    <row r="34" spans="1:5" x14ac:dyDescent="0.2">
      <c r="A34" s="155" t="s">
        <v>1168</v>
      </c>
      <c r="B34" s="156"/>
      <c r="C34" s="156"/>
      <c r="D34" s="156"/>
      <c r="E34" s="156"/>
    </row>
    <row r="35" spans="1:5" x14ac:dyDescent="0.2">
      <c r="A35" s="109" t="s">
        <v>1169</v>
      </c>
      <c r="B35" s="119">
        <f>-TOTAL_FIJOS_MES</f>
        <v>-63</v>
      </c>
      <c r="C35" s="119">
        <f>-TOTAL_FIJOS_MES</f>
        <v>-63</v>
      </c>
      <c r="D35" s="119">
        <f>-TOTAL_FIJOS_MES</f>
        <v>-63</v>
      </c>
      <c r="E35" s="107" t="s">
        <v>1170</v>
      </c>
    </row>
    <row r="37" spans="1:5" ht="16" x14ac:dyDescent="0.2">
      <c r="A37" s="122" t="s">
        <v>1171</v>
      </c>
      <c r="B37" s="123">
        <f>B32+B35</f>
        <v>88.616246580982533</v>
      </c>
      <c r="C37" s="123">
        <f>C32+C35</f>
        <v>-509.76750683803493</v>
      </c>
      <c r="D37" s="123">
        <f>D32+D35</f>
        <v>-3456.5350136760699</v>
      </c>
    </row>
    <row r="38" spans="1:5" x14ac:dyDescent="0.2">
      <c r="A38" s="109" t="s">
        <v>1172</v>
      </c>
      <c r="B38" s="120">
        <f>IFERROR(B37/B12,0)</f>
        <v>1.4296754448398515E-2</v>
      </c>
      <c r="C38" s="120">
        <f>IFERROR(C37/C12,0)</f>
        <v>-4.112124555160148E-2</v>
      </c>
      <c r="D38" s="120">
        <f>IFERROR(D37/D12,0)</f>
        <v>-0.1394135788849348</v>
      </c>
    </row>
    <row r="41" spans="1:5" x14ac:dyDescent="0.2">
      <c r="A41" s="155" t="s">
        <v>1173</v>
      </c>
      <c r="B41" s="156"/>
      <c r="C41" s="156"/>
      <c r="D41" s="156"/>
      <c r="E41" s="156"/>
    </row>
    <row r="42" spans="1:5" x14ac:dyDescent="0.2">
      <c r="A42" s="109" t="s">
        <v>1174</v>
      </c>
      <c r="B42" s="119">
        <f>B25/B6</f>
        <v>110.1077497720655</v>
      </c>
      <c r="C42" s="119">
        <f>C25/C6</f>
        <v>110.1077497720655</v>
      </c>
      <c r="D42" s="119">
        <f>D25/D6</f>
        <v>110.1077497720655</v>
      </c>
    </row>
    <row r="43" spans="1:5" ht="26" x14ac:dyDescent="0.2">
      <c r="A43" s="109" t="s">
        <v>1175</v>
      </c>
      <c r="B43" s="124">
        <f>IFERROR(TOTAL_FIJOS_MES/MAX(B25/B6-AOV/B29,0.01),0)</f>
        <v>6.2328412773049928</v>
      </c>
      <c r="C43" s="124">
        <f>IFERROR(TOTAL_FIJOS_MES/MAX(C25/C6-AOV/C29,0.01),0)</f>
        <v>6300</v>
      </c>
      <c r="D43" s="124">
        <f>IFERROR(TOTAL_FIJOS_MES/MAX(D25/D6-AOV/D29,0.01),0)</f>
        <v>6300</v>
      </c>
      <c r="E43" s="107" t="s">
        <v>1176</v>
      </c>
    </row>
    <row r="44" spans="1:5" x14ac:dyDescent="0.2">
      <c r="A44" s="109" t="s">
        <v>1177</v>
      </c>
      <c r="B44" s="125">
        <f>B6/Tasa_conversion</f>
        <v>1875</v>
      </c>
      <c r="C44" s="125">
        <f>C6/Tasa_conversion</f>
        <v>3750</v>
      </c>
      <c r="D44" s="125">
        <f>D6/Tasa_conversion</f>
        <v>7500</v>
      </c>
      <c r="E44" s="107" t="s">
        <v>1178</v>
      </c>
    </row>
    <row r="45" spans="1:5" x14ac:dyDescent="0.2">
      <c r="A45" s="109" t="s">
        <v>1179</v>
      </c>
      <c r="B45" s="119">
        <f>-B30/B6</f>
        <v>100</v>
      </c>
      <c r="C45" s="119">
        <f>-C30/C6</f>
        <v>125</v>
      </c>
      <c r="D45" s="119">
        <f>-D30/D6</f>
        <v>166.66666666666666</v>
      </c>
      <c r="E45" s="107" t="s">
        <v>1180</v>
      </c>
    </row>
  </sheetData>
  <mergeCells count="9">
    <mergeCell ref="A1:E1"/>
    <mergeCell ref="A5:E5"/>
    <mergeCell ref="A14:E14"/>
    <mergeCell ref="A9:E9"/>
    <mergeCell ref="A34:E34"/>
    <mergeCell ref="A20:E20"/>
    <mergeCell ref="A2:E2"/>
    <mergeCell ref="A28:E28"/>
    <mergeCell ref="A41:E4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86"/>
  <sheetViews>
    <sheetView workbookViewId="0">
      <pane xSplit="3" ySplit="4" topLeftCell="D84" activePane="bottomRight" state="frozen"/>
      <selection pane="topRight"/>
      <selection pane="bottomLeft"/>
      <selection pane="bottomRight" activeCell="L115" sqref="L115"/>
    </sheetView>
  </sheetViews>
  <sheetFormatPr baseColWidth="10" defaultColWidth="8.83203125" defaultRowHeight="15" x14ac:dyDescent="0.2"/>
  <cols>
    <col min="1" max="1" width="10" customWidth="1"/>
    <col min="2" max="2" width="14" customWidth="1"/>
    <col min="3" max="3" width="38" customWidth="1"/>
    <col min="4" max="12" width="13" customWidth="1"/>
    <col min="13" max="14" width="14" customWidth="1"/>
    <col min="15" max="15" width="13" customWidth="1"/>
    <col min="16" max="16" width="12" customWidth="1"/>
    <col min="17" max="17" width="14" customWidth="1"/>
  </cols>
  <sheetData>
    <row r="1" spans="1:17" ht="28" customHeight="1" x14ac:dyDescent="0.2">
      <c r="A1" s="158" t="s">
        <v>1181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</row>
    <row r="2" spans="1:17" x14ac:dyDescent="0.2">
      <c r="A2" s="157" t="s">
        <v>1182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  <c r="P2" s="156"/>
      <c r="Q2" s="156"/>
    </row>
    <row r="4" spans="1:17" ht="38" customHeight="1" x14ac:dyDescent="0.2">
      <c r="A4" s="42" t="s">
        <v>111</v>
      </c>
      <c r="B4" s="42" t="s">
        <v>113</v>
      </c>
      <c r="C4" s="42" t="s">
        <v>114</v>
      </c>
      <c r="D4" s="42" t="s">
        <v>816</v>
      </c>
      <c r="E4" s="42" t="s">
        <v>1183</v>
      </c>
      <c r="F4" s="42" t="s">
        <v>1184</v>
      </c>
      <c r="G4" s="42" t="s">
        <v>1185</v>
      </c>
      <c r="H4" s="42" t="s">
        <v>1186</v>
      </c>
      <c r="I4" s="42" t="s">
        <v>1187</v>
      </c>
      <c r="J4" s="42" t="s">
        <v>1188</v>
      </c>
      <c r="K4" s="42" t="s">
        <v>1189</v>
      </c>
      <c r="L4" s="42" t="s">
        <v>1190</v>
      </c>
      <c r="M4" s="42" t="s">
        <v>1191</v>
      </c>
      <c r="N4" s="42" t="s">
        <v>1192</v>
      </c>
      <c r="O4" s="42" t="s">
        <v>1193</v>
      </c>
      <c r="P4" s="42" t="s">
        <v>1194</v>
      </c>
      <c r="Q4" s="42" t="s">
        <v>1195</v>
      </c>
    </row>
    <row r="5" spans="1:17" x14ac:dyDescent="0.2">
      <c r="A5" s="55" t="s">
        <v>125</v>
      </c>
      <c r="B5" s="55" t="s">
        <v>127</v>
      </c>
      <c r="C5" s="55" t="s">
        <v>128</v>
      </c>
      <c r="D5" s="57">
        <v>618</v>
      </c>
      <c r="E5" s="57">
        <v>980</v>
      </c>
      <c r="F5" s="57">
        <f t="shared" ref="F5:F68" si="0">E5*(1+IVA)</f>
        <v>1185.8</v>
      </c>
      <c r="G5" s="57">
        <f t="shared" ref="G5:G68" si="1">E5-D5</f>
        <v>362</v>
      </c>
      <c r="H5" s="126">
        <f t="shared" ref="H5:H68" si="2">IFERROR(G5/E5,0)</f>
        <v>0.3693877551020408</v>
      </c>
      <c r="I5" s="57">
        <f t="shared" ref="I5:I68" si="3">F5*Comision_pago_pct+Comision_pago_fija</f>
        <v>25.201800000000002</v>
      </c>
      <c r="J5" s="57">
        <f t="shared" ref="J5:J68" si="4">IF(A5="Hevea",IF(F5&gt;=Hevea_umbral_envio_gratis,0,Hevea_coste_envio_bajo),Balliu_coste_envio)</f>
        <v>0</v>
      </c>
      <c r="K5" s="57">
        <f t="shared" ref="K5:K68" si="5">Tasa_devolucion*Coste_devolucion</f>
        <v>2</v>
      </c>
      <c r="L5" s="57">
        <f t="shared" ref="L5:L68" si="6">Tasa_incidencia*Coste_incidencia</f>
        <v>1.6</v>
      </c>
      <c r="M5" s="57">
        <f t="shared" ref="M5:M68" si="7">G5-I5-J5-K5-L5</f>
        <v>333.19819999999999</v>
      </c>
      <c r="N5" s="126">
        <f t="shared" ref="N5:N68" si="8">IFERROR(M5/E5,0)</f>
        <v>0.33999816326530613</v>
      </c>
      <c r="O5" s="57">
        <f t="shared" ref="O5:O68" si="9">MAX(M5,0)</f>
        <v>333.19819999999999</v>
      </c>
      <c r="P5" s="127">
        <f t="shared" ref="P5:P68" si="10">IFERROR(F5/O5,0)</f>
        <v>3.5588427548528174</v>
      </c>
      <c r="Q5" s="128" t="str">
        <f t="shared" ref="Q5:Q68" si="11">IF(N5&gt;=Umbral_PUSH_pct,IF(M5&gt;=Umbral_PUSH_eur,"PUSH","NEUTRAL"),IF(N5&gt;=Umbral_NEUTRAL_pct,"NEUTRAL",IF(N5&gt;=Umbral_WATCH_pct,"WATCH","NO ANUNCIAR")))</f>
        <v>PUSH</v>
      </c>
    </row>
    <row r="6" spans="1:17" x14ac:dyDescent="0.2">
      <c r="A6" s="61" t="s">
        <v>125</v>
      </c>
      <c r="B6" s="61" t="s">
        <v>130</v>
      </c>
      <c r="C6" s="61" t="s">
        <v>131</v>
      </c>
      <c r="D6" s="63">
        <v>927</v>
      </c>
      <c r="E6" s="63">
        <v>1470</v>
      </c>
      <c r="F6" s="63">
        <f t="shared" si="0"/>
        <v>1778.7</v>
      </c>
      <c r="G6" s="63">
        <f t="shared" si="1"/>
        <v>543</v>
      </c>
      <c r="H6" s="129">
        <f t="shared" si="2"/>
        <v>0.3693877551020408</v>
      </c>
      <c r="I6" s="63">
        <f t="shared" si="3"/>
        <v>37.652700000000003</v>
      </c>
      <c r="J6" s="63">
        <f t="shared" si="4"/>
        <v>0</v>
      </c>
      <c r="K6" s="63">
        <f t="shared" si="5"/>
        <v>2</v>
      </c>
      <c r="L6" s="63">
        <f t="shared" si="6"/>
        <v>1.6</v>
      </c>
      <c r="M6" s="63">
        <f t="shared" si="7"/>
        <v>501.7473</v>
      </c>
      <c r="N6" s="129">
        <f t="shared" si="8"/>
        <v>0.34132469387755104</v>
      </c>
      <c r="O6" s="63">
        <f t="shared" si="9"/>
        <v>501.7473</v>
      </c>
      <c r="P6" s="130">
        <f t="shared" si="10"/>
        <v>3.5450116024540641</v>
      </c>
      <c r="Q6" s="131" t="str">
        <f t="shared" si="11"/>
        <v>PUSH</v>
      </c>
    </row>
    <row r="7" spans="1:17" x14ac:dyDescent="0.2">
      <c r="A7" s="55" t="s">
        <v>125</v>
      </c>
      <c r="B7" s="55" t="s">
        <v>133</v>
      </c>
      <c r="C7" s="55" t="s">
        <v>134</v>
      </c>
      <c r="D7" s="57">
        <v>1223</v>
      </c>
      <c r="E7" s="57">
        <v>1940</v>
      </c>
      <c r="F7" s="57">
        <f t="shared" si="0"/>
        <v>2347.4</v>
      </c>
      <c r="G7" s="57">
        <f t="shared" si="1"/>
        <v>717</v>
      </c>
      <c r="H7" s="126">
        <f t="shared" si="2"/>
        <v>0.3695876288659794</v>
      </c>
      <c r="I7" s="57">
        <f t="shared" si="3"/>
        <v>49.595400000000005</v>
      </c>
      <c r="J7" s="57">
        <f t="shared" si="4"/>
        <v>0</v>
      </c>
      <c r="K7" s="57">
        <f t="shared" si="5"/>
        <v>2</v>
      </c>
      <c r="L7" s="57">
        <f t="shared" si="6"/>
        <v>1.6</v>
      </c>
      <c r="M7" s="57">
        <f t="shared" si="7"/>
        <v>663.80459999999994</v>
      </c>
      <c r="N7" s="126">
        <f t="shared" si="8"/>
        <v>0.34216731958762886</v>
      </c>
      <c r="O7" s="57">
        <f t="shared" si="9"/>
        <v>663.80459999999994</v>
      </c>
      <c r="P7" s="127">
        <f t="shared" si="10"/>
        <v>3.5362816105823915</v>
      </c>
      <c r="Q7" s="128" t="str">
        <f t="shared" si="11"/>
        <v>PUSH</v>
      </c>
    </row>
    <row r="8" spans="1:17" x14ac:dyDescent="0.2">
      <c r="A8" s="61" t="s">
        <v>125</v>
      </c>
      <c r="B8" s="61" t="s">
        <v>136</v>
      </c>
      <c r="C8" s="61" t="s">
        <v>137</v>
      </c>
      <c r="D8" s="63">
        <v>275</v>
      </c>
      <c r="E8" s="63">
        <v>435</v>
      </c>
      <c r="F8" s="63">
        <f t="shared" si="0"/>
        <v>526.35</v>
      </c>
      <c r="G8" s="63">
        <f t="shared" si="1"/>
        <v>160</v>
      </c>
      <c r="H8" s="129">
        <f t="shared" si="2"/>
        <v>0.36781609195402298</v>
      </c>
      <c r="I8" s="63">
        <f t="shared" si="3"/>
        <v>11.353350000000002</v>
      </c>
      <c r="J8" s="63">
        <f t="shared" si="4"/>
        <v>30</v>
      </c>
      <c r="K8" s="63">
        <f t="shared" si="5"/>
        <v>2</v>
      </c>
      <c r="L8" s="63">
        <f t="shared" si="6"/>
        <v>1.6</v>
      </c>
      <c r="M8" s="63">
        <f t="shared" si="7"/>
        <v>115.04665</v>
      </c>
      <c r="N8" s="129">
        <f t="shared" si="8"/>
        <v>0.26447505747126437</v>
      </c>
      <c r="O8" s="63">
        <f t="shared" si="9"/>
        <v>115.04665</v>
      </c>
      <c r="P8" s="130">
        <f t="shared" si="10"/>
        <v>4.5751006222258539</v>
      </c>
      <c r="Q8" s="131" t="str">
        <f t="shared" si="11"/>
        <v>NEUTRAL</v>
      </c>
    </row>
    <row r="9" spans="1:17" x14ac:dyDescent="0.2">
      <c r="A9" s="55" t="s">
        <v>125</v>
      </c>
      <c r="B9" s="55" t="s">
        <v>136</v>
      </c>
      <c r="C9" s="55" t="s">
        <v>138</v>
      </c>
      <c r="D9" s="57">
        <v>2435</v>
      </c>
      <c r="E9" s="57">
        <v>3865</v>
      </c>
      <c r="F9" s="57">
        <f t="shared" si="0"/>
        <v>4676.6499999999996</v>
      </c>
      <c r="G9" s="57">
        <f t="shared" si="1"/>
        <v>1430</v>
      </c>
      <c r="H9" s="126">
        <f t="shared" si="2"/>
        <v>0.36998706338939197</v>
      </c>
      <c r="I9" s="57">
        <f t="shared" si="3"/>
        <v>98.509649999999993</v>
      </c>
      <c r="J9" s="57">
        <f t="shared" si="4"/>
        <v>0</v>
      </c>
      <c r="K9" s="57">
        <f t="shared" si="5"/>
        <v>2</v>
      </c>
      <c r="L9" s="57">
        <f t="shared" si="6"/>
        <v>1.6</v>
      </c>
      <c r="M9" s="57">
        <f t="shared" si="7"/>
        <v>1327.8903500000001</v>
      </c>
      <c r="N9" s="126">
        <f t="shared" si="8"/>
        <v>0.34356800776196639</v>
      </c>
      <c r="O9" s="57">
        <f t="shared" si="9"/>
        <v>1327.8903500000001</v>
      </c>
      <c r="P9" s="127">
        <f t="shared" si="10"/>
        <v>3.5218645876897887</v>
      </c>
      <c r="Q9" s="128" t="str">
        <f t="shared" si="11"/>
        <v>PUSH</v>
      </c>
    </row>
    <row r="10" spans="1:17" x14ac:dyDescent="0.2">
      <c r="A10" s="61" t="s">
        <v>125</v>
      </c>
      <c r="B10" s="61" t="s">
        <v>140</v>
      </c>
      <c r="C10" s="61" t="s">
        <v>141</v>
      </c>
      <c r="D10" s="63">
        <v>2732</v>
      </c>
      <c r="E10" s="63">
        <v>4335</v>
      </c>
      <c r="F10" s="63">
        <f t="shared" si="0"/>
        <v>5245.3499999999995</v>
      </c>
      <c r="G10" s="63">
        <f t="shared" si="1"/>
        <v>1603</v>
      </c>
      <c r="H10" s="129">
        <f t="shared" si="2"/>
        <v>0.36978085351787776</v>
      </c>
      <c r="I10" s="63">
        <f t="shared" si="3"/>
        <v>110.45235</v>
      </c>
      <c r="J10" s="63">
        <f t="shared" si="4"/>
        <v>0</v>
      </c>
      <c r="K10" s="63">
        <f t="shared" si="5"/>
        <v>2</v>
      </c>
      <c r="L10" s="63">
        <f t="shared" si="6"/>
        <v>1.6</v>
      </c>
      <c r="M10" s="63">
        <f t="shared" si="7"/>
        <v>1488.9476500000001</v>
      </c>
      <c r="N10" s="129">
        <f t="shared" si="8"/>
        <v>0.34347119953863903</v>
      </c>
      <c r="O10" s="63">
        <f t="shared" si="9"/>
        <v>1488.9476500000001</v>
      </c>
      <c r="P10" s="130">
        <f t="shared" si="10"/>
        <v>3.5228572341008761</v>
      </c>
      <c r="Q10" s="131" t="str">
        <f t="shared" si="11"/>
        <v>PUSH</v>
      </c>
    </row>
    <row r="11" spans="1:17" x14ac:dyDescent="0.2">
      <c r="A11" s="55" t="s">
        <v>125</v>
      </c>
      <c r="B11" s="55" t="s">
        <v>143</v>
      </c>
      <c r="C11" s="55" t="s">
        <v>144</v>
      </c>
      <c r="D11" s="57">
        <v>413</v>
      </c>
      <c r="E11" s="57">
        <v>655</v>
      </c>
      <c r="F11" s="57">
        <f t="shared" si="0"/>
        <v>792.55</v>
      </c>
      <c r="G11" s="57">
        <f t="shared" si="1"/>
        <v>242</v>
      </c>
      <c r="H11" s="126">
        <f t="shared" si="2"/>
        <v>0.36946564885496186</v>
      </c>
      <c r="I11" s="57">
        <f t="shared" si="3"/>
        <v>16.943550000000002</v>
      </c>
      <c r="J11" s="57">
        <f t="shared" si="4"/>
        <v>30</v>
      </c>
      <c r="K11" s="57">
        <f t="shared" si="5"/>
        <v>2</v>
      </c>
      <c r="L11" s="57">
        <f t="shared" si="6"/>
        <v>1.6</v>
      </c>
      <c r="M11" s="57">
        <f t="shared" si="7"/>
        <v>191.45644999999999</v>
      </c>
      <c r="N11" s="126">
        <f t="shared" si="8"/>
        <v>0.29229992366412211</v>
      </c>
      <c r="O11" s="57">
        <f t="shared" si="9"/>
        <v>191.45644999999999</v>
      </c>
      <c r="P11" s="127">
        <f t="shared" si="10"/>
        <v>4.1395837016721035</v>
      </c>
      <c r="Q11" s="128" t="str">
        <f t="shared" si="11"/>
        <v>NEUTRAL</v>
      </c>
    </row>
    <row r="12" spans="1:17" x14ac:dyDescent="0.2">
      <c r="A12" s="61" t="s">
        <v>125</v>
      </c>
      <c r="B12" s="61" t="s">
        <v>146</v>
      </c>
      <c r="C12" s="61" t="s">
        <v>147</v>
      </c>
      <c r="D12" s="63">
        <v>608</v>
      </c>
      <c r="E12" s="63">
        <v>965</v>
      </c>
      <c r="F12" s="63">
        <f t="shared" si="0"/>
        <v>1167.6499999999999</v>
      </c>
      <c r="G12" s="63">
        <f t="shared" si="1"/>
        <v>357</v>
      </c>
      <c r="H12" s="129">
        <f t="shared" si="2"/>
        <v>0.36994818652849742</v>
      </c>
      <c r="I12" s="63">
        <f t="shared" si="3"/>
        <v>24.820650000000001</v>
      </c>
      <c r="J12" s="63">
        <f t="shared" si="4"/>
        <v>0</v>
      </c>
      <c r="K12" s="63">
        <f t="shared" si="5"/>
        <v>2</v>
      </c>
      <c r="L12" s="63">
        <f t="shared" si="6"/>
        <v>1.6</v>
      </c>
      <c r="M12" s="63">
        <f t="shared" si="7"/>
        <v>328.57934999999998</v>
      </c>
      <c r="N12" s="129">
        <f t="shared" si="8"/>
        <v>0.3404967357512953</v>
      </c>
      <c r="O12" s="63">
        <f t="shared" si="9"/>
        <v>328.57934999999998</v>
      </c>
      <c r="P12" s="130">
        <f t="shared" si="10"/>
        <v>3.5536317178788015</v>
      </c>
      <c r="Q12" s="131" t="str">
        <f t="shared" si="11"/>
        <v>PUSH</v>
      </c>
    </row>
    <row r="13" spans="1:17" x14ac:dyDescent="0.2">
      <c r="A13" s="55" t="s">
        <v>125</v>
      </c>
      <c r="B13" s="55" t="s">
        <v>149</v>
      </c>
      <c r="C13" s="55" t="s">
        <v>150</v>
      </c>
      <c r="D13" s="57">
        <v>772</v>
      </c>
      <c r="E13" s="57">
        <v>1225</v>
      </c>
      <c r="F13" s="57">
        <f t="shared" si="0"/>
        <v>1482.25</v>
      </c>
      <c r="G13" s="57">
        <f t="shared" si="1"/>
        <v>453</v>
      </c>
      <c r="H13" s="126">
        <f t="shared" si="2"/>
        <v>0.36979591836734693</v>
      </c>
      <c r="I13" s="57">
        <f t="shared" si="3"/>
        <v>31.427250000000004</v>
      </c>
      <c r="J13" s="57">
        <f t="shared" si="4"/>
        <v>0</v>
      </c>
      <c r="K13" s="57">
        <f t="shared" si="5"/>
        <v>2</v>
      </c>
      <c r="L13" s="57">
        <f t="shared" si="6"/>
        <v>1.6</v>
      </c>
      <c r="M13" s="57">
        <f t="shared" si="7"/>
        <v>417.97274999999996</v>
      </c>
      <c r="N13" s="126">
        <f t="shared" si="8"/>
        <v>0.34120224489795914</v>
      </c>
      <c r="O13" s="57">
        <f t="shared" si="9"/>
        <v>417.97274999999996</v>
      </c>
      <c r="P13" s="127">
        <f t="shared" si="10"/>
        <v>3.5462838187417725</v>
      </c>
      <c r="Q13" s="128" t="str">
        <f t="shared" si="11"/>
        <v>PUSH</v>
      </c>
    </row>
    <row r="14" spans="1:17" x14ac:dyDescent="0.2">
      <c r="A14" s="61" t="s">
        <v>125</v>
      </c>
      <c r="B14" s="61" t="s">
        <v>152</v>
      </c>
      <c r="C14" s="61" t="s">
        <v>153</v>
      </c>
      <c r="D14" s="63">
        <v>177</v>
      </c>
      <c r="E14" s="63">
        <v>280</v>
      </c>
      <c r="F14" s="63">
        <f t="shared" si="0"/>
        <v>338.8</v>
      </c>
      <c r="G14" s="63">
        <f t="shared" si="1"/>
        <v>103</v>
      </c>
      <c r="H14" s="129">
        <f t="shared" si="2"/>
        <v>0.36785714285714288</v>
      </c>
      <c r="I14" s="63">
        <f t="shared" si="3"/>
        <v>7.4148000000000005</v>
      </c>
      <c r="J14" s="63">
        <f t="shared" si="4"/>
        <v>30</v>
      </c>
      <c r="K14" s="63">
        <f t="shared" si="5"/>
        <v>2</v>
      </c>
      <c r="L14" s="63">
        <f t="shared" si="6"/>
        <v>1.6</v>
      </c>
      <c r="M14" s="63">
        <f t="shared" si="7"/>
        <v>61.985199999999999</v>
      </c>
      <c r="N14" s="129">
        <f t="shared" si="8"/>
        <v>0.22137571428571429</v>
      </c>
      <c r="O14" s="63">
        <f t="shared" si="9"/>
        <v>61.985199999999999</v>
      </c>
      <c r="P14" s="130">
        <f t="shared" si="10"/>
        <v>5.4658208733697728</v>
      </c>
      <c r="Q14" s="131" t="str">
        <f t="shared" si="11"/>
        <v>NEUTRAL</v>
      </c>
    </row>
    <row r="15" spans="1:17" x14ac:dyDescent="0.2">
      <c r="A15" s="55" t="s">
        <v>125</v>
      </c>
      <c r="B15" s="55" t="s">
        <v>155</v>
      </c>
      <c r="C15" s="55" t="s">
        <v>156</v>
      </c>
      <c r="D15" s="57">
        <v>246</v>
      </c>
      <c r="E15" s="57">
        <v>390</v>
      </c>
      <c r="F15" s="57">
        <f t="shared" si="0"/>
        <v>471.9</v>
      </c>
      <c r="G15" s="57">
        <f t="shared" si="1"/>
        <v>144</v>
      </c>
      <c r="H15" s="126">
        <f t="shared" si="2"/>
        <v>0.36923076923076925</v>
      </c>
      <c r="I15" s="57">
        <f t="shared" si="3"/>
        <v>10.209900000000001</v>
      </c>
      <c r="J15" s="57">
        <f t="shared" si="4"/>
        <v>30</v>
      </c>
      <c r="K15" s="57">
        <f t="shared" si="5"/>
        <v>2</v>
      </c>
      <c r="L15" s="57">
        <f t="shared" si="6"/>
        <v>1.6</v>
      </c>
      <c r="M15" s="57">
        <f t="shared" si="7"/>
        <v>100.1901</v>
      </c>
      <c r="N15" s="126">
        <f t="shared" si="8"/>
        <v>0.25689769230769233</v>
      </c>
      <c r="O15" s="57">
        <f t="shared" si="9"/>
        <v>100.1901</v>
      </c>
      <c r="P15" s="127">
        <f t="shared" si="10"/>
        <v>4.710046202169675</v>
      </c>
      <c r="Q15" s="128" t="str">
        <f t="shared" si="11"/>
        <v>NEUTRAL</v>
      </c>
    </row>
    <row r="16" spans="1:17" x14ac:dyDescent="0.2">
      <c r="A16" s="61" t="s">
        <v>125</v>
      </c>
      <c r="B16" s="61" t="s">
        <v>158</v>
      </c>
      <c r="C16" s="61" t="s">
        <v>159</v>
      </c>
      <c r="D16" s="63">
        <v>1610</v>
      </c>
      <c r="E16" s="63">
        <v>2555</v>
      </c>
      <c r="F16" s="63">
        <f t="shared" si="0"/>
        <v>3091.5499999999997</v>
      </c>
      <c r="G16" s="63">
        <f t="shared" si="1"/>
        <v>945</v>
      </c>
      <c r="H16" s="129">
        <f t="shared" si="2"/>
        <v>0.36986301369863012</v>
      </c>
      <c r="I16" s="63">
        <f t="shared" si="3"/>
        <v>65.222549999999998</v>
      </c>
      <c r="J16" s="63">
        <f t="shared" si="4"/>
        <v>0</v>
      </c>
      <c r="K16" s="63">
        <f t="shared" si="5"/>
        <v>2</v>
      </c>
      <c r="L16" s="63">
        <f t="shared" si="6"/>
        <v>1.6</v>
      </c>
      <c r="M16" s="63">
        <f t="shared" si="7"/>
        <v>876.17745000000002</v>
      </c>
      <c r="N16" s="129">
        <f t="shared" si="8"/>
        <v>0.34292659491193739</v>
      </c>
      <c r="O16" s="63">
        <f t="shared" si="9"/>
        <v>876.17745000000002</v>
      </c>
      <c r="P16" s="130">
        <f t="shared" si="10"/>
        <v>3.5284519134793979</v>
      </c>
      <c r="Q16" s="131" t="str">
        <f t="shared" si="11"/>
        <v>PUSH</v>
      </c>
    </row>
    <row r="17" spans="1:17" x14ac:dyDescent="0.2">
      <c r="A17" s="55" t="s">
        <v>125</v>
      </c>
      <c r="B17" s="55" t="s">
        <v>161</v>
      </c>
      <c r="C17" s="55" t="s">
        <v>162</v>
      </c>
      <c r="D17" s="57">
        <v>1843</v>
      </c>
      <c r="E17" s="57">
        <v>2925</v>
      </c>
      <c r="F17" s="57">
        <f t="shared" si="0"/>
        <v>3539.25</v>
      </c>
      <c r="G17" s="57">
        <f t="shared" si="1"/>
        <v>1082</v>
      </c>
      <c r="H17" s="126">
        <f t="shared" si="2"/>
        <v>0.36991452991452989</v>
      </c>
      <c r="I17" s="57">
        <f t="shared" si="3"/>
        <v>74.624250000000004</v>
      </c>
      <c r="J17" s="57">
        <f t="shared" si="4"/>
        <v>0</v>
      </c>
      <c r="K17" s="57">
        <f t="shared" si="5"/>
        <v>2</v>
      </c>
      <c r="L17" s="57">
        <f t="shared" si="6"/>
        <v>1.6</v>
      </c>
      <c r="M17" s="57">
        <f t="shared" si="7"/>
        <v>1003.77575</v>
      </c>
      <c r="N17" s="126">
        <f t="shared" si="8"/>
        <v>0.3431711965811966</v>
      </c>
      <c r="O17" s="57">
        <f t="shared" si="9"/>
        <v>1003.77575</v>
      </c>
      <c r="P17" s="127">
        <f t="shared" si="10"/>
        <v>3.5259369435852581</v>
      </c>
      <c r="Q17" s="128" t="str">
        <f t="shared" si="11"/>
        <v>PUSH</v>
      </c>
    </row>
    <row r="18" spans="1:17" x14ac:dyDescent="0.2">
      <c r="A18" s="61" t="s">
        <v>125</v>
      </c>
      <c r="B18" s="61" t="s">
        <v>164</v>
      </c>
      <c r="C18" s="61" t="s">
        <v>165</v>
      </c>
      <c r="D18" s="63">
        <v>498</v>
      </c>
      <c r="E18" s="63">
        <v>790</v>
      </c>
      <c r="F18" s="63">
        <f t="shared" si="0"/>
        <v>955.9</v>
      </c>
      <c r="G18" s="63">
        <f t="shared" si="1"/>
        <v>292</v>
      </c>
      <c r="H18" s="129">
        <f t="shared" si="2"/>
        <v>0.36962025316455699</v>
      </c>
      <c r="I18" s="63">
        <f t="shared" si="3"/>
        <v>20.373900000000003</v>
      </c>
      <c r="J18" s="63">
        <f t="shared" si="4"/>
        <v>0</v>
      </c>
      <c r="K18" s="63">
        <f t="shared" si="5"/>
        <v>2</v>
      </c>
      <c r="L18" s="63">
        <f t="shared" si="6"/>
        <v>1.6</v>
      </c>
      <c r="M18" s="63">
        <f t="shared" si="7"/>
        <v>268.02609999999999</v>
      </c>
      <c r="N18" s="129">
        <f t="shared" si="8"/>
        <v>0.33927354430379747</v>
      </c>
      <c r="O18" s="63">
        <f t="shared" si="9"/>
        <v>268.02609999999999</v>
      </c>
      <c r="P18" s="130">
        <f t="shared" si="10"/>
        <v>3.5664437157426088</v>
      </c>
      <c r="Q18" s="131" t="str">
        <f t="shared" si="11"/>
        <v>PUSH</v>
      </c>
    </row>
    <row r="19" spans="1:17" x14ac:dyDescent="0.2">
      <c r="A19" s="55" t="s">
        <v>125</v>
      </c>
      <c r="B19" s="55" t="s">
        <v>167</v>
      </c>
      <c r="C19" s="55" t="s">
        <v>168</v>
      </c>
      <c r="D19" s="57">
        <v>728</v>
      </c>
      <c r="E19" s="57">
        <v>1155</v>
      </c>
      <c r="F19" s="57">
        <f t="shared" si="0"/>
        <v>1397.55</v>
      </c>
      <c r="G19" s="57">
        <f t="shared" si="1"/>
        <v>427</v>
      </c>
      <c r="H19" s="126">
        <f t="shared" si="2"/>
        <v>0.36969696969696969</v>
      </c>
      <c r="I19" s="57">
        <f t="shared" si="3"/>
        <v>29.64855</v>
      </c>
      <c r="J19" s="57">
        <f t="shared" si="4"/>
        <v>0</v>
      </c>
      <c r="K19" s="57">
        <f t="shared" si="5"/>
        <v>2</v>
      </c>
      <c r="L19" s="57">
        <f t="shared" si="6"/>
        <v>1.6</v>
      </c>
      <c r="M19" s="57">
        <f t="shared" si="7"/>
        <v>393.75144999999998</v>
      </c>
      <c r="N19" s="126">
        <f t="shared" si="8"/>
        <v>0.34091034632034628</v>
      </c>
      <c r="O19" s="57">
        <f t="shared" si="9"/>
        <v>393.75144999999998</v>
      </c>
      <c r="P19" s="127">
        <f t="shared" si="10"/>
        <v>3.5493202628206197</v>
      </c>
      <c r="Q19" s="128" t="str">
        <f t="shared" si="11"/>
        <v>PUSH</v>
      </c>
    </row>
    <row r="20" spans="1:17" x14ac:dyDescent="0.2">
      <c r="A20" s="61" t="s">
        <v>125</v>
      </c>
      <c r="B20" s="61" t="s">
        <v>170</v>
      </c>
      <c r="C20" s="61" t="s">
        <v>171</v>
      </c>
      <c r="D20" s="63">
        <v>923</v>
      </c>
      <c r="E20" s="63">
        <v>1465</v>
      </c>
      <c r="F20" s="63">
        <f t="shared" si="0"/>
        <v>1772.6499999999999</v>
      </c>
      <c r="G20" s="63">
        <f t="shared" si="1"/>
        <v>542</v>
      </c>
      <c r="H20" s="129">
        <f t="shared" si="2"/>
        <v>0.36996587030716721</v>
      </c>
      <c r="I20" s="63">
        <f t="shared" si="3"/>
        <v>37.525649999999999</v>
      </c>
      <c r="J20" s="63">
        <f t="shared" si="4"/>
        <v>0</v>
      </c>
      <c r="K20" s="63">
        <f t="shared" si="5"/>
        <v>2</v>
      </c>
      <c r="L20" s="63">
        <f t="shared" si="6"/>
        <v>1.6</v>
      </c>
      <c r="M20" s="63">
        <f t="shared" si="7"/>
        <v>500.87434999999999</v>
      </c>
      <c r="N20" s="129">
        <f t="shared" si="8"/>
        <v>0.3418937542662116</v>
      </c>
      <c r="O20" s="63">
        <f t="shared" si="9"/>
        <v>500.87434999999999</v>
      </c>
      <c r="P20" s="130">
        <f t="shared" si="10"/>
        <v>3.5391111563209412</v>
      </c>
      <c r="Q20" s="131" t="str">
        <f t="shared" si="11"/>
        <v>PUSH</v>
      </c>
    </row>
    <row r="21" spans="1:17" x14ac:dyDescent="0.2">
      <c r="A21" s="55" t="s">
        <v>125</v>
      </c>
      <c r="B21" s="55" t="s">
        <v>173</v>
      </c>
      <c r="C21" s="55" t="s">
        <v>174</v>
      </c>
      <c r="D21" s="57">
        <v>262</v>
      </c>
      <c r="E21" s="57">
        <v>415</v>
      </c>
      <c r="F21" s="57">
        <f t="shared" si="0"/>
        <v>502.15</v>
      </c>
      <c r="G21" s="57">
        <f t="shared" si="1"/>
        <v>153</v>
      </c>
      <c r="H21" s="126">
        <f t="shared" si="2"/>
        <v>0.36867469879518072</v>
      </c>
      <c r="I21" s="57">
        <f t="shared" si="3"/>
        <v>10.84515</v>
      </c>
      <c r="J21" s="57">
        <f t="shared" si="4"/>
        <v>30</v>
      </c>
      <c r="K21" s="57">
        <f t="shared" si="5"/>
        <v>2</v>
      </c>
      <c r="L21" s="57">
        <f t="shared" si="6"/>
        <v>1.6</v>
      </c>
      <c r="M21" s="57">
        <f t="shared" si="7"/>
        <v>108.55485000000002</v>
      </c>
      <c r="N21" s="126">
        <f t="shared" si="8"/>
        <v>0.26157795180722898</v>
      </c>
      <c r="O21" s="57">
        <f t="shared" si="9"/>
        <v>108.55485000000002</v>
      </c>
      <c r="P21" s="127">
        <f t="shared" si="10"/>
        <v>4.6257721327052632</v>
      </c>
      <c r="Q21" s="128" t="str">
        <f t="shared" si="11"/>
        <v>NEUTRAL</v>
      </c>
    </row>
    <row r="22" spans="1:17" x14ac:dyDescent="0.2">
      <c r="A22" s="61" t="s">
        <v>125</v>
      </c>
      <c r="B22" s="61" t="s">
        <v>176</v>
      </c>
      <c r="C22" s="61" t="s">
        <v>177</v>
      </c>
      <c r="D22" s="63">
        <v>202</v>
      </c>
      <c r="E22" s="63">
        <v>320</v>
      </c>
      <c r="F22" s="63">
        <f t="shared" si="0"/>
        <v>387.2</v>
      </c>
      <c r="G22" s="63">
        <f t="shared" si="1"/>
        <v>118</v>
      </c>
      <c r="H22" s="129">
        <f t="shared" si="2"/>
        <v>0.36875000000000002</v>
      </c>
      <c r="I22" s="63">
        <f t="shared" si="3"/>
        <v>8.4312000000000005</v>
      </c>
      <c r="J22" s="63">
        <f t="shared" si="4"/>
        <v>30</v>
      </c>
      <c r="K22" s="63">
        <f t="shared" si="5"/>
        <v>2</v>
      </c>
      <c r="L22" s="63">
        <f t="shared" si="6"/>
        <v>1.6</v>
      </c>
      <c r="M22" s="63">
        <f t="shared" si="7"/>
        <v>75.968800000000002</v>
      </c>
      <c r="N22" s="129">
        <f t="shared" si="8"/>
        <v>0.23740250000000002</v>
      </c>
      <c r="O22" s="63">
        <f t="shared" si="9"/>
        <v>75.968800000000002</v>
      </c>
      <c r="P22" s="130">
        <f t="shared" si="10"/>
        <v>5.0968292246290581</v>
      </c>
      <c r="Q22" s="131" t="str">
        <f t="shared" si="11"/>
        <v>NEUTRAL</v>
      </c>
    </row>
    <row r="23" spans="1:17" x14ac:dyDescent="0.2">
      <c r="A23" s="55" t="s">
        <v>125</v>
      </c>
      <c r="B23" s="55" t="s">
        <v>179</v>
      </c>
      <c r="C23" s="55" t="s">
        <v>180</v>
      </c>
      <c r="D23" s="57">
        <v>1988</v>
      </c>
      <c r="E23" s="57">
        <v>3155</v>
      </c>
      <c r="F23" s="57">
        <f t="shared" si="0"/>
        <v>3817.5499999999997</v>
      </c>
      <c r="G23" s="57">
        <f t="shared" si="1"/>
        <v>1167</v>
      </c>
      <c r="H23" s="126">
        <f t="shared" si="2"/>
        <v>0.3698890649762282</v>
      </c>
      <c r="I23" s="57">
        <f t="shared" si="3"/>
        <v>80.468549999999993</v>
      </c>
      <c r="J23" s="57">
        <f t="shared" si="4"/>
        <v>0</v>
      </c>
      <c r="K23" s="57">
        <f t="shared" si="5"/>
        <v>2</v>
      </c>
      <c r="L23" s="57">
        <f t="shared" si="6"/>
        <v>1.6</v>
      </c>
      <c r="M23" s="57">
        <f t="shared" si="7"/>
        <v>1082.93145</v>
      </c>
      <c r="N23" s="126">
        <f t="shared" si="8"/>
        <v>0.34324293185419968</v>
      </c>
      <c r="O23" s="57">
        <f t="shared" si="9"/>
        <v>1082.93145</v>
      </c>
      <c r="P23" s="127">
        <f t="shared" si="10"/>
        <v>3.5252000484425858</v>
      </c>
      <c r="Q23" s="128" t="str">
        <f t="shared" si="11"/>
        <v>PUSH</v>
      </c>
    </row>
    <row r="24" spans="1:17" x14ac:dyDescent="0.2">
      <c r="A24" s="61" t="s">
        <v>125</v>
      </c>
      <c r="B24" s="61" t="s">
        <v>182</v>
      </c>
      <c r="C24" s="61" t="s">
        <v>183</v>
      </c>
      <c r="D24" s="63">
        <v>2183</v>
      </c>
      <c r="E24" s="63">
        <v>3465</v>
      </c>
      <c r="F24" s="63">
        <f t="shared" si="0"/>
        <v>4192.6499999999996</v>
      </c>
      <c r="G24" s="63">
        <f t="shared" si="1"/>
        <v>1282</v>
      </c>
      <c r="H24" s="129">
        <f t="shared" si="2"/>
        <v>0.36998556998556997</v>
      </c>
      <c r="I24" s="63">
        <f t="shared" si="3"/>
        <v>88.345649999999992</v>
      </c>
      <c r="J24" s="63">
        <f t="shared" si="4"/>
        <v>0</v>
      </c>
      <c r="K24" s="63">
        <f t="shared" si="5"/>
        <v>2</v>
      </c>
      <c r="L24" s="63">
        <f t="shared" si="6"/>
        <v>1.6</v>
      </c>
      <c r="M24" s="63">
        <f t="shared" si="7"/>
        <v>1190.0543500000001</v>
      </c>
      <c r="N24" s="129">
        <f t="shared" si="8"/>
        <v>0.3434500288600289</v>
      </c>
      <c r="O24" s="63">
        <f t="shared" si="9"/>
        <v>1190.0543500000001</v>
      </c>
      <c r="P24" s="130">
        <f t="shared" si="10"/>
        <v>3.5230743873168477</v>
      </c>
      <c r="Q24" s="131" t="str">
        <f t="shared" si="11"/>
        <v>PUSH</v>
      </c>
    </row>
    <row r="25" spans="1:17" x14ac:dyDescent="0.2">
      <c r="A25" s="55" t="s">
        <v>125</v>
      </c>
      <c r="B25" s="55" t="s">
        <v>185</v>
      </c>
      <c r="C25" s="55" t="s">
        <v>186</v>
      </c>
      <c r="D25" s="57">
        <v>530</v>
      </c>
      <c r="E25" s="57">
        <v>840</v>
      </c>
      <c r="F25" s="57">
        <f t="shared" si="0"/>
        <v>1016.4</v>
      </c>
      <c r="G25" s="57">
        <f t="shared" si="1"/>
        <v>310</v>
      </c>
      <c r="H25" s="126">
        <f t="shared" si="2"/>
        <v>0.36904761904761907</v>
      </c>
      <c r="I25" s="57">
        <f t="shared" si="3"/>
        <v>21.644400000000001</v>
      </c>
      <c r="J25" s="57">
        <f t="shared" si="4"/>
        <v>0</v>
      </c>
      <c r="K25" s="57">
        <f t="shared" si="5"/>
        <v>2</v>
      </c>
      <c r="L25" s="57">
        <f t="shared" si="6"/>
        <v>1.6</v>
      </c>
      <c r="M25" s="57">
        <f t="shared" si="7"/>
        <v>284.75559999999996</v>
      </c>
      <c r="N25" s="126">
        <f t="shared" si="8"/>
        <v>0.33899476190476185</v>
      </c>
      <c r="O25" s="57">
        <f t="shared" si="9"/>
        <v>284.75559999999996</v>
      </c>
      <c r="P25" s="127">
        <f t="shared" si="10"/>
        <v>3.5693766865339964</v>
      </c>
      <c r="Q25" s="128" t="str">
        <f t="shared" si="11"/>
        <v>PUSH</v>
      </c>
    </row>
    <row r="26" spans="1:17" x14ac:dyDescent="0.2">
      <c r="A26" s="61" t="s">
        <v>125</v>
      </c>
      <c r="B26" s="61" t="s">
        <v>188</v>
      </c>
      <c r="C26" s="61" t="s">
        <v>189</v>
      </c>
      <c r="D26" s="63">
        <v>756</v>
      </c>
      <c r="E26" s="63">
        <v>1200</v>
      </c>
      <c r="F26" s="63">
        <f t="shared" si="0"/>
        <v>1452</v>
      </c>
      <c r="G26" s="63">
        <f t="shared" si="1"/>
        <v>444</v>
      </c>
      <c r="H26" s="129">
        <f t="shared" si="2"/>
        <v>0.37</v>
      </c>
      <c r="I26" s="63">
        <f t="shared" si="3"/>
        <v>30.792000000000002</v>
      </c>
      <c r="J26" s="63">
        <f t="shared" si="4"/>
        <v>0</v>
      </c>
      <c r="K26" s="63">
        <f t="shared" si="5"/>
        <v>2</v>
      </c>
      <c r="L26" s="63">
        <f t="shared" si="6"/>
        <v>1.6</v>
      </c>
      <c r="M26" s="63">
        <f t="shared" si="7"/>
        <v>409.60799999999995</v>
      </c>
      <c r="N26" s="129">
        <f t="shared" si="8"/>
        <v>0.34133999999999998</v>
      </c>
      <c r="O26" s="63">
        <f t="shared" si="9"/>
        <v>409.60799999999995</v>
      </c>
      <c r="P26" s="130">
        <f t="shared" si="10"/>
        <v>3.5448526395968831</v>
      </c>
      <c r="Q26" s="131" t="str">
        <f t="shared" si="11"/>
        <v>PUSH</v>
      </c>
    </row>
    <row r="27" spans="1:17" x14ac:dyDescent="0.2">
      <c r="A27" s="55" t="s">
        <v>125</v>
      </c>
      <c r="B27" s="55" t="s">
        <v>191</v>
      </c>
      <c r="C27" s="55" t="s">
        <v>192</v>
      </c>
      <c r="D27" s="57">
        <v>958</v>
      </c>
      <c r="E27" s="57">
        <v>1520</v>
      </c>
      <c r="F27" s="57">
        <f t="shared" si="0"/>
        <v>1839.2</v>
      </c>
      <c r="G27" s="57">
        <f t="shared" si="1"/>
        <v>562</v>
      </c>
      <c r="H27" s="126">
        <f t="shared" si="2"/>
        <v>0.36973684210526314</v>
      </c>
      <c r="I27" s="57">
        <f t="shared" si="3"/>
        <v>38.923200000000001</v>
      </c>
      <c r="J27" s="57">
        <f t="shared" si="4"/>
        <v>0</v>
      </c>
      <c r="K27" s="57">
        <f t="shared" si="5"/>
        <v>2</v>
      </c>
      <c r="L27" s="57">
        <f t="shared" si="6"/>
        <v>1.6</v>
      </c>
      <c r="M27" s="57">
        <f t="shared" si="7"/>
        <v>519.47680000000003</v>
      </c>
      <c r="N27" s="126">
        <f t="shared" si="8"/>
        <v>0.34176105263157897</v>
      </c>
      <c r="O27" s="57">
        <f t="shared" si="9"/>
        <v>519.47680000000003</v>
      </c>
      <c r="P27" s="127">
        <f t="shared" si="10"/>
        <v>3.5404853498751052</v>
      </c>
      <c r="Q27" s="128" t="str">
        <f t="shared" si="11"/>
        <v>PUSH</v>
      </c>
    </row>
    <row r="28" spans="1:17" x14ac:dyDescent="0.2">
      <c r="A28" s="61" t="s">
        <v>125</v>
      </c>
      <c r="B28" s="61" t="s">
        <v>194</v>
      </c>
      <c r="C28" s="61" t="s">
        <v>195</v>
      </c>
      <c r="D28" s="63">
        <v>171</v>
      </c>
      <c r="E28" s="63">
        <v>270</v>
      </c>
      <c r="F28" s="63">
        <f t="shared" si="0"/>
        <v>326.7</v>
      </c>
      <c r="G28" s="63">
        <f t="shared" si="1"/>
        <v>99</v>
      </c>
      <c r="H28" s="129">
        <f t="shared" si="2"/>
        <v>0.36666666666666664</v>
      </c>
      <c r="I28" s="63">
        <f t="shared" si="3"/>
        <v>7.1607000000000003</v>
      </c>
      <c r="J28" s="63">
        <f t="shared" si="4"/>
        <v>30</v>
      </c>
      <c r="K28" s="63">
        <f t="shared" si="5"/>
        <v>2</v>
      </c>
      <c r="L28" s="63">
        <f t="shared" si="6"/>
        <v>1.6</v>
      </c>
      <c r="M28" s="63">
        <f t="shared" si="7"/>
        <v>58.239299999999993</v>
      </c>
      <c r="N28" s="129">
        <f t="shared" si="8"/>
        <v>0.21570111111111109</v>
      </c>
      <c r="O28" s="63">
        <f t="shared" si="9"/>
        <v>58.239299999999993</v>
      </c>
      <c r="P28" s="130">
        <f t="shared" si="10"/>
        <v>5.6096141265434172</v>
      </c>
      <c r="Q28" s="131" t="str">
        <f t="shared" si="11"/>
        <v>NEUTRAL</v>
      </c>
    </row>
    <row r="29" spans="1:17" x14ac:dyDescent="0.2">
      <c r="A29" s="55" t="s">
        <v>125</v>
      </c>
      <c r="B29" s="55" t="s">
        <v>197</v>
      </c>
      <c r="C29" s="55" t="s">
        <v>198</v>
      </c>
      <c r="D29" s="57">
        <v>1991</v>
      </c>
      <c r="E29" s="57">
        <v>3160</v>
      </c>
      <c r="F29" s="57">
        <f t="shared" si="0"/>
        <v>3823.6</v>
      </c>
      <c r="G29" s="57">
        <f t="shared" si="1"/>
        <v>1169</v>
      </c>
      <c r="H29" s="126">
        <f t="shared" si="2"/>
        <v>0.36993670886075947</v>
      </c>
      <c r="I29" s="57">
        <f t="shared" si="3"/>
        <v>80.595600000000005</v>
      </c>
      <c r="J29" s="57">
        <f t="shared" si="4"/>
        <v>0</v>
      </c>
      <c r="K29" s="57">
        <f t="shared" si="5"/>
        <v>2</v>
      </c>
      <c r="L29" s="57">
        <f t="shared" si="6"/>
        <v>1.6</v>
      </c>
      <c r="M29" s="57">
        <f t="shared" si="7"/>
        <v>1084.8044</v>
      </c>
      <c r="N29" s="126">
        <f t="shared" si="8"/>
        <v>0.34329253164556961</v>
      </c>
      <c r="O29" s="57">
        <f t="shared" si="9"/>
        <v>1084.8044</v>
      </c>
      <c r="P29" s="127">
        <f t="shared" si="10"/>
        <v>3.5246907184373515</v>
      </c>
      <c r="Q29" s="128" t="str">
        <f t="shared" si="11"/>
        <v>PUSH</v>
      </c>
    </row>
    <row r="30" spans="1:17" x14ac:dyDescent="0.2">
      <c r="A30" s="61" t="s">
        <v>125</v>
      </c>
      <c r="B30" s="61" t="s">
        <v>200</v>
      </c>
      <c r="C30" s="61" t="s">
        <v>201</v>
      </c>
      <c r="D30" s="63">
        <v>2262</v>
      </c>
      <c r="E30" s="63">
        <v>3590</v>
      </c>
      <c r="F30" s="63">
        <f t="shared" si="0"/>
        <v>4343.8999999999996</v>
      </c>
      <c r="G30" s="63">
        <f t="shared" si="1"/>
        <v>1328</v>
      </c>
      <c r="H30" s="129">
        <f t="shared" si="2"/>
        <v>0.36991643454038997</v>
      </c>
      <c r="I30" s="63">
        <f t="shared" si="3"/>
        <v>91.521900000000002</v>
      </c>
      <c r="J30" s="63">
        <f t="shared" si="4"/>
        <v>0</v>
      </c>
      <c r="K30" s="63">
        <f t="shared" si="5"/>
        <v>2</v>
      </c>
      <c r="L30" s="63">
        <f t="shared" si="6"/>
        <v>1.6</v>
      </c>
      <c r="M30" s="63">
        <f t="shared" si="7"/>
        <v>1232.8781000000001</v>
      </c>
      <c r="N30" s="129">
        <f t="shared" si="8"/>
        <v>0.34342008356545967</v>
      </c>
      <c r="O30" s="63">
        <f t="shared" si="9"/>
        <v>1232.8781000000001</v>
      </c>
      <c r="P30" s="130">
        <f t="shared" si="10"/>
        <v>3.5233815897938321</v>
      </c>
      <c r="Q30" s="131" t="str">
        <f t="shared" si="11"/>
        <v>PUSH</v>
      </c>
    </row>
    <row r="31" spans="1:17" x14ac:dyDescent="0.2">
      <c r="A31" s="55" t="s">
        <v>125</v>
      </c>
      <c r="B31" s="55" t="s">
        <v>203</v>
      </c>
      <c r="C31" s="55" t="s">
        <v>204</v>
      </c>
      <c r="D31" s="57">
        <v>413</v>
      </c>
      <c r="E31" s="57">
        <v>655</v>
      </c>
      <c r="F31" s="57">
        <f t="shared" si="0"/>
        <v>792.55</v>
      </c>
      <c r="G31" s="57">
        <f t="shared" si="1"/>
        <v>242</v>
      </c>
      <c r="H31" s="126">
        <f t="shared" si="2"/>
        <v>0.36946564885496186</v>
      </c>
      <c r="I31" s="57">
        <f t="shared" si="3"/>
        <v>16.943550000000002</v>
      </c>
      <c r="J31" s="57">
        <f t="shared" si="4"/>
        <v>30</v>
      </c>
      <c r="K31" s="57">
        <f t="shared" si="5"/>
        <v>2</v>
      </c>
      <c r="L31" s="57">
        <f t="shared" si="6"/>
        <v>1.6</v>
      </c>
      <c r="M31" s="57">
        <f t="shared" si="7"/>
        <v>191.45644999999999</v>
      </c>
      <c r="N31" s="126">
        <f t="shared" si="8"/>
        <v>0.29229992366412211</v>
      </c>
      <c r="O31" s="57">
        <f t="shared" si="9"/>
        <v>191.45644999999999</v>
      </c>
      <c r="P31" s="127">
        <f t="shared" si="10"/>
        <v>4.1395837016721035</v>
      </c>
      <c r="Q31" s="128" t="str">
        <f t="shared" si="11"/>
        <v>NEUTRAL</v>
      </c>
    </row>
    <row r="32" spans="1:17" x14ac:dyDescent="0.2">
      <c r="A32" s="61" t="s">
        <v>125</v>
      </c>
      <c r="B32" s="61" t="s">
        <v>206</v>
      </c>
      <c r="C32" s="61" t="s">
        <v>207</v>
      </c>
      <c r="D32" s="63">
        <v>775</v>
      </c>
      <c r="E32" s="63">
        <v>1230</v>
      </c>
      <c r="F32" s="63">
        <f t="shared" si="0"/>
        <v>1488.3</v>
      </c>
      <c r="G32" s="63">
        <f t="shared" si="1"/>
        <v>455</v>
      </c>
      <c r="H32" s="129">
        <f t="shared" si="2"/>
        <v>0.36991869918699188</v>
      </c>
      <c r="I32" s="63">
        <f t="shared" si="3"/>
        <v>31.554300000000001</v>
      </c>
      <c r="J32" s="63">
        <f t="shared" si="4"/>
        <v>0</v>
      </c>
      <c r="K32" s="63">
        <f t="shared" si="5"/>
        <v>2</v>
      </c>
      <c r="L32" s="63">
        <f t="shared" si="6"/>
        <v>1.6</v>
      </c>
      <c r="M32" s="63">
        <f t="shared" si="7"/>
        <v>419.84569999999997</v>
      </c>
      <c r="N32" s="129">
        <f t="shared" si="8"/>
        <v>0.34133796747967476</v>
      </c>
      <c r="O32" s="63">
        <f t="shared" si="9"/>
        <v>419.84569999999997</v>
      </c>
      <c r="P32" s="130">
        <f t="shared" si="10"/>
        <v>3.5448737476649161</v>
      </c>
      <c r="Q32" s="131" t="str">
        <f t="shared" si="11"/>
        <v>PUSH</v>
      </c>
    </row>
    <row r="33" spans="1:17" x14ac:dyDescent="0.2">
      <c r="A33" s="55" t="s">
        <v>125</v>
      </c>
      <c r="B33" s="55" t="s">
        <v>209</v>
      </c>
      <c r="C33" s="55" t="s">
        <v>210</v>
      </c>
      <c r="D33" s="57">
        <v>549</v>
      </c>
      <c r="E33" s="57">
        <v>870</v>
      </c>
      <c r="F33" s="57">
        <f t="shared" si="0"/>
        <v>1052.7</v>
      </c>
      <c r="G33" s="57">
        <f t="shared" si="1"/>
        <v>321</v>
      </c>
      <c r="H33" s="126">
        <f t="shared" si="2"/>
        <v>0.36896551724137933</v>
      </c>
      <c r="I33" s="57">
        <f t="shared" si="3"/>
        <v>22.406700000000004</v>
      </c>
      <c r="J33" s="57">
        <f t="shared" si="4"/>
        <v>0</v>
      </c>
      <c r="K33" s="57">
        <f t="shared" si="5"/>
        <v>2</v>
      </c>
      <c r="L33" s="57">
        <f t="shared" si="6"/>
        <v>1.6</v>
      </c>
      <c r="M33" s="57">
        <f t="shared" si="7"/>
        <v>294.99329999999998</v>
      </c>
      <c r="N33" s="126">
        <f t="shared" si="8"/>
        <v>0.33907275862068964</v>
      </c>
      <c r="O33" s="57">
        <f t="shared" si="9"/>
        <v>294.99329999999998</v>
      </c>
      <c r="P33" s="127">
        <f t="shared" si="10"/>
        <v>3.568555624822666</v>
      </c>
      <c r="Q33" s="128" t="str">
        <f t="shared" si="11"/>
        <v>PUSH</v>
      </c>
    </row>
    <row r="34" spans="1:17" x14ac:dyDescent="0.2">
      <c r="A34" s="61" t="s">
        <v>125</v>
      </c>
      <c r="B34" s="61" t="s">
        <v>212</v>
      </c>
      <c r="C34" s="61" t="s">
        <v>213</v>
      </c>
      <c r="D34" s="63">
        <v>196</v>
      </c>
      <c r="E34" s="63">
        <v>310</v>
      </c>
      <c r="F34" s="63">
        <f t="shared" si="0"/>
        <v>375.09999999999997</v>
      </c>
      <c r="G34" s="63">
        <f t="shared" si="1"/>
        <v>114</v>
      </c>
      <c r="H34" s="129">
        <f t="shared" si="2"/>
        <v>0.36774193548387096</v>
      </c>
      <c r="I34" s="63">
        <f t="shared" si="3"/>
        <v>8.1770999999999994</v>
      </c>
      <c r="J34" s="63">
        <f t="shared" si="4"/>
        <v>30</v>
      </c>
      <c r="K34" s="63">
        <f t="shared" si="5"/>
        <v>2</v>
      </c>
      <c r="L34" s="63">
        <f t="shared" si="6"/>
        <v>1.6</v>
      </c>
      <c r="M34" s="63">
        <f t="shared" si="7"/>
        <v>72.22290000000001</v>
      </c>
      <c r="N34" s="129">
        <f t="shared" si="8"/>
        <v>0.23297709677419359</v>
      </c>
      <c r="O34" s="63">
        <f t="shared" si="9"/>
        <v>72.22290000000001</v>
      </c>
      <c r="P34" s="130">
        <f t="shared" si="10"/>
        <v>5.1936435673449823</v>
      </c>
      <c r="Q34" s="131" t="str">
        <f t="shared" si="11"/>
        <v>NEUTRAL</v>
      </c>
    </row>
    <row r="35" spans="1:17" x14ac:dyDescent="0.2">
      <c r="A35" s="55" t="s">
        <v>125</v>
      </c>
      <c r="B35" s="55" t="s">
        <v>215</v>
      </c>
      <c r="C35" s="55" t="s">
        <v>216</v>
      </c>
      <c r="D35" s="57">
        <v>1569</v>
      </c>
      <c r="E35" s="57">
        <v>2490</v>
      </c>
      <c r="F35" s="57">
        <f t="shared" si="0"/>
        <v>3012.9</v>
      </c>
      <c r="G35" s="57">
        <f t="shared" si="1"/>
        <v>921</v>
      </c>
      <c r="H35" s="126">
        <f t="shared" si="2"/>
        <v>0.36987951807228914</v>
      </c>
      <c r="I35" s="57">
        <f t="shared" si="3"/>
        <v>63.570900000000002</v>
      </c>
      <c r="J35" s="57">
        <f t="shared" si="4"/>
        <v>0</v>
      </c>
      <c r="K35" s="57">
        <f t="shared" si="5"/>
        <v>2</v>
      </c>
      <c r="L35" s="57">
        <f t="shared" si="6"/>
        <v>1.6</v>
      </c>
      <c r="M35" s="57">
        <f t="shared" si="7"/>
        <v>853.82909999999993</v>
      </c>
      <c r="N35" s="126">
        <f t="shared" si="8"/>
        <v>0.34290325301204816</v>
      </c>
      <c r="O35" s="57">
        <f t="shared" si="9"/>
        <v>853.82909999999993</v>
      </c>
      <c r="P35" s="127">
        <f t="shared" si="10"/>
        <v>3.5286921000935672</v>
      </c>
      <c r="Q35" s="128" t="str">
        <f t="shared" si="11"/>
        <v>PUSH</v>
      </c>
    </row>
    <row r="36" spans="1:17" x14ac:dyDescent="0.2">
      <c r="A36" s="61" t="s">
        <v>125</v>
      </c>
      <c r="B36" s="61" t="s">
        <v>218</v>
      </c>
      <c r="C36" s="61" t="s">
        <v>219</v>
      </c>
      <c r="D36" s="63">
        <v>1796</v>
      </c>
      <c r="E36" s="63">
        <v>2850</v>
      </c>
      <c r="F36" s="63">
        <f t="shared" si="0"/>
        <v>3448.5</v>
      </c>
      <c r="G36" s="63">
        <f t="shared" si="1"/>
        <v>1054</v>
      </c>
      <c r="H36" s="129">
        <f t="shared" si="2"/>
        <v>0.36982456140350878</v>
      </c>
      <c r="I36" s="63">
        <f t="shared" si="3"/>
        <v>72.718500000000006</v>
      </c>
      <c r="J36" s="63">
        <f t="shared" si="4"/>
        <v>0</v>
      </c>
      <c r="K36" s="63">
        <f t="shared" si="5"/>
        <v>2</v>
      </c>
      <c r="L36" s="63">
        <f t="shared" si="6"/>
        <v>1.6</v>
      </c>
      <c r="M36" s="63">
        <f t="shared" si="7"/>
        <v>977.68150000000003</v>
      </c>
      <c r="N36" s="129">
        <f t="shared" si="8"/>
        <v>0.34304614035087722</v>
      </c>
      <c r="O36" s="63">
        <f t="shared" si="9"/>
        <v>977.68150000000003</v>
      </c>
      <c r="P36" s="130">
        <f t="shared" si="10"/>
        <v>3.5272223111514331</v>
      </c>
      <c r="Q36" s="131" t="str">
        <f t="shared" si="11"/>
        <v>PUSH</v>
      </c>
    </row>
    <row r="37" spans="1:17" x14ac:dyDescent="0.2">
      <c r="A37" s="55" t="s">
        <v>125</v>
      </c>
      <c r="B37" s="55" t="s">
        <v>221</v>
      </c>
      <c r="C37" s="55" t="s">
        <v>222</v>
      </c>
      <c r="D37" s="57">
        <v>508</v>
      </c>
      <c r="E37" s="57">
        <v>805</v>
      </c>
      <c r="F37" s="57">
        <f t="shared" si="0"/>
        <v>974.05</v>
      </c>
      <c r="G37" s="57">
        <f t="shared" si="1"/>
        <v>297</v>
      </c>
      <c r="H37" s="126">
        <f t="shared" si="2"/>
        <v>0.36894409937888201</v>
      </c>
      <c r="I37" s="57">
        <f t="shared" si="3"/>
        <v>20.755050000000001</v>
      </c>
      <c r="J37" s="57">
        <f t="shared" si="4"/>
        <v>0</v>
      </c>
      <c r="K37" s="57">
        <f t="shared" si="5"/>
        <v>2</v>
      </c>
      <c r="L37" s="57">
        <f t="shared" si="6"/>
        <v>1.6</v>
      </c>
      <c r="M37" s="57">
        <f t="shared" si="7"/>
        <v>272.64494999999999</v>
      </c>
      <c r="N37" s="126">
        <f t="shared" si="8"/>
        <v>0.33868937888198758</v>
      </c>
      <c r="O37" s="57">
        <f t="shared" si="9"/>
        <v>272.64494999999999</v>
      </c>
      <c r="P37" s="127">
        <f t="shared" si="10"/>
        <v>3.5725950544838625</v>
      </c>
      <c r="Q37" s="128" t="str">
        <f t="shared" si="11"/>
        <v>PUSH</v>
      </c>
    </row>
    <row r="38" spans="1:17" x14ac:dyDescent="0.2">
      <c r="A38" s="61" t="s">
        <v>125</v>
      </c>
      <c r="B38" s="61" t="s">
        <v>224</v>
      </c>
      <c r="C38" s="61" t="s">
        <v>225</v>
      </c>
      <c r="D38" s="63">
        <v>722</v>
      </c>
      <c r="E38" s="63">
        <v>1145</v>
      </c>
      <c r="F38" s="63">
        <f t="shared" si="0"/>
        <v>1385.45</v>
      </c>
      <c r="G38" s="63">
        <f t="shared" si="1"/>
        <v>423</v>
      </c>
      <c r="H38" s="129">
        <f t="shared" si="2"/>
        <v>0.36943231441048036</v>
      </c>
      <c r="I38" s="63">
        <f t="shared" si="3"/>
        <v>29.394450000000003</v>
      </c>
      <c r="J38" s="63">
        <f t="shared" si="4"/>
        <v>0</v>
      </c>
      <c r="K38" s="63">
        <f t="shared" si="5"/>
        <v>2</v>
      </c>
      <c r="L38" s="63">
        <f t="shared" si="6"/>
        <v>1.6</v>
      </c>
      <c r="M38" s="63">
        <f t="shared" si="7"/>
        <v>390.00554999999997</v>
      </c>
      <c r="N38" s="129">
        <f t="shared" si="8"/>
        <v>0.34061620087336242</v>
      </c>
      <c r="O38" s="63">
        <f t="shared" si="9"/>
        <v>390.00554999999997</v>
      </c>
      <c r="P38" s="130">
        <f t="shared" si="10"/>
        <v>3.5523853442598448</v>
      </c>
      <c r="Q38" s="131" t="str">
        <f t="shared" si="11"/>
        <v>PUSH</v>
      </c>
    </row>
    <row r="39" spans="1:17" x14ac:dyDescent="0.2">
      <c r="A39" s="55" t="s">
        <v>125</v>
      </c>
      <c r="B39" s="55" t="s">
        <v>227</v>
      </c>
      <c r="C39" s="55" t="s">
        <v>228</v>
      </c>
      <c r="D39" s="57">
        <v>999</v>
      </c>
      <c r="E39" s="57">
        <v>1585</v>
      </c>
      <c r="F39" s="57">
        <f t="shared" si="0"/>
        <v>1917.85</v>
      </c>
      <c r="G39" s="57">
        <f t="shared" si="1"/>
        <v>586</v>
      </c>
      <c r="H39" s="126">
        <f t="shared" si="2"/>
        <v>0.36971608832807573</v>
      </c>
      <c r="I39" s="57">
        <f t="shared" si="3"/>
        <v>40.574849999999998</v>
      </c>
      <c r="J39" s="57">
        <f t="shared" si="4"/>
        <v>0</v>
      </c>
      <c r="K39" s="57">
        <f t="shared" si="5"/>
        <v>2</v>
      </c>
      <c r="L39" s="57">
        <f t="shared" si="6"/>
        <v>1.6</v>
      </c>
      <c r="M39" s="57">
        <f t="shared" si="7"/>
        <v>541.82515000000001</v>
      </c>
      <c r="N39" s="126">
        <f t="shared" si="8"/>
        <v>0.34184552050473188</v>
      </c>
      <c r="O39" s="57">
        <f t="shared" si="9"/>
        <v>541.82515000000001</v>
      </c>
      <c r="P39" s="127">
        <f t="shared" si="10"/>
        <v>3.5396105182640558</v>
      </c>
      <c r="Q39" s="128" t="str">
        <f t="shared" si="11"/>
        <v>PUSH</v>
      </c>
    </row>
    <row r="40" spans="1:17" x14ac:dyDescent="0.2">
      <c r="A40" s="61" t="s">
        <v>125</v>
      </c>
      <c r="B40" s="61" t="s">
        <v>230</v>
      </c>
      <c r="C40" s="61" t="s">
        <v>231</v>
      </c>
      <c r="D40" s="63">
        <v>98</v>
      </c>
      <c r="E40" s="63">
        <v>155</v>
      </c>
      <c r="F40" s="63">
        <f t="shared" si="0"/>
        <v>187.54999999999998</v>
      </c>
      <c r="G40" s="63">
        <f t="shared" si="1"/>
        <v>57</v>
      </c>
      <c r="H40" s="129">
        <f t="shared" si="2"/>
        <v>0.36774193548387096</v>
      </c>
      <c r="I40" s="63">
        <f t="shared" si="3"/>
        <v>4.23855</v>
      </c>
      <c r="J40" s="63">
        <f t="shared" si="4"/>
        <v>30</v>
      </c>
      <c r="K40" s="63">
        <f t="shared" si="5"/>
        <v>2</v>
      </c>
      <c r="L40" s="63">
        <f t="shared" si="6"/>
        <v>1.6</v>
      </c>
      <c r="M40" s="63">
        <f t="shared" si="7"/>
        <v>19.161449999999995</v>
      </c>
      <c r="N40" s="129">
        <f t="shared" si="8"/>
        <v>0.1236222580645161</v>
      </c>
      <c r="O40" s="63">
        <f t="shared" si="9"/>
        <v>19.161449999999995</v>
      </c>
      <c r="P40" s="130">
        <f t="shared" si="10"/>
        <v>9.7878813972846537</v>
      </c>
      <c r="Q40" s="131" t="str">
        <f t="shared" si="11"/>
        <v>WATCH</v>
      </c>
    </row>
    <row r="41" spans="1:17" x14ac:dyDescent="0.2">
      <c r="A41" s="55" t="s">
        <v>125</v>
      </c>
      <c r="B41" s="55" t="s">
        <v>233</v>
      </c>
      <c r="C41" s="55" t="s">
        <v>234</v>
      </c>
      <c r="D41" s="57">
        <v>268</v>
      </c>
      <c r="E41" s="57">
        <v>425</v>
      </c>
      <c r="F41" s="57">
        <f t="shared" si="0"/>
        <v>514.25</v>
      </c>
      <c r="G41" s="57">
        <f t="shared" si="1"/>
        <v>157</v>
      </c>
      <c r="H41" s="126">
        <f t="shared" si="2"/>
        <v>0.36941176470588233</v>
      </c>
      <c r="I41" s="57">
        <f t="shared" si="3"/>
        <v>11.099250000000001</v>
      </c>
      <c r="J41" s="57">
        <f t="shared" si="4"/>
        <v>30</v>
      </c>
      <c r="K41" s="57">
        <f t="shared" si="5"/>
        <v>2</v>
      </c>
      <c r="L41" s="57">
        <f t="shared" si="6"/>
        <v>1.6</v>
      </c>
      <c r="M41" s="57">
        <f t="shared" si="7"/>
        <v>112.30074999999999</v>
      </c>
      <c r="N41" s="126">
        <f t="shared" si="8"/>
        <v>0.26423705882352938</v>
      </c>
      <c r="O41" s="57">
        <f t="shared" si="9"/>
        <v>112.30074999999999</v>
      </c>
      <c r="P41" s="127">
        <f t="shared" si="10"/>
        <v>4.5792214210501712</v>
      </c>
      <c r="Q41" s="128" t="str">
        <f t="shared" si="11"/>
        <v>NEUTRAL</v>
      </c>
    </row>
    <row r="42" spans="1:17" x14ac:dyDescent="0.2">
      <c r="A42" s="61" t="s">
        <v>125</v>
      </c>
      <c r="B42" s="61" t="s">
        <v>236</v>
      </c>
      <c r="C42" s="61" t="s">
        <v>237</v>
      </c>
      <c r="D42" s="63">
        <v>454</v>
      </c>
      <c r="E42" s="63">
        <v>720</v>
      </c>
      <c r="F42" s="63">
        <f t="shared" si="0"/>
        <v>871.19999999999993</v>
      </c>
      <c r="G42" s="63">
        <f t="shared" si="1"/>
        <v>266</v>
      </c>
      <c r="H42" s="129">
        <f t="shared" si="2"/>
        <v>0.36944444444444446</v>
      </c>
      <c r="I42" s="63">
        <f t="shared" si="3"/>
        <v>18.595200000000002</v>
      </c>
      <c r="J42" s="63">
        <f t="shared" si="4"/>
        <v>30</v>
      </c>
      <c r="K42" s="63">
        <f t="shared" si="5"/>
        <v>2</v>
      </c>
      <c r="L42" s="63">
        <f t="shared" si="6"/>
        <v>1.6</v>
      </c>
      <c r="M42" s="63">
        <f t="shared" si="7"/>
        <v>213.8048</v>
      </c>
      <c r="N42" s="129">
        <f t="shared" si="8"/>
        <v>0.29695111111111111</v>
      </c>
      <c r="O42" s="63">
        <f t="shared" si="9"/>
        <v>213.8048</v>
      </c>
      <c r="P42" s="130">
        <f t="shared" si="10"/>
        <v>4.0747448139611455</v>
      </c>
      <c r="Q42" s="131" t="str">
        <f t="shared" si="11"/>
        <v>NEUTRAL</v>
      </c>
    </row>
    <row r="43" spans="1:17" x14ac:dyDescent="0.2">
      <c r="A43" s="55" t="s">
        <v>125</v>
      </c>
      <c r="B43" s="55" t="s">
        <v>239</v>
      </c>
      <c r="C43" s="55" t="s">
        <v>240</v>
      </c>
      <c r="D43" s="57">
        <v>596</v>
      </c>
      <c r="E43" s="57">
        <v>945</v>
      </c>
      <c r="F43" s="57">
        <f t="shared" si="0"/>
        <v>1143.45</v>
      </c>
      <c r="G43" s="57">
        <f t="shared" si="1"/>
        <v>349</v>
      </c>
      <c r="H43" s="126">
        <f t="shared" si="2"/>
        <v>0.36931216931216931</v>
      </c>
      <c r="I43" s="57">
        <f t="shared" si="3"/>
        <v>24.312450000000002</v>
      </c>
      <c r="J43" s="57">
        <f t="shared" si="4"/>
        <v>0</v>
      </c>
      <c r="K43" s="57">
        <f t="shared" si="5"/>
        <v>2</v>
      </c>
      <c r="L43" s="57">
        <f t="shared" si="6"/>
        <v>1.6</v>
      </c>
      <c r="M43" s="57">
        <f t="shared" si="7"/>
        <v>321.08754999999996</v>
      </c>
      <c r="N43" s="126">
        <f t="shared" si="8"/>
        <v>0.33977518518518512</v>
      </c>
      <c r="O43" s="57">
        <f t="shared" si="9"/>
        <v>321.08754999999996</v>
      </c>
      <c r="P43" s="127">
        <f t="shared" si="10"/>
        <v>3.5611782518506252</v>
      </c>
      <c r="Q43" s="128" t="str">
        <f t="shared" si="11"/>
        <v>PUSH</v>
      </c>
    </row>
    <row r="44" spans="1:17" x14ac:dyDescent="0.2">
      <c r="A44" s="61" t="s">
        <v>125</v>
      </c>
      <c r="B44" s="61" t="s">
        <v>242</v>
      </c>
      <c r="C44" s="61" t="s">
        <v>243</v>
      </c>
      <c r="D44" s="63">
        <v>177</v>
      </c>
      <c r="E44" s="63">
        <v>280</v>
      </c>
      <c r="F44" s="63">
        <f t="shared" si="0"/>
        <v>338.8</v>
      </c>
      <c r="G44" s="63">
        <f t="shared" si="1"/>
        <v>103</v>
      </c>
      <c r="H44" s="129">
        <f t="shared" si="2"/>
        <v>0.36785714285714288</v>
      </c>
      <c r="I44" s="63">
        <f t="shared" si="3"/>
        <v>7.4148000000000005</v>
      </c>
      <c r="J44" s="63">
        <f t="shared" si="4"/>
        <v>30</v>
      </c>
      <c r="K44" s="63">
        <f t="shared" si="5"/>
        <v>2</v>
      </c>
      <c r="L44" s="63">
        <f t="shared" si="6"/>
        <v>1.6</v>
      </c>
      <c r="M44" s="63">
        <f t="shared" si="7"/>
        <v>61.985199999999999</v>
      </c>
      <c r="N44" s="129">
        <f t="shared" si="8"/>
        <v>0.22137571428571429</v>
      </c>
      <c r="O44" s="63">
        <f t="shared" si="9"/>
        <v>61.985199999999999</v>
      </c>
      <c r="P44" s="130">
        <f t="shared" si="10"/>
        <v>5.4658208733697728</v>
      </c>
      <c r="Q44" s="131" t="str">
        <f t="shared" si="11"/>
        <v>NEUTRAL</v>
      </c>
    </row>
    <row r="45" spans="1:17" x14ac:dyDescent="0.2">
      <c r="A45" s="55" t="s">
        <v>125</v>
      </c>
      <c r="B45" s="55" t="s">
        <v>245</v>
      </c>
      <c r="C45" s="55" t="s">
        <v>246</v>
      </c>
      <c r="D45" s="57">
        <v>246</v>
      </c>
      <c r="E45" s="57">
        <v>390</v>
      </c>
      <c r="F45" s="57">
        <f t="shared" si="0"/>
        <v>471.9</v>
      </c>
      <c r="G45" s="57">
        <f t="shared" si="1"/>
        <v>144</v>
      </c>
      <c r="H45" s="126">
        <f t="shared" si="2"/>
        <v>0.36923076923076925</v>
      </c>
      <c r="I45" s="57">
        <f t="shared" si="3"/>
        <v>10.209900000000001</v>
      </c>
      <c r="J45" s="57">
        <f t="shared" si="4"/>
        <v>30</v>
      </c>
      <c r="K45" s="57">
        <f t="shared" si="5"/>
        <v>2</v>
      </c>
      <c r="L45" s="57">
        <f t="shared" si="6"/>
        <v>1.6</v>
      </c>
      <c r="M45" s="57">
        <f t="shared" si="7"/>
        <v>100.1901</v>
      </c>
      <c r="N45" s="126">
        <f t="shared" si="8"/>
        <v>0.25689769230769233</v>
      </c>
      <c r="O45" s="57">
        <f t="shared" si="9"/>
        <v>100.1901</v>
      </c>
      <c r="P45" s="127">
        <f t="shared" si="10"/>
        <v>4.710046202169675</v>
      </c>
      <c r="Q45" s="128" t="str">
        <f t="shared" si="11"/>
        <v>NEUTRAL</v>
      </c>
    </row>
    <row r="46" spans="1:17" x14ac:dyDescent="0.2">
      <c r="A46" s="61" t="s">
        <v>125</v>
      </c>
      <c r="B46" s="61" t="s">
        <v>248</v>
      </c>
      <c r="C46" s="61" t="s">
        <v>249</v>
      </c>
      <c r="D46" s="63">
        <v>1166</v>
      </c>
      <c r="E46" s="63">
        <v>1850</v>
      </c>
      <c r="F46" s="63">
        <f t="shared" si="0"/>
        <v>2238.5</v>
      </c>
      <c r="G46" s="63">
        <f t="shared" si="1"/>
        <v>684</v>
      </c>
      <c r="H46" s="129">
        <f t="shared" si="2"/>
        <v>0.36972972972972973</v>
      </c>
      <c r="I46" s="63">
        <f t="shared" si="3"/>
        <v>47.308500000000002</v>
      </c>
      <c r="J46" s="63">
        <f t="shared" si="4"/>
        <v>0</v>
      </c>
      <c r="K46" s="63">
        <f t="shared" si="5"/>
        <v>2</v>
      </c>
      <c r="L46" s="63">
        <f t="shared" si="6"/>
        <v>1.6</v>
      </c>
      <c r="M46" s="63">
        <f t="shared" si="7"/>
        <v>633.0915</v>
      </c>
      <c r="N46" s="129">
        <f t="shared" si="8"/>
        <v>0.34221162162162161</v>
      </c>
      <c r="O46" s="63">
        <f t="shared" si="9"/>
        <v>633.0915</v>
      </c>
      <c r="P46" s="130">
        <f t="shared" si="10"/>
        <v>3.5358238106182123</v>
      </c>
      <c r="Q46" s="131" t="str">
        <f t="shared" si="11"/>
        <v>PUSH</v>
      </c>
    </row>
    <row r="47" spans="1:17" x14ac:dyDescent="0.2">
      <c r="A47" s="55" t="s">
        <v>125</v>
      </c>
      <c r="B47" s="55" t="s">
        <v>251</v>
      </c>
      <c r="C47" s="55" t="s">
        <v>252</v>
      </c>
      <c r="D47" s="57">
        <v>1377</v>
      </c>
      <c r="E47" s="57">
        <v>2185</v>
      </c>
      <c r="F47" s="57">
        <f t="shared" si="0"/>
        <v>2643.85</v>
      </c>
      <c r="G47" s="57">
        <f t="shared" si="1"/>
        <v>808</v>
      </c>
      <c r="H47" s="126">
        <f t="shared" si="2"/>
        <v>0.36979405034324941</v>
      </c>
      <c r="I47" s="57">
        <f t="shared" si="3"/>
        <v>55.82085</v>
      </c>
      <c r="J47" s="57">
        <f t="shared" si="4"/>
        <v>0</v>
      </c>
      <c r="K47" s="57">
        <f t="shared" si="5"/>
        <v>2</v>
      </c>
      <c r="L47" s="57">
        <f t="shared" si="6"/>
        <v>1.6</v>
      </c>
      <c r="M47" s="57">
        <f t="shared" si="7"/>
        <v>748.57915000000003</v>
      </c>
      <c r="N47" s="126">
        <f t="shared" si="8"/>
        <v>0.34259915331807783</v>
      </c>
      <c r="O47" s="57">
        <f t="shared" si="9"/>
        <v>748.57915000000003</v>
      </c>
      <c r="P47" s="127">
        <f t="shared" si="10"/>
        <v>3.5318242566601006</v>
      </c>
      <c r="Q47" s="128" t="str">
        <f t="shared" si="11"/>
        <v>PUSH</v>
      </c>
    </row>
    <row r="48" spans="1:17" x14ac:dyDescent="0.2">
      <c r="A48" s="61" t="s">
        <v>125</v>
      </c>
      <c r="B48" s="61" t="s">
        <v>254</v>
      </c>
      <c r="C48" s="61" t="s">
        <v>255</v>
      </c>
      <c r="D48" s="63">
        <v>312</v>
      </c>
      <c r="E48" s="63">
        <v>495</v>
      </c>
      <c r="F48" s="63">
        <f t="shared" si="0"/>
        <v>598.94999999999993</v>
      </c>
      <c r="G48" s="63">
        <f t="shared" si="1"/>
        <v>183</v>
      </c>
      <c r="H48" s="129">
        <f t="shared" si="2"/>
        <v>0.36969696969696969</v>
      </c>
      <c r="I48" s="63">
        <f t="shared" si="3"/>
        <v>12.87795</v>
      </c>
      <c r="J48" s="63">
        <f t="shared" si="4"/>
        <v>30</v>
      </c>
      <c r="K48" s="63">
        <f t="shared" si="5"/>
        <v>2</v>
      </c>
      <c r="L48" s="63">
        <f t="shared" si="6"/>
        <v>1.6</v>
      </c>
      <c r="M48" s="63">
        <f t="shared" si="7"/>
        <v>136.52205000000001</v>
      </c>
      <c r="N48" s="129">
        <f t="shared" si="8"/>
        <v>0.27580212121212122</v>
      </c>
      <c r="O48" s="63">
        <f t="shared" si="9"/>
        <v>136.52205000000001</v>
      </c>
      <c r="P48" s="130">
        <f t="shared" si="10"/>
        <v>4.3872033858266848</v>
      </c>
      <c r="Q48" s="131" t="str">
        <f t="shared" si="11"/>
        <v>NEUTRAL</v>
      </c>
    </row>
    <row r="49" spans="1:17" x14ac:dyDescent="0.2">
      <c r="A49" s="55" t="s">
        <v>125</v>
      </c>
      <c r="B49" s="55" t="s">
        <v>257</v>
      </c>
      <c r="C49" s="55" t="s">
        <v>258</v>
      </c>
      <c r="D49" s="57">
        <v>495</v>
      </c>
      <c r="E49" s="57">
        <v>785</v>
      </c>
      <c r="F49" s="57">
        <f t="shared" si="0"/>
        <v>949.85</v>
      </c>
      <c r="G49" s="57">
        <f t="shared" si="1"/>
        <v>290</v>
      </c>
      <c r="H49" s="126">
        <f t="shared" si="2"/>
        <v>0.36942675159235666</v>
      </c>
      <c r="I49" s="57">
        <f t="shared" si="3"/>
        <v>20.246850000000002</v>
      </c>
      <c r="J49" s="57">
        <f t="shared" si="4"/>
        <v>0</v>
      </c>
      <c r="K49" s="57">
        <f t="shared" si="5"/>
        <v>2</v>
      </c>
      <c r="L49" s="57">
        <f t="shared" si="6"/>
        <v>1.6</v>
      </c>
      <c r="M49" s="57">
        <f t="shared" si="7"/>
        <v>266.15314999999998</v>
      </c>
      <c r="N49" s="126">
        <f t="shared" si="8"/>
        <v>0.33904859872611465</v>
      </c>
      <c r="O49" s="57">
        <f t="shared" si="9"/>
        <v>266.15314999999998</v>
      </c>
      <c r="P49" s="127">
        <f t="shared" si="10"/>
        <v>3.5688099126386446</v>
      </c>
      <c r="Q49" s="128" t="str">
        <f t="shared" si="11"/>
        <v>PUSH</v>
      </c>
    </row>
    <row r="50" spans="1:17" x14ac:dyDescent="0.2">
      <c r="A50" s="61" t="s">
        <v>125</v>
      </c>
      <c r="B50" s="61" t="s">
        <v>260</v>
      </c>
      <c r="C50" s="61" t="s">
        <v>261</v>
      </c>
      <c r="D50" s="63">
        <v>627</v>
      </c>
      <c r="E50" s="63">
        <v>995</v>
      </c>
      <c r="F50" s="63">
        <f t="shared" si="0"/>
        <v>1203.95</v>
      </c>
      <c r="G50" s="63">
        <f t="shared" si="1"/>
        <v>368</v>
      </c>
      <c r="H50" s="129">
        <f t="shared" si="2"/>
        <v>0.36984924623115578</v>
      </c>
      <c r="I50" s="63">
        <f t="shared" si="3"/>
        <v>25.582950000000004</v>
      </c>
      <c r="J50" s="63">
        <f t="shared" si="4"/>
        <v>0</v>
      </c>
      <c r="K50" s="63">
        <f t="shared" si="5"/>
        <v>2</v>
      </c>
      <c r="L50" s="63">
        <f t="shared" si="6"/>
        <v>1.6</v>
      </c>
      <c r="M50" s="63">
        <f t="shared" si="7"/>
        <v>338.81704999999999</v>
      </c>
      <c r="N50" s="129">
        <f t="shared" si="8"/>
        <v>0.34051964824120601</v>
      </c>
      <c r="O50" s="63">
        <f t="shared" si="9"/>
        <v>338.81704999999999</v>
      </c>
      <c r="P50" s="130">
        <f t="shared" si="10"/>
        <v>3.5533926052422689</v>
      </c>
      <c r="Q50" s="131" t="str">
        <f t="shared" si="11"/>
        <v>PUSH</v>
      </c>
    </row>
    <row r="51" spans="1:17" x14ac:dyDescent="0.2">
      <c r="A51" s="55" t="s">
        <v>125</v>
      </c>
      <c r="B51" s="55" t="s">
        <v>263</v>
      </c>
      <c r="C51" s="55" t="s">
        <v>264</v>
      </c>
      <c r="D51" s="57">
        <v>1465</v>
      </c>
      <c r="E51" s="57">
        <v>2325</v>
      </c>
      <c r="F51" s="57">
        <f t="shared" si="0"/>
        <v>2813.25</v>
      </c>
      <c r="G51" s="57">
        <f t="shared" si="1"/>
        <v>860</v>
      </c>
      <c r="H51" s="126">
        <f t="shared" si="2"/>
        <v>0.36989247311827955</v>
      </c>
      <c r="I51" s="57">
        <f t="shared" si="3"/>
        <v>59.378250000000001</v>
      </c>
      <c r="J51" s="57">
        <f t="shared" si="4"/>
        <v>0</v>
      </c>
      <c r="K51" s="57">
        <f t="shared" si="5"/>
        <v>2</v>
      </c>
      <c r="L51" s="57">
        <f t="shared" si="6"/>
        <v>1.6</v>
      </c>
      <c r="M51" s="57">
        <f t="shared" si="7"/>
        <v>797.02175</v>
      </c>
      <c r="N51" s="126">
        <f t="shared" si="8"/>
        <v>0.34280505376344084</v>
      </c>
      <c r="O51" s="57">
        <f t="shared" si="9"/>
        <v>797.02175</v>
      </c>
      <c r="P51" s="127">
        <f t="shared" si="10"/>
        <v>3.5297029221599034</v>
      </c>
      <c r="Q51" s="128" t="str">
        <f t="shared" si="11"/>
        <v>PUSH</v>
      </c>
    </row>
    <row r="52" spans="1:17" x14ac:dyDescent="0.2">
      <c r="A52" s="61" t="s">
        <v>125</v>
      </c>
      <c r="B52" s="61" t="s">
        <v>266</v>
      </c>
      <c r="C52" s="61" t="s">
        <v>267</v>
      </c>
      <c r="D52" s="63">
        <v>1635</v>
      </c>
      <c r="E52" s="63">
        <v>2595</v>
      </c>
      <c r="F52" s="63">
        <f t="shared" si="0"/>
        <v>3139.95</v>
      </c>
      <c r="G52" s="63">
        <f t="shared" si="1"/>
        <v>960</v>
      </c>
      <c r="H52" s="129">
        <f t="shared" si="2"/>
        <v>0.36994219653179189</v>
      </c>
      <c r="I52" s="63">
        <f t="shared" si="3"/>
        <v>66.238950000000003</v>
      </c>
      <c r="J52" s="63">
        <f t="shared" si="4"/>
        <v>0</v>
      </c>
      <c r="K52" s="63">
        <f t="shared" si="5"/>
        <v>2</v>
      </c>
      <c r="L52" s="63">
        <f t="shared" si="6"/>
        <v>1.6</v>
      </c>
      <c r="M52" s="63">
        <f t="shared" si="7"/>
        <v>890.16104999999993</v>
      </c>
      <c r="N52" s="129">
        <f t="shared" si="8"/>
        <v>0.34302930635838147</v>
      </c>
      <c r="O52" s="63">
        <f t="shared" si="9"/>
        <v>890.16104999999993</v>
      </c>
      <c r="P52" s="130">
        <f t="shared" si="10"/>
        <v>3.5273954078309764</v>
      </c>
      <c r="Q52" s="131" t="str">
        <f t="shared" si="11"/>
        <v>PUSH</v>
      </c>
    </row>
    <row r="53" spans="1:17" x14ac:dyDescent="0.2">
      <c r="A53" s="55" t="s">
        <v>125</v>
      </c>
      <c r="B53" s="55" t="s">
        <v>269</v>
      </c>
      <c r="C53" s="55" t="s">
        <v>270</v>
      </c>
      <c r="D53" s="57">
        <v>186</v>
      </c>
      <c r="E53" s="57">
        <v>295</v>
      </c>
      <c r="F53" s="57">
        <f t="shared" si="0"/>
        <v>356.95</v>
      </c>
      <c r="G53" s="57">
        <f t="shared" si="1"/>
        <v>109</v>
      </c>
      <c r="H53" s="126">
        <f t="shared" si="2"/>
        <v>0.36949152542372882</v>
      </c>
      <c r="I53" s="57">
        <f t="shared" si="3"/>
        <v>7.7959500000000004</v>
      </c>
      <c r="J53" s="57">
        <f t="shared" si="4"/>
        <v>30</v>
      </c>
      <c r="K53" s="57">
        <f t="shared" si="5"/>
        <v>2</v>
      </c>
      <c r="L53" s="57">
        <f t="shared" si="6"/>
        <v>1.6</v>
      </c>
      <c r="M53" s="57">
        <f t="shared" si="7"/>
        <v>67.604050000000001</v>
      </c>
      <c r="N53" s="126">
        <f t="shared" si="8"/>
        <v>0.22916627118644067</v>
      </c>
      <c r="O53" s="57">
        <f t="shared" si="9"/>
        <v>67.604050000000001</v>
      </c>
      <c r="P53" s="127">
        <f t="shared" si="10"/>
        <v>5.2800091118801316</v>
      </c>
      <c r="Q53" s="128" t="str">
        <f t="shared" si="11"/>
        <v>NEUTRAL</v>
      </c>
    </row>
    <row r="54" spans="1:17" x14ac:dyDescent="0.2">
      <c r="A54" s="61" t="s">
        <v>125</v>
      </c>
      <c r="B54" s="61" t="s">
        <v>272</v>
      </c>
      <c r="C54" s="61" t="s">
        <v>273</v>
      </c>
      <c r="D54" s="63">
        <v>530</v>
      </c>
      <c r="E54" s="63">
        <v>840</v>
      </c>
      <c r="F54" s="63">
        <f t="shared" si="0"/>
        <v>1016.4</v>
      </c>
      <c r="G54" s="63">
        <f t="shared" si="1"/>
        <v>310</v>
      </c>
      <c r="H54" s="129">
        <f t="shared" si="2"/>
        <v>0.36904761904761907</v>
      </c>
      <c r="I54" s="63">
        <f t="shared" si="3"/>
        <v>21.644400000000001</v>
      </c>
      <c r="J54" s="63">
        <f t="shared" si="4"/>
        <v>0</v>
      </c>
      <c r="K54" s="63">
        <f t="shared" si="5"/>
        <v>2</v>
      </c>
      <c r="L54" s="63">
        <f t="shared" si="6"/>
        <v>1.6</v>
      </c>
      <c r="M54" s="63">
        <f t="shared" si="7"/>
        <v>284.75559999999996</v>
      </c>
      <c r="N54" s="129">
        <f t="shared" si="8"/>
        <v>0.33899476190476185</v>
      </c>
      <c r="O54" s="63">
        <f t="shared" si="9"/>
        <v>284.75559999999996</v>
      </c>
      <c r="P54" s="130">
        <f t="shared" si="10"/>
        <v>3.5693766865339964</v>
      </c>
      <c r="Q54" s="131" t="str">
        <f t="shared" si="11"/>
        <v>PUSH</v>
      </c>
    </row>
    <row r="55" spans="1:17" x14ac:dyDescent="0.2">
      <c r="A55" s="55" t="s">
        <v>125</v>
      </c>
      <c r="B55" s="55" t="s">
        <v>275</v>
      </c>
      <c r="C55" s="55" t="s">
        <v>276</v>
      </c>
      <c r="D55" s="57">
        <v>823</v>
      </c>
      <c r="E55" s="57">
        <v>1305</v>
      </c>
      <c r="F55" s="57">
        <f t="shared" si="0"/>
        <v>1579.05</v>
      </c>
      <c r="G55" s="57">
        <f t="shared" si="1"/>
        <v>482</v>
      </c>
      <c r="H55" s="126">
        <f t="shared" si="2"/>
        <v>0.3693486590038314</v>
      </c>
      <c r="I55" s="57">
        <f t="shared" si="3"/>
        <v>33.460049999999995</v>
      </c>
      <c r="J55" s="57">
        <f t="shared" si="4"/>
        <v>0</v>
      </c>
      <c r="K55" s="57">
        <f t="shared" si="5"/>
        <v>2</v>
      </c>
      <c r="L55" s="57">
        <f t="shared" si="6"/>
        <v>1.6</v>
      </c>
      <c r="M55" s="57">
        <f t="shared" si="7"/>
        <v>444.93994999999995</v>
      </c>
      <c r="N55" s="126">
        <f t="shared" si="8"/>
        <v>0.34095015325670497</v>
      </c>
      <c r="O55" s="57">
        <f t="shared" si="9"/>
        <v>444.93994999999995</v>
      </c>
      <c r="P55" s="127">
        <f t="shared" si="10"/>
        <v>3.548905869207744</v>
      </c>
      <c r="Q55" s="128" t="str">
        <f t="shared" si="11"/>
        <v>PUSH</v>
      </c>
    </row>
    <row r="56" spans="1:17" x14ac:dyDescent="0.2">
      <c r="A56" s="61" t="s">
        <v>125</v>
      </c>
      <c r="B56" s="61" t="s">
        <v>278</v>
      </c>
      <c r="C56" s="61" t="s">
        <v>279</v>
      </c>
      <c r="D56" s="63">
        <v>1097</v>
      </c>
      <c r="E56" s="63">
        <v>1740</v>
      </c>
      <c r="F56" s="63">
        <f t="shared" si="0"/>
        <v>2105.4</v>
      </c>
      <c r="G56" s="63">
        <f t="shared" si="1"/>
        <v>643</v>
      </c>
      <c r="H56" s="129">
        <f t="shared" si="2"/>
        <v>0.36954022988505747</v>
      </c>
      <c r="I56" s="63">
        <f t="shared" si="3"/>
        <v>44.513400000000004</v>
      </c>
      <c r="J56" s="63">
        <f t="shared" si="4"/>
        <v>0</v>
      </c>
      <c r="K56" s="63">
        <f t="shared" si="5"/>
        <v>2</v>
      </c>
      <c r="L56" s="63">
        <f t="shared" si="6"/>
        <v>1.6</v>
      </c>
      <c r="M56" s="63">
        <f t="shared" si="7"/>
        <v>594.88659999999993</v>
      </c>
      <c r="N56" s="129">
        <f t="shared" si="8"/>
        <v>0.34188885057471258</v>
      </c>
      <c r="O56" s="63">
        <f t="shared" si="9"/>
        <v>594.88659999999993</v>
      </c>
      <c r="P56" s="130">
        <f t="shared" si="10"/>
        <v>3.5391619175822759</v>
      </c>
      <c r="Q56" s="131" t="str">
        <f t="shared" si="11"/>
        <v>PUSH</v>
      </c>
    </row>
    <row r="57" spans="1:17" x14ac:dyDescent="0.2">
      <c r="A57" s="55" t="s">
        <v>125</v>
      </c>
      <c r="B57" s="55" t="s">
        <v>281</v>
      </c>
      <c r="C57" s="55" t="s">
        <v>282</v>
      </c>
      <c r="D57" s="57">
        <v>297</v>
      </c>
      <c r="E57" s="57">
        <v>470</v>
      </c>
      <c r="F57" s="57">
        <f t="shared" si="0"/>
        <v>568.69999999999993</v>
      </c>
      <c r="G57" s="57">
        <f t="shared" si="1"/>
        <v>173</v>
      </c>
      <c r="H57" s="126">
        <f t="shared" si="2"/>
        <v>0.3680851063829787</v>
      </c>
      <c r="I57" s="57">
        <f t="shared" si="3"/>
        <v>12.242699999999999</v>
      </c>
      <c r="J57" s="57">
        <f t="shared" si="4"/>
        <v>30</v>
      </c>
      <c r="K57" s="57">
        <f t="shared" si="5"/>
        <v>2</v>
      </c>
      <c r="L57" s="57">
        <f t="shared" si="6"/>
        <v>1.6</v>
      </c>
      <c r="M57" s="57">
        <f t="shared" si="7"/>
        <v>127.15729999999999</v>
      </c>
      <c r="N57" s="126">
        <f t="shared" si="8"/>
        <v>0.27054744680851062</v>
      </c>
      <c r="O57" s="57">
        <f t="shared" si="9"/>
        <v>127.15729999999999</v>
      </c>
      <c r="P57" s="127">
        <f t="shared" si="10"/>
        <v>4.4724133022642034</v>
      </c>
      <c r="Q57" s="128" t="str">
        <f t="shared" si="11"/>
        <v>NEUTRAL</v>
      </c>
    </row>
    <row r="58" spans="1:17" x14ac:dyDescent="0.2">
      <c r="A58" s="61" t="s">
        <v>125</v>
      </c>
      <c r="B58" s="61" t="s">
        <v>284</v>
      </c>
      <c r="C58" s="61" t="s">
        <v>285</v>
      </c>
      <c r="D58" s="63">
        <v>215</v>
      </c>
      <c r="E58" s="63">
        <v>340</v>
      </c>
      <c r="F58" s="63">
        <f t="shared" si="0"/>
        <v>411.4</v>
      </c>
      <c r="G58" s="63">
        <f t="shared" si="1"/>
        <v>125</v>
      </c>
      <c r="H58" s="129">
        <f t="shared" si="2"/>
        <v>0.36764705882352944</v>
      </c>
      <c r="I58" s="63">
        <f t="shared" si="3"/>
        <v>8.9394000000000009</v>
      </c>
      <c r="J58" s="63">
        <f t="shared" si="4"/>
        <v>30</v>
      </c>
      <c r="K58" s="63">
        <f t="shared" si="5"/>
        <v>2</v>
      </c>
      <c r="L58" s="63">
        <f t="shared" si="6"/>
        <v>1.6</v>
      </c>
      <c r="M58" s="63">
        <f t="shared" si="7"/>
        <v>82.460599999999999</v>
      </c>
      <c r="N58" s="129">
        <f t="shared" si="8"/>
        <v>0.24253117647058822</v>
      </c>
      <c r="O58" s="63">
        <f t="shared" si="9"/>
        <v>82.460599999999999</v>
      </c>
      <c r="P58" s="130">
        <f t="shared" si="10"/>
        <v>4.9890493156731814</v>
      </c>
      <c r="Q58" s="131" t="str">
        <f t="shared" si="11"/>
        <v>NEUTRAL</v>
      </c>
    </row>
    <row r="59" spans="1:17" x14ac:dyDescent="0.2">
      <c r="A59" s="55" t="s">
        <v>125</v>
      </c>
      <c r="B59" s="55" t="s">
        <v>287</v>
      </c>
      <c r="C59" s="55" t="s">
        <v>288</v>
      </c>
      <c r="D59" s="57">
        <v>2174</v>
      </c>
      <c r="E59" s="57">
        <v>3450</v>
      </c>
      <c r="F59" s="57">
        <f t="shared" si="0"/>
        <v>4174.5</v>
      </c>
      <c r="G59" s="57">
        <f t="shared" si="1"/>
        <v>1276</v>
      </c>
      <c r="H59" s="126">
        <f t="shared" si="2"/>
        <v>0.36985507246376814</v>
      </c>
      <c r="I59" s="57">
        <f t="shared" si="3"/>
        <v>87.964500000000001</v>
      </c>
      <c r="J59" s="57">
        <f t="shared" si="4"/>
        <v>0</v>
      </c>
      <c r="K59" s="57">
        <f t="shared" si="5"/>
        <v>2</v>
      </c>
      <c r="L59" s="57">
        <f t="shared" si="6"/>
        <v>1.6</v>
      </c>
      <c r="M59" s="57">
        <f t="shared" si="7"/>
        <v>1184.4355</v>
      </c>
      <c r="N59" s="126">
        <f t="shared" si="8"/>
        <v>0.34331463768115944</v>
      </c>
      <c r="O59" s="57">
        <f t="shared" si="9"/>
        <v>1184.4355</v>
      </c>
      <c r="P59" s="127">
        <f t="shared" si="10"/>
        <v>3.5244637635396776</v>
      </c>
      <c r="Q59" s="128" t="str">
        <f t="shared" si="11"/>
        <v>PUSH</v>
      </c>
    </row>
    <row r="60" spans="1:17" x14ac:dyDescent="0.2">
      <c r="A60" s="61" t="s">
        <v>125</v>
      </c>
      <c r="B60" s="61" t="s">
        <v>290</v>
      </c>
      <c r="C60" s="61" t="s">
        <v>291</v>
      </c>
      <c r="D60" s="63">
        <v>2451</v>
      </c>
      <c r="E60" s="63">
        <v>3890</v>
      </c>
      <c r="F60" s="63">
        <f t="shared" si="0"/>
        <v>4706.8999999999996</v>
      </c>
      <c r="G60" s="63">
        <f t="shared" si="1"/>
        <v>1439</v>
      </c>
      <c r="H60" s="129">
        <f t="shared" si="2"/>
        <v>0.36992287917737787</v>
      </c>
      <c r="I60" s="63">
        <f t="shared" si="3"/>
        <v>99.144899999999993</v>
      </c>
      <c r="J60" s="63">
        <f t="shared" si="4"/>
        <v>0</v>
      </c>
      <c r="K60" s="63">
        <f t="shared" si="5"/>
        <v>2</v>
      </c>
      <c r="L60" s="63">
        <f t="shared" si="6"/>
        <v>1.6</v>
      </c>
      <c r="M60" s="63">
        <f t="shared" si="7"/>
        <v>1336.2551000000001</v>
      </c>
      <c r="N60" s="129">
        <f t="shared" si="8"/>
        <v>0.34351030848329051</v>
      </c>
      <c r="O60" s="63">
        <f t="shared" si="9"/>
        <v>1336.2551000000001</v>
      </c>
      <c r="P60" s="130">
        <f t="shared" si="10"/>
        <v>3.5224561537688421</v>
      </c>
      <c r="Q60" s="131" t="str">
        <f t="shared" si="11"/>
        <v>PUSH</v>
      </c>
    </row>
    <row r="61" spans="1:17" x14ac:dyDescent="0.2">
      <c r="A61" s="55" t="s">
        <v>125</v>
      </c>
      <c r="B61" s="55" t="s">
        <v>293</v>
      </c>
      <c r="C61" s="55" t="s">
        <v>294</v>
      </c>
      <c r="D61" s="57">
        <v>492</v>
      </c>
      <c r="E61" s="57">
        <v>780</v>
      </c>
      <c r="F61" s="57">
        <f t="shared" si="0"/>
        <v>943.8</v>
      </c>
      <c r="G61" s="57">
        <f t="shared" si="1"/>
        <v>288</v>
      </c>
      <c r="H61" s="126">
        <f t="shared" si="2"/>
        <v>0.36923076923076925</v>
      </c>
      <c r="I61" s="57">
        <f t="shared" si="3"/>
        <v>20.119800000000001</v>
      </c>
      <c r="J61" s="57">
        <f t="shared" si="4"/>
        <v>0</v>
      </c>
      <c r="K61" s="57">
        <f t="shared" si="5"/>
        <v>2</v>
      </c>
      <c r="L61" s="57">
        <f t="shared" si="6"/>
        <v>1.6</v>
      </c>
      <c r="M61" s="57">
        <f t="shared" si="7"/>
        <v>264.28019999999998</v>
      </c>
      <c r="N61" s="126">
        <f t="shared" si="8"/>
        <v>0.3388207692307692</v>
      </c>
      <c r="O61" s="57">
        <f t="shared" si="9"/>
        <v>264.28019999999998</v>
      </c>
      <c r="P61" s="127">
        <f t="shared" si="10"/>
        <v>3.5712096479418438</v>
      </c>
      <c r="Q61" s="128" t="str">
        <f t="shared" si="11"/>
        <v>PUSH</v>
      </c>
    </row>
    <row r="62" spans="1:17" x14ac:dyDescent="0.2">
      <c r="A62" s="61" t="s">
        <v>125</v>
      </c>
      <c r="B62" s="61" t="s">
        <v>296</v>
      </c>
      <c r="C62" s="61" t="s">
        <v>297</v>
      </c>
      <c r="D62" s="63">
        <v>709</v>
      </c>
      <c r="E62" s="63">
        <v>1125</v>
      </c>
      <c r="F62" s="63">
        <f t="shared" si="0"/>
        <v>1361.25</v>
      </c>
      <c r="G62" s="63">
        <f t="shared" si="1"/>
        <v>416</v>
      </c>
      <c r="H62" s="129">
        <f t="shared" si="2"/>
        <v>0.36977777777777776</v>
      </c>
      <c r="I62" s="63">
        <f t="shared" si="3"/>
        <v>28.886250000000004</v>
      </c>
      <c r="J62" s="63">
        <f t="shared" si="4"/>
        <v>0</v>
      </c>
      <c r="K62" s="63">
        <f t="shared" si="5"/>
        <v>2</v>
      </c>
      <c r="L62" s="63">
        <f t="shared" si="6"/>
        <v>1.6</v>
      </c>
      <c r="M62" s="63">
        <f t="shared" si="7"/>
        <v>383.51374999999996</v>
      </c>
      <c r="N62" s="129">
        <f t="shared" si="8"/>
        <v>0.3409011111111111</v>
      </c>
      <c r="O62" s="63">
        <f t="shared" si="9"/>
        <v>383.51374999999996</v>
      </c>
      <c r="P62" s="130">
        <f t="shared" si="10"/>
        <v>3.549416415969441</v>
      </c>
      <c r="Q62" s="131" t="str">
        <f t="shared" si="11"/>
        <v>PUSH</v>
      </c>
    </row>
    <row r="63" spans="1:17" x14ac:dyDescent="0.2">
      <c r="A63" s="55" t="s">
        <v>125</v>
      </c>
      <c r="B63" s="55" t="s">
        <v>299</v>
      </c>
      <c r="C63" s="55" t="s">
        <v>300</v>
      </c>
      <c r="D63" s="57">
        <v>876</v>
      </c>
      <c r="E63" s="57">
        <v>1390</v>
      </c>
      <c r="F63" s="57">
        <f t="shared" si="0"/>
        <v>1681.8999999999999</v>
      </c>
      <c r="G63" s="57">
        <f t="shared" si="1"/>
        <v>514</v>
      </c>
      <c r="H63" s="126">
        <f t="shared" si="2"/>
        <v>0.36978417266187052</v>
      </c>
      <c r="I63" s="57">
        <f t="shared" si="3"/>
        <v>35.619899999999994</v>
      </c>
      <c r="J63" s="57">
        <f t="shared" si="4"/>
        <v>0</v>
      </c>
      <c r="K63" s="57">
        <f t="shared" si="5"/>
        <v>2</v>
      </c>
      <c r="L63" s="57">
        <f t="shared" si="6"/>
        <v>1.6</v>
      </c>
      <c r="M63" s="57">
        <f t="shared" si="7"/>
        <v>474.7801</v>
      </c>
      <c r="N63" s="126">
        <f t="shared" si="8"/>
        <v>0.34156841726618703</v>
      </c>
      <c r="O63" s="57">
        <f t="shared" si="9"/>
        <v>474.7801</v>
      </c>
      <c r="P63" s="127">
        <f t="shared" si="10"/>
        <v>3.5424820880234869</v>
      </c>
      <c r="Q63" s="128" t="str">
        <f t="shared" si="11"/>
        <v>PUSH</v>
      </c>
    </row>
    <row r="64" spans="1:17" x14ac:dyDescent="0.2">
      <c r="A64" s="61" t="s">
        <v>125</v>
      </c>
      <c r="B64" s="61" t="s">
        <v>302</v>
      </c>
      <c r="C64" s="61" t="s">
        <v>303</v>
      </c>
      <c r="D64" s="63">
        <v>372</v>
      </c>
      <c r="E64" s="63">
        <v>590</v>
      </c>
      <c r="F64" s="63">
        <f t="shared" si="0"/>
        <v>713.9</v>
      </c>
      <c r="G64" s="63">
        <f t="shared" si="1"/>
        <v>218</v>
      </c>
      <c r="H64" s="129">
        <f t="shared" si="2"/>
        <v>0.36949152542372882</v>
      </c>
      <c r="I64" s="63">
        <f t="shared" si="3"/>
        <v>15.291900000000002</v>
      </c>
      <c r="J64" s="63">
        <f t="shared" si="4"/>
        <v>30</v>
      </c>
      <c r="K64" s="63">
        <f t="shared" si="5"/>
        <v>2</v>
      </c>
      <c r="L64" s="63">
        <f t="shared" si="6"/>
        <v>1.6</v>
      </c>
      <c r="M64" s="63">
        <f t="shared" si="7"/>
        <v>169.10810000000001</v>
      </c>
      <c r="N64" s="129">
        <f t="shared" si="8"/>
        <v>0.28662389830508478</v>
      </c>
      <c r="O64" s="63">
        <f t="shared" si="9"/>
        <v>169.10810000000001</v>
      </c>
      <c r="P64" s="130">
        <f t="shared" si="10"/>
        <v>4.2215600553728647</v>
      </c>
      <c r="Q64" s="131" t="str">
        <f t="shared" si="11"/>
        <v>NEUTRAL</v>
      </c>
    </row>
    <row r="65" spans="1:17" x14ac:dyDescent="0.2">
      <c r="A65" s="55" t="s">
        <v>125</v>
      </c>
      <c r="B65" s="55" t="s">
        <v>305</v>
      </c>
      <c r="C65" s="55" t="s">
        <v>306</v>
      </c>
      <c r="D65" s="57">
        <v>435</v>
      </c>
      <c r="E65" s="57">
        <v>690</v>
      </c>
      <c r="F65" s="57">
        <f t="shared" si="0"/>
        <v>834.9</v>
      </c>
      <c r="G65" s="57">
        <f t="shared" si="1"/>
        <v>255</v>
      </c>
      <c r="H65" s="126">
        <f t="shared" si="2"/>
        <v>0.36956521739130432</v>
      </c>
      <c r="I65" s="57">
        <f t="shared" si="3"/>
        <v>17.832900000000002</v>
      </c>
      <c r="J65" s="57">
        <f t="shared" si="4"/>
        <v>30</v>
      </c>
      <c r="K65" s="57">
        <f t="shared" si="5"/>
        <v>2</v>
      </c>
      <c r="L65" s="57">
        <f t="shared" si="6"/>
        <v>1.6</v>
      </c>
      <c r="M65" s="57">
        <f t="shared" si="7"/>
        <v>203.56710000000001</v>
      </c>
      <c r="N65" s="126">
        <f t="shared" si="8"/>
        <v>0.29502478260869569</v>
      </c>
      <c r="O65" s="57">
        <f t="shared" si="9"/>
        <v>203.56710000000001</v>
      </c>
      <c r="P65" s="127">
        <f t="shared" si="10"/>
        <v>4.1013503655551409</v>
      </c>
      <c r="Q65" s="128" t="str">
        <f t="shared" si="11"/>
        <v>NEUTRAL</v>
      </c>
    </row>
    <row r="66" spans="1:17" x14ac:dyDescent="0.2">
      <c r="A66" s="61" t="s">
        <v>125</v>
      </c>
      <c r="B66" s="61" t="s">
        <v>308</v>
      </c>
      <c r="C66" s="61" t="s">
        <v>309</v>
      </c>
      <c r="D66" s="63">
        <v>265</v>
      </c>
      <c r="E66" s="63">
        <v>420</v>
      </c>
      <c r="F66" s="63">
        <f t="shared" si="0"/>
        <v>508.2</v>
      </c>
      <c r="G66" s="63">
        <f t="shared" si="1"/>
        <v>155</v>
      </c>
      <c r="H66" s="129">
        <f t="shared" si="2"/>
        <v>0.36904761904761907</v>
      </c>
      <c r="I66" s="63">
        <f t="shared" si="3"/>
        <v>10.972200000000001</v>
      </c>
      <c r="J66" s="63">
        <f t="shared" si="4"/>
        <v>30</v>
      </c>
      <c r="K66" s="63">
        <f t="shared" si="5"/>
        <v>2</v>
      </c>
      <c r="L66" s="63">
        <f t="shared" si="6"/>
        <v>1.6</v>
      </c>
      <c r="M66" s="63">
        <f t="shared" si="7"/>
        <v>110.42780000000002</v>
      </c>
      <c r="N66" s="129">
        <f t="shared" si="8"/>
        <v>0.2629233333333334</v>
      </c>
      <c r="O66" s="63">
        <f t="shared" si="9"/>
        <v>110.42780000000002</v>
      </c>
      <c r="P66" s="130">
        <f t="shared" si="10"/>
        <v>4.602102006922169</v>
      </c>
      <c r="Q66" s="131" t="str">
        <f t="shared" si="11"/>
        <v>NEUTRAL</v>
      </c>
    </row>
    <row r="67" spans="1:17" x14ac:dyDescent="0.2">
      <c r="A67" s="55" t="s">
        <v>125</v>
      </c>
      <c r="B67" s="55" t="s">
        <v>311</v>
      </c>
      <c r="C67" s="55" t="s">
        <v>312</v>
      </c>
      <c r="D67" s="57">
        <v>2064</v>
      </c>
      <c r="E67" s="57">
        <v>3275</v>
      </c>
      <c r="F67" s="57">
        <f t="shared" si="0"/>
        <v>3962.75</v>
      </c>
      <c r="G67" s="57">
        <f t="shared" si="1"/>
        <v>1211</v>
      </c>
      <c r="H67" s="126">
        <f t="shared" si="2"/>
        <v>0.3697709923664122</v>
      </c>
      <c r="I67" s="57">
        <f t="shared" si="3"/>
        <v>83.517750000000007</v>
      </c>
      <c r="J67" s="57">
        <f t="shared" si="4"/>
        <v>0</v>
      </c>
      <c r="K67" s="57">
        <f t="shared" si="5"/>
        <v>2</v>
      </c>
      <c r="L67" s="57">
        <f t="shared" si="6"/>
        <v>1.6</v>
      </c>
      <c r="M67" s="57">
        <f t="shared" si="7"/>
        <v>1123.8822500000001</v>
      </c>
      <c r="N67" s="126">
        <f t="shared" si="8"/>
        <v>0.34317015267175577</v>
      </c>
      <c r="O67" s="57">
        <f t="shared" si="9"/>
        <v>1123.8822500000001</v>
      </c>
      <c r="P67" s="127">
        <f t="shared" si="10"/>
        <v>3.525947669339915</v>
      </c>
      <c r="Q67" s="128" t="str">
        <f t="shared" si="11"/>
        <v>PUSH</v>
      </c>
    </row>
    <row r="68" spans="1:17" x14ac:dyDescent="0.2">
      <c r="A68" s="61" t="s">
        <v>125</v>
      </c>
      <c r="B68" s="61" t="s">
        <v>314</v>
      </c>
      <c r="C68" s="61" t="s">
        <v>315</v>
      </c>
      <c r="D68" s="63">
        <v>2294</v>
      </c>
      <c r="E68" s="63">
        <v>3640</v>
      </c>
      <c r="F68" s="63">
        <f t="shared" si="0"/>
        <v>4404.3999999999996</v>
      </c>
      <c r="G68" s="63">
        <f t="shared" si="1"/>
        <v>1346</v>
      </c>
      <c r="H68" s="129">
        <f t="shared" si="2"/>
        <v>0.3697802197802198</v>
      </c>
      <c r="I68" s="63">
        <f t="shared" si="3"/>
        <v>92.792400000000001</v>
      </c>
      <c r="J68" s="63">
        <f t="shared" si="4"/>
        <v>0</v>
      </c>
      <c r="K68" s="63">
        <f t="shared" si="5"/>
        <v>2</v>
      </c>
      <c r="L68" s="63">
        <f t="shared" si="6"/>
        <v>1.6</v>
      </c>
      <c r="M68" s="63">
        <f t="shared" si="7"/>
        <v>1249.6076</v>
      </c>
      <c r="N68" s="129">
        <f t="shared" si="8"/>
        <v>0.3432987912087912</v>
      </c>
      <c r="O68" s="63">
        <f t="shared" si="9"/>
        <v>1249.6076</v>
      </c>
      <c r="P68" s="130">
        <f t="shared" si="10"/>
        <v>3.5246264507354144</v>
      </c>
      <c r="Q68" s="131" t="str">
        <f t="shared" si="11"/>
        <v>PUSH</v>
      </c>
    </row>
    <row r="69" spans="1:17" x14ac:dyDescent="0.2">
      <c r="A69" s="55" t="s">
        <v>125</v>
      </c>
      <c r="B69" s="55" t="s">
        <v>317</v>
      </c>
      <c r="C69" s="55" t="s">
        <v>318</v>
      </c>
      <c r="D69" s="57">
        <v>334</v>
      </c>
      <c r="E69" s="57">
        <v>530</v>
      </c>
      <c r="F69" s="57">
        <f t="shared" ref="F69:F132" si="12">E69*(1+IVA)</f>
        <v>641.29999999999995</v>
      </c>
      <c r="G69" s="57">
        <f t="shared" ref="G69:G132" si="13">E69-D69</f>
        <v>196</v>
      </c>
      <c r="H69" s="126">
        <f t="shared" ref="H69:H132" si="14">IFERROR(G69/E69,0)</f>
        <v>0.36981132075471695</v>
      </c>
      <c r="I69" s="57">
        <f t="shared" ref="I69:I132" si="15">F69*Comision_pago_pct+Comision_pago_fija</f>
        <v>13.767300000000001</v>
      </c>
      <c r="J69" s="57">
        <f t="shared" ref="J69:J132" si="16">IF(A69="Hevea",IF(F69&gt;=Hevea_umbral_envio_gratis,0,Hevea_coste_envio_bajo),Balliu_coste_envio)</f>
        <v>30</v>
      </c>
      <c r="K69" s="57">
        <f t="shared" ref="K69:K132" si="17">Tasa_devolucion*Coste_devolucion</f>
        <v>2</v>
      </c>
      <c r="L69" s="57">
        <f t="shared" ref="L69:L132" si="18">Tasa_incidencia*Coste_incidencia</f>
        <v>1.6</v>
      </c>
      <c r="M69" s="57">
        <f t="shared" ref="M69:M132" si="19">G69-I69-J69-K69-L69</f>
        <v>148.6327</v>
      </c>
      <c r="N69" s="126">
        <f t="shared" ref="N69:N132" si="20">IFERROR(M69/E69,0)</f>
        <v>0.28043905660377361</v>
      </c>
      <c r="O69" s="57">
        <f t="shared" ref="O69:O132" si="21">MAX(M69,0)</f>
        <v>148.6327</v>
      </c>
      <c r="P69" s="127">
        <f t="shared" ref="P69:P132" si="22">IFERROR(F69/O69,0)</f>
        <v>4.314662924107548</v>
      </c>
      <c r="Q69" s="128" t="str">
        <f t="shared" ref="Q69:Q132" si="23">IF(N69&gt;=Umbral_PUSH_pct,IF(M69&gt;=Umbral_PUSH_eur,"PUSH","NEUTRAL"),IF(N69&gt;=Umbral_NEUTRAL_pct,"NEUTRAL",IF(N69&gt;=Umbral_WATCH_pct,"WATCH","NO ANUNCIAR")))</f>
        <v>NEUTRAL</v>
      </c>
    </row>
    <row r="70" spans="1:17" x14ac:dyDescent="0.2">
      <c r="A70" s="61" t="s">
        <v>125</v>
      </c>
      <c r="B70" s="61" t="s">
        <v>320</v>
      </c>
      <c r="C70" s="61" t="s">
        <v>321</v>
      </c>
      <c r="D70" s="63">
        <v>473</v>
      </c>
      <c r="E70" s="63">
        <v>750</v>
      </c>
      <c r="F70" s="63">
        <f t="shared" si="12"/>
        <v>907.5</v>
      </c>
      <c r="G70" s="63">
        <f t="shared" si="13"/>
        <v>277</v>
      </c>
      <c r="H70" s="129">
        <f t="shared" si="14"/>
        <v>0.36933333333333335</v>
      </c>
      <c r="I70" s="63">
        <f t="shared" si="15"/>
        <v>19.357500000000002</v>
      </c>
      <c r="J70" s="63">
        <f t="shared" si="16"/>
        <v>0</v>
      </c>
      <c r="K70" s="63">
        <f t="shared" si="17"/>
        <v>2</v>
      </c>
      <c r="L70" s="63">
        <f t="shared" si="18"/>
        <v>1.6</v>
      </c>
      <c r="M70" s="63">
        <f t="shared" si="19"/>
        <v>254.04249999999999</v>
      </c>
      <c r="N70" s="129">
        <f t="shared" si="20"/>
        <v>0.33872333333333332</v>
      </c>
      <c r="O70" s="63">
        <f t="shared" si="21"/>
        <v>254.04249999999999</v>
      </c>
      <c r="P70" s="130">
        <f t="shared" si="22"/>
        <v>3.5722369288603288</v>
      </c>
      <c r="Q70" s="131" t="str">
        <f t="shared" si="23"/>
        <v>PUSH</v>
      </c>
    </row>
    <row r="71" spans="1:17" x14ac:dyDescent="0.2">
      <c r="A71" s="55" t="s">
        <v>125</v>
      </c>
      <c r="B71" s="55" t="s">
        <v>323</v>
      </c>
      <c r="C71" s="55" t="s">
        <v>324</v>
      </c>
      <c r="D71" s="57">
        <v>612</v>
      </c>
      <c r="E71" s="57">
        <v>970</v>
      </c>
      <c r="F71" s="57">
        <f t="shared" si="12"/>
        <v>1173.7</v>
      </c>
      <c r="G71" s="57">
        <f t="shared" si="13"/>
        <v>358</v>
      </c>
      <c r="H71" s="126">
        <f t="shared" si="14"/>
        <v>0.36907216494845363</v>
      </c>
      <c r="I71" s="57">
        <f t="shared" si="15"/>
        <v>24.947700000000005</v>
      </c>
      <c r="J71" s="57">
        <f t="shared" si="16"/>
        <v>0</v>
      </c>
      <c r="K71" s="57">
        <f t="shared" si="17"/>
        <v>2</v>
      </c>
      <c r="L71" s="57">
        <f t="shared" si="18"/>
        <v>1.6</v>
      </c>
      <c r="M71" s="57">
        <f t="shared" si="19"/>
        <v>329.45229999999998</v>
      </c>
      <c r="N71" s="126">
        <f t="shared" si="20"/>
        <v>0.33964154639175254</v>
      </c>
      <c r="O71" s="57">
        <f t="shared" si="21"/>
        <v>329.45229999999998</v>
      </c>
      <c r="P71" s="127">
        <f t="shared" si="22"/>
        <v>3.5625794690156969</v>
      </c>
      <c r="Q71" s="128" t="str">
        <f t="shared" si="23"/>
        <v>PUSH</v>
      </c>
    </row>
    <row r="72" spans="1:17" x14ac:dyDescent="0.2">
      <c r="A72" s="61" t="s">
        <v>125</v>
      </c>
      <c r="B72" s="61" t="s">
        <v>326</v>
      </c>
      <c r="C72" s="61" t="s">
        <v>327</v>
      </c>
      <c r="D72" s="63">
        <v>1320</v>
      </c>
      <c r="E72" s="63">
        <v>2095</v>
      </c>
      <c r="F72" s="63">
        <f t="shared" si="12"/>
        <v>2534.9499999999998</v>
      </c>
      <c r="G72" s="63">
        <f t="shared" si="13"/>
        <v>775</v>
      </c>
      <c r="H72" s="129">
        <f t="shared" si="14"/>
        <v>0.36992840095465396</v>
      </c>
      <c r="I72" s="63">
        <f t="shared" si="15"/>
        <v>53.533949999999997</v>
      </c>
      <c r="J72" s="63">
        <f t="shared" si="16"/>
        <v>0</v>
      </c>
      <c r="K72" s="63">
        <f t="shared" si="17"/>
        <v>2</v>
      </c>
      <c r="L72" s="63">
        <f t="shared" si="18"/>
        <v>1.6</v>
      </c>
      <c r="M72" s="63">
        <f t="shared" si="19"/>
        <v>717.86604999999997</v>
      </c>
      <c r="N72" s="129">
        <f t="shared" si="20"/>
        <v>0.34265682577565632</v>
      </c>
      <c r="O72" s="63">
        <f t="shared" si="21"/>
        <v>717.86604999999997</v>
      </c>
      <c r="P72" s="130">
        <f t="shared" si="22"/>
        <v>3.5312298164817792</v>
      </c>
      <c r="Q72" s="131" t="str">
        <f t="shared" si="23"/>
        <v>PUSH</v>
      </c>
    </row>
    <row r="73" spans="1:17" x14ac:dyDescent="0.2">
      <c r="A73" s="55" t="s">
        <v>125</v>
      </c>
      <c r="B73" s="55" t="s">
        <v>329</v>
      </c>
      <c r="C73" s="55" t="s">
        <v>330</v>
      </c>
      <c r="D73" s="57">
        <v>1509</v>
      </c>
      <c r="E73" s="57">
        <v>2395</v>
      </c>
      <c r="F73" s="57">
        <f t="shared" si="12"/>
        <v>2897.95</v>
      </c>
      <c r="G73" s="57">
        <f t="shared" si="13"/>
        <v>886</v>
      </c>
      <c r="H73" s="126">
        <f t="shared" si="14"/>
        <v>0.36993736951983297</v>
      </c>
      <c r="I73" s="57">
        <f t="shared" si="15"/>
        <v>61.156949999999995</v>
      </c>
      <c r="J73" s="57">
        <f t="shared" si="16"/>
        <v>0</v>
      </c>
      <c r="K73" s="57">
        <f t="shared" si="17"/>
        <v>2</v>
      </c>
      <c r="L73" s="57">
        <f t="shared" si="18"/>
        <v>1.6</v>
      </c>
      <c r="M73" s="57">
        <f t="shared" si="19"/>
        <v>821.24304999999993</v>
      </c>
      <c r="N73" s="126">
        <f t="shared" si="20"/>
        <v>0.34289897703549055</v>
      </c>
      <c r="O73" s="57">
        <f t="shared" si="21"/>
        <v>821.24304999999993</v>
      </c>
      <c r="P73" s="127">
        <f t="shared" si="22"/>
        <v>3.5287361031548459</v>
      </c>
      <c r="Q73" s="128" t="str">
        <f t="shared" si="23"/>
        <v>PUSH</v>
      </c>
    </row>
    <row r="74" spans="1:17" x14ac:dyDescent="0.2">
      <c r="A74" s="61" t="s">
        <v>125</v>
      </c>
      <c r="B74" s="61" t="s">
        <v>332</v>
      </c>
      <c r="C74" s="61" t="s">
        <v>333</v>
      </c>
      <c r="D74" s="63">
        <v>303</v>
      </c>
      <c r="E74" s="63">
        <v>480</v>
      </c>
      <c r="F74" s="63">
        <f t="shared" si="12"/>
        <v>580.79999999999995</v>
      </c>
      <c r="G74" s="63">
        <f t="shared" si="13"/>
        <v>177</v>
      </c>
      <c r="H74" s="129">
        <f t="shared" si="14"/>
        <v>0.36875000000000002</v>
      </c>
      <c r="I74" s="63">
        <f t="shared" si="15"/>
        <v>12.4968</v>
      </c>
      <c r="J74" s="63">
        <f t="shared" si="16"/>
        <v>30</v>
      </c>
      <c r="K74" s="63">
        <f t="shared" si="17"/>
        <v>2</v>
      </c>
      <c r="L74" s="63">
        <f t="shared" si="18"/>
        <v>1.6</v>
      </c>
      <c r="M74" s="63">
        <f t="shared" si="19"/>
        <v>130.9032</v>
      </c>
      <c r="N74" s="129">
        <f t="shared" si="20"/>
        <v>0.27271499999999999</v>
      </c>
      <c r="O74" s="63">
        <f t="shared" si="21"/>
        <v>130.9032</v>
      </c>
      <c r="P74" s="130">
        <f t="shared" si="22"/>
        <v>4.4368663256513203</v>
      </c>
      <c r="Q74" s="131" t="str">
        <f t="shared" si="23"/>
        <v>NEUTRAL</v>
      </c>
    </row>
    <row r="75" spans="1:17" x14ac:dyDescent="0.2">
      <c r="A75" s="55" t="s">
        <v>125</v>
      </c>
      <c r="B75" s="55" t="s">
        <v>335</v>
      </c>
      <c r="C75" s="55" t="s">
        <v>336</v>
      </c>
      <c r="D75" s="57">
        <v>473</v>
      </c>
      <c r="E75" s="57">
        <v>750</v>
      </c>
      <c r="F75" s="57">
        <f t="shared" si="12"/>
        <v>907.5</v>
      </c>
      <c r="G75" s="57">
        <f t="shared" si="13"/>
        <v>277</v>
      </c>
      <c r="H75" s="126">
        <f t="shared" si="14"/>
        <v>0.36933333333333335</v>
      </c>
      <c r="I75" s="57">
        <f t="shared" si="15"/>
        <v>19.357500000000002</v>
      </c>
      <c r="J75" s="57">
        <f t="shared" si="16"/>
        <v>0</v>
      </c>
      <c r="K75" s="57">
        <f t="shared" si="17"/>
        <v>2</v>
      </c>
      <c r="L75" s="57">
        <f t="shared" si="18"/>
        <v>1.6</v>
      </c>
      <c r="M75" s="57">
        <f t="shared" si="19"/>
        <v>254.04249999999999</v>
      </c>
      <c r="N75" s="126">
        <f t="shared" si="20"/>
        <v>0.33872333333333332</v>
      </c>
      <c r="O75" s="57">
        <f t="shared" si="21"/>
        <v>254.04249999999999</v>
      </c>
      <c r="P75" s="127">
        <f t="shared" si="22"/>
        <v>3.5722369288603288</v>
      </c>
      <c r="Q75" s="128" t="str">
        <f t="shared" si="23"/>
        <v>PUSH</v>
      </c>
    </row>
    <row r="76" spans="1:17" x14ac:dyDescent="0.2">
      <c r="A76" s="61" t="s">
        <v>125</v>
      </c>
      <c r="B76" s="61" t="s">
        <v>338</v>
      </c>
      <c r="C76" s="61" t="s">
        <v>339</v>
      </c>
      <c r="D76" s="63">
        <v>612</v>
      </c>
      <c r="E76" s="63">
        <v>970</v>
      </c>
      <c r="F76" s="63">
        <f t="shared" si="12"/>
        <v>1173.7</v>
      </c>
      <c r="G76" s="63">
        <f t="shared" si="13"/>
        <v>358</v>
      </c>
      <c r="H76" s="129">
        <f t="shared" si="14"/>
        <v>0.36907216494845363</v>
      </c>
      <c r="I76" s="63">
        <f t="shared" si="15"/>
        <v>24.947700000000005</v>
      </c>
      <c r="J76" s="63">
        <f t="shared" si="16"/>
        <v>0</v>
      </c>
      <c r="K76" s="63">
        <f t="shared" si="17"/>
        <v>2</v>
      </c>
      <c r="L76" s="63">
        <f t="shared" si="18"/>
        <v>1.6</v>
      </c>
      <c r="M76" s="63">
        <f t="shared" si="19"/>
        <v>329.45229999999998</v>
      </c>
      <c r="N76" s="129">
        <f t="shared" si="20"/>
        <v>0.33964154639175254</v>
      </c>
      <c r="O76" s="63">
        <f t="shared" si="21"/>
        <v>329.45229999999998</v>
      </c>
      <c r="P76" s="130">
        <f t="shared" si="22"/>
        <v>3.5625794690156969</v>
      </c>
      <c r="Q76" s="131" t="str">
        <f t="shared" si="23"/>
        <v>PUSH</v>
      </c>
    </row>
    <row r="77" spans="1:17" x14ac:dyDescent="0.2">
      <c r="A77" s="55" t="s">
        <v>125</v>
      </c>
      <c r="B77" s="55" t="s">
        <v>341</v>
      </c>
      <c r="C77" s="55" t="s">
        <v>342</v>
      </c>
      <c r="D77" s="57">
        <v>1251</v>
      </c>
      <c r="E77" s="57">
        <v>1985</v>
      </c>
      <c r="F77" s="57">
        <f t="shared" si="12"/>
        <v>2401.85</v>
      </c>
      <c r="G77" s="57">
        <f t="shared" si="13"/>
        <v>734</v>
      </c>
      <c r="H77" s="126">
        <f t="shared" si="14"/>
        <v>0.36977329974811085</v>
      </c>
      <c r="I77" s="57">
        <f t="shared" si="15"/>
        <v>50.738849999999999</v>
      </c>
      <c r="J77" s="57">
        <f t="shared" si="16"/>
        <v>0</v>
      </c>
      <c r="K77" s="57">
        <f t="shared" si="17"/>
        <v>2</v>
      </c>
      <c r="L77" s="57">
        <f t="shared" si="18"/>
        <v>1.6</v>
      </c>
      <c r="M77" s="57">
        <f t="shared" si="19"/>
        <v>679.66115000000002</v>
      </c>
      <c r="N77" s="126">
        <f t="shared" si="20"/>
        <v>0.34239856423173803</v>
      </c>
      <c r="O77" s="57">
        <f t="shared" si="21"/>
        <v>679.66115000000002</v>
      </c>
      <c r="P77" s="127">
        <f t="shared" si="22"/>
        <v>3.5338933231655214</v>
      </c>
      <c r="Q77" s="128" t="str">
        <f t="shared" si="23"/>
        <v>PUSH</v>
      </c>
    </row>
    <row r="78" spans="1:17" x14ac:dyDescent="0.2">
      <c r="A78" s="61" t="s">
        <v>125</v>
      </c>
      <c r="B78" s="61" t="s">
        <v>344</v>
      </c>
      <c r="C78" s="61" t="s">
        <v>345</v>
      </c>
      <c r="D78" s="63">
        <v>1446</v>
      </c>
      <c r="E78" s="63">
        <v>2295</v>
      </c>
      <c r="F78" s="63">
        <f t="shared" si="12"/>
        <v>2776.95</v>
      </c>
      <c r="G78" s="63">
        <f t="shared" si="13"/>
        <v>849</v>
      </c>
      <c r="H78" s="129">
        <f t="shared" si="14"/>
        <v>0.36993464052287583</v>
      </c>
      <c r="I78" s="63">
        <f t="shared" si="15"/>
        <v>58.615949999999998</v>
      </c>
      <c r="J78" s="63">
        <f t="shared" si="16"/>
        <v>0</v>
      </c>
      <c r="K78" s="63">
        <f t="shared" si="17"/>
        <v>2</v>
      </c>
      <c r="L78" s="63">
        <f t="shared" si="18"/>
        <v>1.6</v>
      </c>
      <c r="M78" s="63">
        <f t="shared" si="19"/>
        <v>786.78404999999998</v>
      </c>
      <c r="N78" s="129">
        <f t="shared" si="20"/>
        <v>0.34282529411764706</v>
      </c>
      <c r="O78" s="63">
        <f t="shared" si="21"/>
        <v>786.78404999999998</v>
      </c>
      <c r="P78" s="130">
        <f t="shared" si="22"/>
        <v>3.5294945290261031</v>
      </c>
      <c r="Q78" s="131" t="str">
        <f t="shared" si="23"/>
        <v>PUSH</v>
      </c>
    </row>
    <row r="79" spans="1:17" x14ac:dyDescent="0.2">
      <c r="A79" s="55" t="s">
        <v>125</v>
      </c>
      <c r="B79" s="55" t="s">
        <v>347</v>
      </c>
      <c r="C79" s="55" t="s">
        <v>348</v>
      </c>
      <c r="D79" s="57">
        <v>174</v>
      </c>
      <c r="E79" s="57">
        <v>275</v>
      </c>
      <c r="F79" s="57">
        <f t="shared" si="12"/>
        <v>332.75</v>
      </c>
      <c r="G79" s="57">
        <f t="shared" si="13"/>
        <v>101</v>
      </c>
      <c r="H79" s="126">
        <f t="shared" si="14"/>
        <v>0.36727272727272725</v>
      </c>
      <c r="I79" s="57">
        <f t="shared" si="15"/>
        <v>7.28775</v>
      </c>
      <c r="J79" s="57">
        <f t="shared" si="16"/>
        <v>30</v>
      </c>
      <c r="K79" s="57">
        <f t="shared" si="17"/>
        <v>2</v>
      </c>
      <c r="L79" s="57">
        <f t="shared" si="18"/>
        <v>1.6</v>
      </c>
      <c r="M79" s="57">
        <f t="shared" si="19"/>
        <v>60.112249999999996</v>
      </c>
      <c r="N79" s="126">
        <f t="shared" si="20"/>
        <v>0.21858999999999998</v>
      </c>
      <c r="O79" s="57">
        <f t="shared" si="21"/>
        <v>60.112249999999996</v>
      </c>
      <c r="P79" s="127">
        <f t="shared" si="22"/>
        <v>5.5354773777391468</v>
      </c>
      <c r="Q79" s="128" t="str">
        <f t="shared" si="23"/>
        <v>NEUTRAL</v>
      </c>
    </row>
    <row r="80" spans="1:17" x14ac:dyDescent="0.2">
      <c r="A80" s="61" t="s">
        <v>125</v>
      </c>
      <c r="B80" s="61" t="s">
        <v>155</v>
      </c>
      <c r="C80" s="61" t="s">
        <v>349</v>
      </c>
      <c r="D80" s="63">
        <v>230</v>
      </c>
      <c r="E80" s="63">
        <v>365</v>
      </c>
      <c r="F80" s="63">
        <f t="shared" si="12"/>
        <v>441.65</v>
      </c>
      <c r="G80" s="63">
        <f t="shared" si="13"/>
        <v>135</v>
      </c>
      <c r="H80" s="129">
        <f t="shared" si="14"/>
        <v>0.36986301369863012</v>
      </c>
      <c r="I80" s="63">
        <f t="shared" si="15"/>
        <v>9.5746500000000001</v>
      </c>
      <c r="J80" s="63">
        <f t="shared" si="16"/>
        <v>30</v>
      </c>
      <c r="K80" s="63">
        <f t="shared" si="17"/>
        <v>2</v>
      </c>
      <c r="L80" s="63">
        <f t="shared" si="18"/>
        <v>1.6</v>
      </c>
      <c r="M80" s="63">
        <f t="shared" si="19"/>
        <v>91.82535</v>
      </c>
      <c r="N80" s="129">
        <f t="shared" si="20"/>
        <v>0.25157630136986303</v>
      </c>
      <c r="O80" s="63">
        <f t="shared" si="21"/>
        <v>91.82535</v>
      </c>
      <c r="P80" s="130">
        <f t="shared" si="22"/>
        <v>4.809674017033422</v>
      </c>
      <c r="Q80" s="131" t="str">
        <f t="shared" si="23"/>
        <v>NEUTRAL</v>
      </c>
    </row>
    <row r="81" spans="1:17" x14ac:dyDescent="0.2">
      <c r="A81" s="55" t="s">
        <v>125</v>
      </c>
      <c r="B81" s="55" t="s">
        <v>351</v>
      </c>
      <c r="C81" s="55" t="s">
        <v>352</v>
      </c>
      <c r="D81" s="57">
        <v>290</v>
      </c>
      <c r="E81" s="57">
        <v>460</v>
      </c>
      <c r="F81" s="57">
        <f t="shared" si="12"/>
        <v>556.6</v>
      </c>
      <c r="G81" s="57">
        <f t="shared" si="13"/>
        <v>170</v>
      </c>
      <c r="H81" s="126">
        <f t="shared" si="14"/>
        <v>0.36956521739130432</v>
      </c>
      <c r="I81" s="57">
        <f t="shared" si="15"/>
        <v>11.988600000000002</v>
      </c>
      <c r="J81" s="57">
        <f t="shared" si="16"/>
        <v>30</v>
      </c>
      <c r="K81" s="57">
        <f t="shared" si="17"/>
        <v>2</v>
      </c>
      <c r="L81" s="57">
        <f t="shared" si="18"/>
        <v>1.6</v>
      </c>
      <c r="M81" s="57">
        <f t="shared" si="19"/>
        <v>124.41140000000001</v>
      </c>
      <c r="N81" s="126">
        <f t="shared" si="20"/>
        <v>0.27045956521739134</v>
      </c>
      <c r="O81" s="57">
        <f t="shared" si="21"/>
        <v>124.41140000000001</v>
      </c>
      <c r="P81" s="127">
        <f t="shared" si="22"/>
        <v>4.4738665427766264</v>
      </c>
      <c r="Q81" s="128" t="str">
        <f t="shared" si="23"/>
        <v>NEUTRAL</v>
      </c>
    </row>
    <row r="82" spans="1:17" x14ac:dyDescent="0.2">
      <c r="A82" s="61" t="s">
        <v>125</v>
      </c>
      <c r="B82" s="61" t="s">
        <v>354</v>
      </c>
      <c r="C82" s="61" t="s">
        <v>355</v>
      </c>
      <c r="D82" s="63">
        <v>473</v>
      </c>
      <c r="E82" s="63">
        <v>750</v>
      </c>
      <c r="F82" s="63">
        <f t="shared" si="12"/>
        <v>907.5</v>
      </c>
      <c r="G82" s="63">
        <f t="shared" si="13"/>
        <v>277</v>
      </c>
      <c r="H82" s="129">
        <f t="shared" si="14"/>
        <v>0.36933333333333335</v>
      </c>
      <c r="I82" s="63">
        <f t="shared" si="15"/>
        <v>19.357500000000002</v>
      </c>
      <c r="J82" s="63">
        <f t="shared" si="16"/>
        <v>0</v>
      </c>
      <c r="K82" s="63">
        <f t="shared" si="17"/>
        <v>2</v>
      </c>
      <c r="L82" s="63">
        <f t="shared" si="18"/>
        <v>1.6</v>
      </c>
      <c r="M82" s="63">
        <f t="shared" si="19"/>
        <v>254.04249999999999</v>
      </c>
      <c r="N82" s="129">
        <f t="shared" si="20"/>
        <v>0.33872333333333332</v>
      </c>
      <c r="O82" s="63">
        <f t="shared" si="21"/>
        <v>254.04249999999999</v>
      </c>
      <c r="P82" s="130">
        <f t="shared" si="22"/>
        <v>3.5722369288603288</v>
      </c>
      <c r="Q82" s="131" t="str">
        <f t="shared" si="23"/>
        <v>PUSH</v>
      </c>
    </row>
    <row r="83" spans="1:17" x14ac:dyDescent="0.2">
      <c r="A83" s="55" t="s">
        <v>125</v>
      </c>
      <c r="B83" s="55" t="s">
        <v>357</v>
      </c>
      <c r="C83" s="55" t="s">
        <v>358</v>
      </c>
      <c r="D83" s="57">
        <v>624</v>
      </c>
      <c r="E83" s="57">
        <v>990</v>
      </c>
      <c r="F83" s="57">
        <f t="shared" si="12"/>
        <v>1197.8999999999999</v>
      </c>
      <c r="G83" s="57">
        <f t="shared" si="13"/>
        <v>366</v>
      </c>
      <c r="H83" s="126">
        <f t="shared" si="14"/>
        <v>0.36969696969696969</v>
      </c>
      <c r="I83" s="57">
        <f t="shared" si="15"/>
        <v>25.4559</v>
      </c>
      <c r="J83" s="57">
        <f t="shared" si="16"/>
        <v>0</v>
      </c>
      <c r="K83" s="57">
        <f t="shared" si="17"/>
        <v>2</v>
      </c>
      <c r="L83" s="57">
        <f t="shared" si="18"/>
        <v>1.6</v>
      </c>
      <c r="M83" s="57">
        <f t="shared" si="19"/>
        <v>336.94409999999999</v>
      </c>
      <c r="N83" s="126">
        <f t="shared" si="20"/>
        <v>0.34034757575757574</v>
      </c>
      <c r="O83" s="57">
        <f t="shared" si="21"/>
        <v>336.94409999999999</v>
      </c>
      <c r="P83" s="127">
        <f t="shared" si="22"/>
        <v>3.5551891248429635</v>
      </c>
      <c r="Q83" s="128" t="str">
        <f t="shared" si="23"/>
        <v>PUSH</v>
      </c>
    </row>
    <row r="84" spans="1:17" x14ac:dyDescent="0.2">
      <c r="A84" s="61" t="s">
        <v>125</v>
      </c>
      <c r="B84" s="61" t="s">
        <v>360</v>
      </c>
      <c r="C84" s="61" t="s">
        <v>361</v>
      </c>
      <c r="D84" s="63">
        <v>1226</v>
      </c>
      <c r="E84" s="63">
        <v>1945</v>
      </c>
      <c r="F84" s="63">
        <f t="shared" si="12"/>
        <v>2353.4499999999998</v>
      </c>
      <c r="G84" s="63">
        <f t="shared" si="13"/>
        <v>719</v>
      </c>
      <c r="H84" s="129">
        <f t="shared" si="14"/>
        <v>0.36966580976863755</v>
      </c>
      <c r="I84" s="63">
        <f t="shared" si="15"/>
        <v>49.722449999999995</v>
      </c>
      <c r="J84" s="63">
        <f t="shared" si="16"/>
        <v>0</v>
      </c>
      <c r="K84" s="63">
        <f t="shared" si="17"/>
        <v>2</v>
      </c>
      <c r="L84" s="63">
        <f t="shared" si="18"/>
        <v>1.6</v>
      </c>
      <c r="M84" s="63">
        <f t="shared" si="19"/>
        <v>665.67755</v>
      </c>
      <c r="N84" s="129">
        <f t="shared" si="20"/>
        <v>0.3422506683804627</v>
      </c>
      <c r="O84" s="63">
        <f t="shared" si="21"/>
        <v>665.67755</v>
      </c>
      <c r="P84" s="130">
        <f t="shared" si="22"/>
        <v>3.5354204148840527</v>
      </c>
      <c r="Q84" s="131" t="str">
        <f t="shared" si="23"/>
        <v>PUSH</v>
      </c>
    </row>
    <row r="85" spans="1:17" x14ac:dyDescent="0.2">
      <c r="A85" s="55" t="s">
        <v>125</v>
      </c>
      <c r="B85" s="55" t="s">
        <v>363</v>
      </c>
      <c r="C85" s="55" t="s">
        <v>364</v>
      </c>
      <c r="D85" s="57">
        <v>1434</v>
      </c>
      <c r="E85" s="57">
        <v>2275</v>
      </c>
      <c r="F85" s="57">
        <f t="shared" si="12"/>
        <v>2752.75</v>
      </c>
      <c r="G85" s="57">
        <f t="shared" si="13"/>
        <v>841</v>
      </c>
      <c r="H85" s="126">
        <f t="shared" si="14"/>
        <v>0.36967032967032964</v>
      </c>
      <c r="I85" s="57">
        <f t="shared" si="15"/>
        <v>58.107750000000003</v>
      </c>
      <c r="J85" s="57">
        <f t="shared" si="16"/>
        <v>0</v>
      </c>
      <c r="K85" s="57">
        <f t="shared" si="17"/>
        <v>2</v>
      </c>
      <c r="L85" s="57">
        <f t="shared" si="18"/>
        <v>1.6</v>
      </c>
      <c r="M85" s="57">
        <f t="shared" si="19"/>
        <v>779.29224999999997</v>
      </c>
      <c r="N85" s="126">
        <f t="shared" si="20"/>
        <v>0.34254604395604393</v>
      </c>
      <c r="O85" s="57">
        <f t="shared" si="21"/>
        <v>779.29224999999997</v>
      </c>
      <c r="P85" s="127">
        <f t="shared" si="22"/>
        <v>3.5323718412444114</v>
      </c>
      <c r="Q85" s="128" t="str">
        <f t="shared" si="23"/>
        <v>PUSH</v>
      </c>
    </row>
    <row r="86" spans="1:17" x14ac:dyDescent="0.2">
      <c r="A86" s="61" t="s">
        <v>125</v>
      </c>
      <c r="B86" s="61" t="s">
        <v>366</v>
      </c>
      <c r="C86" s="61" t="s">
        <v>367</v>
      </c>
      <c r="D86" s="63">
        <v>306</v>
      </c>
      <c r="E86" s="63">
        <v>485</v>
      </c>
      <c r="F86" s="63">
        <f t="shared" si="12"/>
        <v>586.85</v>
      </c>
      <c r="G86" s="63">
        <f t="shared" si="13"/>
        <v>179</v>
      </c>
      <c r="H86" s="129">
        <f t="shared" si="14"/>
        <v>0.36907216494845363</v>
      </c>
      <c r="I86" s="63">
        <f t="shared" si="15"/>
        <v>12.623850000000003</v>
      </c>
      <c r="J86" s="63">
        <f t="shared" si="16"/>
        <v>30</v>
      </c>
      <c r="K86" s="63">
        <f t="shared" si="17"/>
        <v>2</v>
      </c>
      <c r="L86" s="63">
        <f t="shared" si="18"/>
        <v>1.6</v>
      </c>
      <c r="M86" s="63">
        <f t="shared" si="19"/>
        <v>132.77615</v>
      </c>
      <c r="N86" s="129">
        <f t="shared" si="20"/>
        <v>0.27376525773195876</v>
      </c>
      <c r="O86" s="63">
        <f t="shared" si="21"/>
        <v>132.77615</v>
      </c>
      <c r="P86" s="130">
        <f t="shared" si="22"/>
        <v>4.4198449796895005</v>
      </c>
      <c r="Q86" s="131" t="str">
        <f t="shared" si="23"/>
        <v>NEUTRAL</v>
      </c>
    </row>
    <row r="87" spans="1:17" x14ac:dyDescent="0.2">
      <c r="A87" s="55" t="s">
        <v>125</v>
      </c>
      <c r="B87" s="55" t="s">
        <v>369</v>
      </c>
      <c r="C87" s="55" t="s">
        <v>370</v>
      </c>
      <c r="D87" s="57">
        <v>438</v>
      </c>
      <c r="E87" s="57">
        <v>695</v>
      </c>
      <c r="F87" s="57">
        <f t="shared" si="12"/>
        <v>840.94999999999993</v>
      </c>
      <c r="G87" s="57">
        <f t="shared" si="13"/>
        <v>257</v>
      </c>
      <c r="H87" s="126">
        <f t="shared" si="14"/>
        <v>0.36978417266187052</v>
      </c>
      <c r="I87" s="57">
        <f t="shared" si="15"/>
        <v>17.959949999999999</v>
      </c>
      <c r="J87" s="57">
        <f t="shared" si="16"/>
        <v>30</v>
      </c>
      <c r="K87" s="57">
        <f t="shared" si="17"/>
        <v>2</v>
      </c>
      <c r="L87" s="57">
        <f t="shared" si="18"/>
        <v>1.6</v>
      </c>
      <c r="M87" s="57">
        <f t="shared" si="19"/>
        <v>205.44005000000001</v>
      </c>
      <c r="N87" s="126">
        <f t="shared" si="20"/>
        <v>0.29559719424460434</v>
      </c>
      <c r="O87" s="57">
        <f t="shared" si="21"/>
        <v>205.44005000000001</v>
      </c>
      <c r="P87" s="127">
        <f t="shared" si="22"/>
        <v>4.093408271658812</v>
      </c>
      <c r="Q87" s="128" t="str">
        <f t="shared" si="23"/>
        <v>NEUTRAL</v>
      </c>
    </row>
    <row r="88" spans="1:17" x14ac:dyDescent="0.2">
      <c r="A88" s="61" t="s">
        <v>125</v>
      </c>
      <c r="B88" s="61" t="s">
        <v>372</v>
      </c>
      <c r="C88" s="61" t="s">
        <v>373</v>
      </c>
      <c r="D88" s="63">
        <v>599</v>
      </c>
      <c r="E88" s="63">
        <v>950</v>
      </c>
      <c r="F88" s="63">
        <f t="shared" si="12"/>
        <v>1149.5</v>
      </c>
      <c r="G88" s="63">
        <f t="shared" si="13"/>
        <v>351</v>
      </c>
      <c r="H88" s="129">
        <f t="shared" si="14"/>
        <v>0.36947368421052634</v>
      </c>
      <c r="I88" s="63">
        <f t="shared" si="15"/>
        <v>24.439500000000002</v>
      </c>
      <c r="J88" s="63">
        <f t="shared" si="16"/>
        <v>0</v>
      </c>
      <c r="K88" s="63">
        <f t="shared" si="17"/>
        <v>2</v>
      </c>
      <c r="L88" s="63">
        <f t="shared" si="18"/>
        <v>1.6</v>
      </c>
      <c r="M88" s="63">
        <f t="shared" si="19"/>
        <v>322.96049999999997</v>
      </c>
      <c r="N88" s="129">
        <f t="shared" si="20"/>
        <v>0.33995842105263152</v>
      </c>
      <c r="O88" s="63">
        <f t="shared" si="21"/>
        <v>322.96049999999997</v>
      </c>
      <c r="P88" s="130">
        <f t="shared" si="22"/>
        <v>3.5592587948061762</v>
      </c>
      <c r="Q88" s="131" t="str">
        <f t="shared" si="23"/>
        <v>PUSH</v>
      </c>
    </row>
    <row r="89" spans="1:17" x14ac:dyDescent="0.2">
      <c r="A89" s="55" t="s">
        <v>125</v>
      </c>
      <c r="B89" s="55" t="s">
        <v>375</v>
      </c>
      <c r="C89" s="55" t="s">
        <v>376</v>
      </c>
      <c r="D89" s="57">
        <v>174</v>
      </c>
      <c r="E89" s="57">
        <v>275</v>
      </c>
      <c r="F89" s="57">
        <f t="shared" si="12"/>
        <v>332.75</v>
      </c>
      <c r="G89" s="57">
        <f t="shared" si="13"/>
        <v>101</v>
      </c>
      <c r="H89" s="126">
        <f t="shared" si="14"/>
        <v>0.36727272727272725</v>
      </c>
      <c r="I89" s="57">
        <f t="shared" si="15"/>
        <v>7.28775</v>
      </c>
      <c r="J89" s="57">
        <f t="shared" si="16"/>
        <v>30</v>
      </c>
      <c r="K89" s="57">
        <f t="shared" si="17"/>
        <v>2</v>
      </c>
      <c r="L89" s="57">
        <f t="shared" si="18"/>
        <v>1.6</v>
      </c>
      <c r="M89" s="57">
        <f t="shared" si="19"/>
        <v>60.112249999999996</v>
      </c>
      <c r="N89" s="126">
        <f t="shared" si="20"/>
        <v>0.21858999999999998</v>
      </c>
      <c r="O89" s="57">
        <f t="shared" si="21"/>
        <v>60.112249999999996</v>
      </c>
      <c r="P89" s="127">
        <f t="shared" si="22"/>
        <v>5.5354773777391468</v>
      </c>
      <c r="Q89" s="128" t="str">
        <f t="shared" si="23"/>
        <v>NEUTRAL</v>
      </c>
    </row>
    <row r="90" spans="1:17" x14ac:dyDescent="0.2">
      <c r="A90" s="61" t="s">
        <v>125</v>
      </c>
      <c r="B90" s="61" t="s">
        <v>378</v>
      </c>
      <c r="C90" s="61" t="s">
        <v>379</v>
      </c>
      <c r="D90" s="63">
        <v>230</v>
      </c>
      <c r="E90" s="63">
        <v>365</v>
      </c>
      <c r="F90" s="63">
        <f t="shared" si="12"/>
        <v>441.65</v>
      </c>
      <c r="G90" s="63">
        <f t="shared" si="13"/>
        <v>135</v>
      </c>
      <c r="H90" s="129">
        <f t="shared" si="14"/>
        <v>0.36986301369863012</v>
      </c>
      <c r="I90" s="63">
        <f t="shared" si="15"/>
        <v>9.5746500000000001</v>
      </c>
      <c r="J90" s="63">
        <f t="shared" si="16"/>
        <v>30</v>
      </c>
      <c r="K90" s="63">
        <f t="shared" si="17"/>
        <v>2</v>
      </c>
      <c r="L90" s="63">
        <f t="shared" si="18"/>
        <v>1.6</v>
      </c>
      <c r="M90" s="63">
        <f t="shared" si="19"/>
        <v>91.82535</v>
      </c>
      <c r="N90" s="129">
        <f t="shared" si="20"/>
        <v>0.25157630136986303</v>
      </c>
      <c r="O90" s="63">
        <f t="shared" si="21"/>
        <v>91.82535</v>
      </c>
      <c r="P90" s="130">
        <f t="shared" si="22"/>
        <v>4.809674017033422</v>
      </c>
      <c r="Q90" s="131" t="str">
        <f t="shared" si="23"/>
        <v>NEUTRAL</v>
      </c>
    </row>
    <row r="91" spans="1:17" x14ac:dyDescent="0.2">
      <c r="A91" s="55" t="s">
        <v>125</v>
      </c>
      <c r="B91" s="55" t="s">
        <v>381</v>
      </c>
      <c r="C91" s="55" t="s">
        <v>382</v>
      </c>
      <c r="D91" s="57">
        <v>1223</v>
      </c>
      <c r="E91" s="57">
        <v>1940</v>
      </c>
      <c r="F91" s="57">
        <f t="shared" si="12"/>
        <v>2347.4</v>
      </c>
      <c r="G91" s="57">
        <f t="shared" si="13"/>
        <v>717</v>
      </c>
      <c r="H91" s="126">
        <f t="shared" si="14"/>
        <v>0.3695876288659794</v>
      </c>
      <c r="I91" s="57">
        <f t="shared" si="15"/>
        <v>49.595400000000005</v>
      </c>
      <c r="J91" s="57">
        <f t="shared" si="16"/>
        <v>0</v>
      </c>
      <c r="K91" s="57">
        <f t="shared" si="17"/>
        <v>2</v>
      </c>
      <c r="L91" s="57">
        <f t="shared" si="18"/>
        <v>1.6</v>
      </c>
      <c r="M91" s="57">
        <f t="shared" si="19"/>
        <v>663.80459999999994</v>
      </c>
      <c r="N91" s="126">
        <f t="shared" si="20"/>
        <v>0.34216731958762886</v>
      </c>
      <c r="O91" s="57">
        <f t="shared" si="21"/>
        <v>663.80459999999994</v>
      </c>
      <c r="P91" s="127">
        <f t="shared" si="22"/>
        <v>3.5362816105823915</v>
      </c>
      <c r="Q91" s="128" t="str">
        <f t="shared" si="23"/>
        <v>PUSH</v>
      </c>
    </row>
    <row r="92" spans="1:17" x14ac:dyDescent="0.2">
      <c r="A92" s="61" t="s">
        <v>125</v>
      </c>
      <c r="B92" s="61" t="s">
        <v>372</v>
      </c>
      <c r="C92" s="61" t="s">
        <v>383</v>
      </c>
      <c r="D92" s="63">
        <v>1440</v>
      </c>
      <c r="E92" s="63">
        <v>2285</v>
      </c>
      <c r="F92" s="63">
        <f t="shared" si="12"/>
        <v>2764.85</v>
      </c>
      <c r="G92" s="63">
        <f t="shared" si="13"/>
        <v>845</v>
      </c>
      <c r="H92" s="129">
        <f t="shared" si="14"/>
        <v>0.36980306345733044</v>
      </c>
      <c r="I92" s="63">
        <f t="shared" si="15"/>
        <v>58.361849999999997</v>
      </c>
      <c r="J92" s="63">
        <f t="shared" si="16"/>
        <v>0</v>
      </c>
      <c r="K92" s="63">
        <f t="shared" si="17"/>
        <v>2</v>
      </c>
      <c r="L92" s="63">
        <f t="shared" si="18"/>
        <v>1.6</v>
      </c>
      <c r="M92" s="63">
        <f t="shared" si="19"/>
        <v>783.03814999999997</v>
      </c>
      <c r="N92" s="129">
        <f t="shared" si="20"/>
        <v>0.34268628008752733</v>
      </c>
      <c r="O92" s="63">
        <f t="shared" si="21"/>
        <v>783.03814999999997</v>
      </c>
      <c r="P92" s="130">
        <f t="shared" si="22"/>
        <v>3.5309263028883073</v>
      </c>
      <c r="Q92" s="131" t="str">
        <f t="shared" si="23"/>
        <v>PUSH</v>
      </c>
    </row>
    <row r="93" spans="1:17" x14ac:dyDescent="0.2">
      <c r="A93" s="55" t="s">
        <v>125</v>
      </c>
      <c r="B93" s="55" t="s">
        <v>385</v>
      </c>
      <c r="C93" s="55" t="s">
        <v>386</v>
      </c>
      <c r="D93" s="57">
        <v>1065</v>
      </c>
      <c r="E93" s="57">
        <v>1690</v>
      </c>
      <c r="F93" s="57">
        <f t="shared" si="12"/>
        <v>2044.8999999999999</v>
      </c>
      <c r="G93" s="57">
        <f t="shared" si="13"/>
        <v>625</v>
      </c>
      <c r="H93" s="126">
        <f t="shared" si="14"/>
        <v>0.36982248520710059</v>
      </c>
      <c r="I93" s="57">
        <f t="shared" si="15"/>
        <v>43.242899999999999</v>
      </c>
      <c r="J93" s="57">
        <f t="shared" si="16"/>
        <v>0</v>
      </c>
      <c r="K93" s="57">
        <f t="shared" si="17"/>
        <v>2</v>
      </c>
      <c r="L93" s="57">
        <f t="shared" si="18"/>
        <v>1.6</v>
      </c>
      <c r="M93" s="57">
        <f t="shared" si="19"/>
        <v>578.15710000000001</v>
      </c>
      <c r="N93" s="126">
        <f t="shared" si="20"/>
        <v>0.34210479289940832</v>
      </c>
      <c r="O93" s="57">
        <f t="shared" si="21"/>
        <v>578.15710000000001</v>
      </c>
      <c r="P93" s="127">
        <f t="shared" si="22"/>
        <v>3.5369279387903387</v>
      </c>
      <c r="Q93" s="128" t="str">
        <f t="shared" si="23"/>
        <v>PUSH</v>
      </c>
    </row>
    <row r="94" spans="1:17" x14ac:dyDescent="0.2">
      <c r="A94" s="61" t="s">
        <v>125</v>
      </c>
      <c r="B94" s="61" t="s">
        <v>388</v>
      </c>
      <c r="C94" s="61" t="s">
        <v>389</v>
      </c>
      <c r="D94" s="63">
        <v>243</v>
      </c>
      <c r="E94" s="63">
        <v>385</v>
      </c>
      <c r="F94" s="63">
        <f t="shared" si="12"/>
        <v>465.84999999999997</v>
      </c>
      <c r="G94" s="63">
        <f t="shared" si="13"/>
        <v>142</v>
      </c>
      <c r="H94" s="129">
        <f t="shared" si="14"/>
        <v>0.36883116883116884</v>
      </c>
      <c r="I94" s="63">
        <f t="shared" si="15"/>
        <v>10.082850000000001</v>
      </c>
      <c r="J94" s="63">
        <f t="shared" si="16"/>
        <v>30</v>
      </c>
      <c r="K94" s="63">
        <f t="shared" si="17"/>
        <v>2</v>
      </c>
      <c r="L94" s="63">
        <f t="shared" si="18"/>
        <v>1.6</v>
      </c>
      <c r="M94" s="63">
        <f t="shared" si="19"/>
        <v>98.317149999999998</v>
      </c>
      <c r="N94" s="129">
        <f t="shared" si="20"/>
        <v>0.25536922077922075</v>
      </c>
      <c r="O94" s="63">
        <f t="shared" si="21"/>
        <v>98.317149999999998</v>
      </c>
      <c r="P94" s="130">
        <f t="shared" si="22"/>
        <v>4.7382374285666335</v>
      </c>
      <c r="Q94" s="131" t="str">
        <f t="shared" si="23"/>
        <v>NEUTRAL</v>
      </c>
    </row>
    <row r="95" spans="1:17" x14ac:dyDescent="0.2">
      <c r="A95" s="55" t="s">
        <v>125</v>
      </c>
      <c r="B95" s="55" t="s">
        <v>391</v>
      </c>
      <c r="C95" s="55" t="s">
        <v>392</v>
      </c>
      <c r="D95" s="57">
        <v>372</v>
      </c>
      <c r="E95" s="57">
        <v>590</v>
      </c>
      <c r="F95" s="57">
        <f t="shared" si="12"/>
        <v>713.9</v>
      </c>
      <c r="G95" s="57">
        <f t="shared" si="13"/>
        <v>218</v>
      </c>
      <c r="H95" s="126">
        <f t="shared" si="14"/>
        <v>0.36949152542372882</v>
      </c>
      <c r="I95" s="57">
        <f t="shared" si="15"/>
        <v>15.291900000000002</v>
      </c>
      <c r="J95" s="57">
        <f t="shared" si="16"/>
        <v>30</v>
      </c>
      <c r="K95" s="57">
        <f t="shared" si="17"/>
        <v>2</v>
      </c>
      <c r="L95" s="57">
        <f t="shared" si="18"/>
        <v>1.6</v>
      </c>
      <c r="M95" s="57">
        <f t="shared" si="19"/>
        <v>169.10810000000001</v>
      </c>
      <c r="N95" s="126">
        <f t="shared" si="20"/>
        <v>0.28662389830508478</v>
      </c>
      <c r="O95" s="57">
        <f t="shared" si="21"/>
        <v>169.10810000000001</v>
      </c>
      <c r="P95" s="127">
        <f t="shared" si="22"/>
        <v>4.2215600553728647</v>
      </c>
      <c r="Q95" s="128" t="str">
        <f t="shared" si="23"/>
        <v>NEUTRAL</v>
      </c>
    </row>
    <row r="96" spans="1:17" x14ac:dyDescent="0.2">
      <c r="A96" s="61" t="s">
        <v>125</v>
      </c>
      <c r="B96" s="61" t="s">
        <v>394</v>
      </c>
      <c r="C96" s="61" t="s">
        <v>395</v>
      </c>
      <c r="D96" s="63">
        <v>536</v>
      </c>
      <c r="E96" s="63">
        <v>850</v>
      </c>
      <c r="F96" s="63">
        <f t="shared" si="12"/>
        <v>1028.5</v>
      </c>
      <c r="G96" s="63">
        <f t="shared" si="13"/>
        <v>314</v>
      </c>
      <c r="H96" s="129">
        <f t="shared" si="14"/>
        <v>0.36941176470588233</v>
      </c>
      <c r="I96" s="63">
        <f t="shared" si="15"/>
        <v>21.898500000000002</v>
      </c>
      <c r="J96" s="63">
        <f t="shared" si="16"/>
        <v>0</v>
      </c>
      <c r="K96" s="63">
        <f t="shared" si="17"/>
        <v>2</v>
      </c>
      <c r="L96" s="63">
        <f t="shared" si="18"/>
        <v>1.6</v>
      </c>
      <c r="M96" s="63">
        <f t="shared" si="19"/>
        <v>288.50149999999996</v>
      </c>
      <c r="N96" s="129">
        <f t="shared" si="20"/>
        <v>0.33941352941176467</v>
      </c>
      <c r="O96" s="63">
        <f t="shared" si="21"/>
        <v>288.50149999999996</v>
      </c>
      <c r="P96" s="130">
        <f t="shared" si="22"/>
        <v>3.5649727991015649</v>
      </c>
      <c r="Q96" s="131" t="str">
        <f t="shared" si="23"/>
        <v>PUSH</v>
      </c>
    </row>
    <row r="97" spans="1:17" x14ac:dyDescent="0.2">
      <c r="A97" s="55" t="s">
        <v>125</v>
      </c>
      <c r="B97" s="55" t="s">
        <v>397</v>
      </c>
      <c r="C97" s="55" t="s">
        <v>398</v>
      </c>
      <c r="D97" s="57">
        <v>1037</v>
      </c>
      <c r="E97" s="57">
        <v>1645</v>
      </c>
      <c r="F97" s="57">
        <f t="shared" si="12"/>
        <v>1990.45</v>
      </c>
      <c r="G97" s="57">
        <f t="shared" si="13"/>
        <v>608</v>
      </c>
      <c r="H97" s="126">
        <f t="shared" si="14"/>
        <v>0.36960486322188452</v>
      </c>
      <c r="I97" s="57">
        <f t="shared" si="15"/>
        <v>42.099449999999997</v>
      </c>
      <c r="J97" s="57">
        <f t="shared" si="16"/>
        <v>0</v>
      </c>
      <c r="K97" s="57">
        <f t="shared" si="17"/>
        <v>2</v>
      </c>
      <c r="L97" s="57">
        <f t="shared" si="18"/>
        <v>1.6</v>
      </c>
      <c r="M97" s="57">
        <f t="shared" si="19"/>
        <v>562.30054999999993</v>
      </c>
      <c r="N97" s="126">
        <f t="shared" si="20"/>
        <v>0.34182404255319143</v>
      </c>
      <c r="O97" s="57">
        <f t="shared" si="21"/>
        <v>562.30054999999993</v>
      </c>
      <c r="P97" s="127">
        <f t="shared" si="22"/>
        <v>3.5398329238696284</v>
      </c>
      <c r="Q97" s="128" t="str">
        <f t="shared" si="23"/>
        <v>PUSH</v>
      </c>
    </row>
    <row r="98" spans="1:17" x14ac:dyDescent="0.2">
      <c r="A98" s="61" t="s">
        <v>125</v>
      </c>
      <c r="B98" s="61" t="s">
        <v>400</v>
      </c>
      <c r="C98" s="61" t="s">
        <v>401</v>
      </c>
      <c r="D98" s="63">
        <v>1251</v>
      </c>
      <c r="E98" s="63">
        <v>1985</v>
      </c>
      <c r="F98" s="63">
        <f t="shared" si="12"/>
        <v>2401.85</v>
      </c>
      <c r="G98" s="63">
        <f t="shared" si="13"/>
        <v>734</v>
      </c>
      <c r="H98" s="129">
        <f t="shared" si="14"/>
        <v>0.36977329974811085</v>
      </c>
      <c r="I98" s="63">
        <f t="shared" si="15"/>
        <v>50.738849999999999</v>
      </c>
      <c r="J98" s="63">
        <f t="shared" si="16"/>
        <v>0</v>
      </c>
      <c r="K98" s="63">
        <f t="shared" si="17"/>
        <v>2</v>
      </c>
      <c r="L98" s="63">
        <f t="shared" si="18"/>
        <v>1.6</v>
      </c>
      <c r="M98" s="63">
        <f t="shared" si="19"/>
        <v>679.66115000000002</v>
      </c>
      <c r="N98" s="129">
        <f t="shared" si="20"/>
        <v>0.34239856423173803</v>
      </c>
      <c r="O98" s="63">
        <f t="shared" si="21"/>
        <v>679.66115000000002</v>
      </c>
      <c r="P98" s="130">
        <f t="shared" si="22"/>
        <v>3.5338933231655214</v>
      </c>
      <c r="Q98" s="131" t="str">
        <f t="shared" si="23"/>
        <v>PUSH</v>
      </c>
    </row>
    <row r="99" spans="1:17" x14ac:dyDescent="0.2">
      <c r="A99" s="55" t="s">
        <v>125</v>
      </c>
      <c r="B99" s="55" t="s">
        <v>403</v>
      </c>
      <c r="C99" s="55" t="s">
        <v>404</v>
      </c>
      <c r="D99" s="57">
        <v>1509</v>
      </c>
      <c r="E99" s="57">
        <v>2395</v>
      </c>
      <c r="F99" s="57">
        <f t="shared" si="12"/>
        <v>2897.95</v>
      </c>
      <c r="G99" s="57">
        <f t="shared" si="13"/>
        <v>886</v>
      </c>
      <c r="H99" s="126">
        <f t="shared" si="14"/>
        <v>0.36993736951983297</v>
      </c>
      <c r="I99" s="57">
        <f t="shared" si="15"/>
        <v>61.156949999999995</v>
      </c>
      <c r="J99" s="57">
        <f t="shared" si="16"/>
        <v>0</v>
      </c>
      <c r="K99" s="57">
        <f t="shared" si="17"/>
        <v>2</v>
      </c>
      <c r="L99" s="57">
        <f t="shared" si="18"/>
        <v>1.6</v>
      </c>
      <c r="M99" s="57">
        <f t="shared" si="19"/>
        <v>821.24304999999993</v>
      </c>
      <c r="N99" s="126">
        <f t="shared" si="20"/>
        <v>0.34289897703549055</v>
      </c>
      <c r="O99" s="57">
        <f t="shared" si="21"/>
        <v>821.24304999999993</v>
      </c>
      <c r="P99" s="127">
        <f t="shared" si="22"/>
        <v>3.5287361031548459</v>
      </c>
      <c r="Q99" s="128" t="str">
        <f t="shared" si="23"/>
        <v>PUSH</v>
      </c>
    </row>
    <row r="100" spans="1:17" x14ac:dyDescent="0.2">
      <c r="A100" s="61" t="s">
        <v>125</v>
      </c>
      <c r="B100" s="61" t="s">
        <v>406</v>
      </c>
      <c r="C100" s="61" t="s">
        <v>407</v>
      </c>
      <c r="D100" s="63">
        <v>1976</v>
      </c>
      <c r="E100" s="63">
        <v>3135</v>
      </c>
      <c r="F100" s="63">
        <f t="shared" si="12"/>
        <v>3793.35</v>
      </c>
      <c r="G100" s="63">
        <f t="shared" si="13"/>
        <v>1159</v>
      </c>
      <c r="H100" s="129">
        <f t="shared" si="14"/>
        <v>0.36969696969696969</v>
      </c>
      <c r="I100" s="63">
        <f t="shared" si="15"/>
        <v>79.960350000000005</v>
      </c>
      <c r="J100" s="63">
        <f t="shared" si="16"/>
        <v>0</v>
      </c>
      <c r="K100" s="63">
        <f t="shared" si="17"/>
        <v>2</v>
      </c>
      <c r="L100" s="63">
        <f t="shared" si="18"/>
        <v>1.6</v>
      </c>
      <c r="M100" s="63">
        <f t="shared" si="19"/>
        <v>1075.43965</v>
      </c>
      <c r="N100" s="129">
        <f t="shared" si="20"/>
        <v>0.34304295055821371</v>
      </c>
      <c r="O100" s="63">
        <f t="shared" si="21"/>
        <v>1075.43965</v>
      </c>
      <c r="P100" s="130">
        <f t="shared" si="22"/>
        <v>3.5272551091081676</v>
      </c>
      <c r="Q100" s="131" t="str">
        <f t="shared" si="23"/>
        <v>PUSH</v>
      </c>
    </row>
    <row r="101" spans="1:17" x14ac:dyDescent="0.2">
      <c r="A101" s="55" t="s">
        <v>125</v>
      </c>
      <c r="B101" s="55" t="s">
        <v>409</v>
      </c>
      <c r="C101" s="55" t="s">
        <v>410</v>
      </c>
      <c r="D101" s="57">
        <v>2199</v>
      </c>
      <c r="E101" s="57">
        <v>3490</v>
      </c>
      <c r="F101" s="57">
        <f t="shared" si="12"/>
        <v>4222.8999999999996</v>
      </c>
      <c r="G101" s="57">
        <f t="shared" si="13"/>
        <v>1291</v>
      </c>
      <c r="H101" s="126">
        <f t="shared" si="14"/>
        <v>0.36991404011461321</v>
      </c>
      <c r="I101" s="57">
        <f t="shared" si="15"/>
        <v>88.980899999999991</v>
      </c>
      <c r="J101" s="57">
        <f t="shared" si="16"/>
        <v>0</v>
      </c>
      <c r="K101" s="57">
        <f t="shared" si="17"/>
        <v>2</v>
      </c>
      <c r="L101" s="57">
        <f t="shared" si="18"/>
        <v>1.6</v>
      </c>
      <c r="M101" s="57">
        <f t="shared" si="19"/>
        <v>1198.4191000000001</v>
      </c>
      <c r="N101" s="126">
        <f t="shared" si="20"/>
        <v>0.34338656160458453</v>
      </c>
      <c r="O101" s="57">
        <f t="shared" si="21"/>
        <v>1198.4191000000001</v>
      </c>
      <c r="P101" s="127">
        <f t="shared" si="22"/>
        <v>3.5237255480991578</v>
      </c>
      <c r="Q101" s="128" t="str">
        <f t="shared" si="23"/>
        <v>PUSH</v>
      </c>
    </row>
    <row r="102" spans="1:17" x14ac:dyDescent="0.2">
      <c r="A102" s="61" t="s">
        <v>125</v>
      </c>
      <c r="B102" s="61" t="s">
        <v>412</v>
      </c>
      <c r="C102" s="61" t="s">
        <v>413</v>
      </c>
      <c r="D102" s="63">
        <v>1342</v>
      </c>
      <c r="E102" s="63">
        <v>2130</v>
      </c>
      <c r="F102" s="63">
        <f t="shared" si="12"/>
        <v>2577.2999999999997</v>
      </c>
      <c r="G102" s="63">
        <f t="shared" si="13"/>
        <v>788</v>
      </c>
      <c r="H102" s="129">
        <f t="shared" si="14"/>
        <v>0.36995305164319248</v>
      </c>
      <c r="I102" s="63">
        <f t="shared" si="15"/>
        <v>54.423299999999998</v>
      </c>
      <c r="J102" s="63">
        <f t="shared" si="16"/>
        <v>0</v>
      </c>
      <c r="K102" s="63">
        <f t="shared" si="17"/>
        <v>2</v>
      </c>
      <c r="L102" s="63">
        <f t="shared" si="18"/>
        <v>1.6</v>
      </c>
      <c r="M102" s="63">
        <f t="shared" si="19"/>
        <v>729.97669999999994</v>
      </c>
      <c r="N102" s="129">
        <f t="shared" si="20"/>
        <v>0.34271206572769952</v>
      </c>
      <c r="O102" s="63">
        <f t="shared" si="21"/>
        <v>729.97669999999994</v>
      </c>
      <c r="P102" s="130">
        <f t="shared" si="22"/>
        <v>3.5306606361545509</v>
      </c>
      <c r="Q102" s="131" t="str">
        <f t="shared" si="23"/>
        <v>PUSH</v>
      </c>
    </row>
    <row r="103" spans="1:17" x14ac:dyDescent="0.2">
      <c r="A103" s="55" t="s">
        <v>125</v>
      </c>
      <c r="B103" s="55" t="s">
        <v>415</v>
      </c>
      <c r="C103" s="55" t="s">
        <v>416</v>
      </c>
      <c r="D103" s="57">
        <v>1988</v>
      </c>
      <c r="E103" s="57">
        <v>3155</v>
      </c>
      <c r="F103" s="57">
        <f t="shared" si="12"/>
        <v>3817.5499999999997</v>
      </c>
      <c r="G103" s="57">
        <f t="shared" si="13"/>
        <v>1167</v>
      </c>
      <c r="H103" s="126">
        <f t="shared" si="14"/>
        <v>0.3698890649762282</v>
      </c>
      <c r="I103" s="57">
        <f t="shared" si="15"/>
        <v>80.468549999999993</v>
      </c>
      <c r="J103" s="57">
        <f t="shared" si="16"/>
        <v>0</v>
      </c>
      <c r="K103" s="57">
        <f t="shared" si="17"/>
        <v>2</v>
      </c>
      <c r="L103" s="57">
        <f t="shared" si="18"/>
        <v>1.6</v>
      </c>
      <c r="M103" s="57">
        <f t="shared" si="19"/>
        <v>1082.93145</v>
      </c>
      <c r="N103" s="126">
        <f t="shared" si="20"/>
        <v>0.34324293185419968</v>
      </c>
      <c r="O103" s="57">
        <f t="shared" si="21"/>
        <v>1082.93145</v>
      </c>
      <c r="P103" s="127">
        <f t="shared" si="22"/>
        <v>3.5252000484425858</v>
      </c>
      <c r="Q103" s="128" t="str">
        <f t="shared" si="23"/>
        <v>PUSH</v>
      </c>
    </row>
    <row r="104" spans="1:17" x14ac:dyDescent="0.2">
      <c r="A104" s="61" t="s">
        <v>125</v>
      </c>
      <c r="B104" s="61" t="s">
        <v>418</v>
      </c>
      <c r="C104" s="61" t="s">
        <v>419</v>
      </c>
      <c r="D104" s="63">
        <v>344</v>
      </c>
      <c r="E104" s="63">
        <v>545</v>
      </c>
      <c r="F104" s="63">
        <f t="shared" si="12"/>
        <v>659.44999999999993</v>
      </c>
      <c r="G104" s="63">
        <f t="shared" si="13"/>
        <v>201</v>
      </c>
      <c r="H104" s="129">
        <f t="shared" si="14"/>
        <v>0.3688073394495413</v>
      </c>
      <c r="I104" s="63">
        <f t="shared" si="15"/>
        <v>14.14845</v>
      </c>
      <c r="J104" s="63">
        <f t="shared" si="16"/>
        <v>30</v>
      </c>
      <c r="K104" s="63">
        <f t="shared" si="17"/>
        <v>2</v>
      </c>
      <c r="L104" s="63">
        <f t="shared" si="18"/>
        <v>1.6</v>
      </c>
      <c r="M104" s="63">
        <f t="shared" si="19"/>
        <v>153.25155000000001</v>
      </c>
      <c r="N104" s="129">
        <f t="shared" si="20"/>
        <v>0.28119550458715598</v>
      </c>
      <c r="O104" s="63">
        <f t="shared" si="21"/>
        <v>153.25155000000001</v>
      </c>
      <c r="P104" s="130">
        <f t="shared" si="22"/>
        <v>4.3030559886669977</v>
      </c>
      <c r="Q104" s="131" t="str">
        <f t="shared" si="23"/>
        <v>NEUTRAL</v>
      </c>
    </row>
    <row r="105" spans="1:17" x14ac:dyDescent="0.2">
      <c r="A105" s="55" t="s">
        <v>125</v>
      </c>
      <c r="B105" s="55" t="s">
        <v>420</v>
      </c>
      <c r="C105" s="55" t="s">
        <v>421</v>
      </c>
      <c r="D105" s="57">
        <v>375</v>
      </c>
      <c r="E105" s="57">
        <v>595</v>
      </c>
      <c r="F105" s="57">
        <f t="shared" si="12"/>
        <v>719.94999999999993</v>
      </c>
      <c r="G105" s="57">
        <f t="shared" si="13"/>
        <v>220</v>
      </c>
      <c r="H105" s="126">
        <f t="shared" si="14"/>
        <v>0.36974789915966388</v>
      </c>
      <c r="I105" s="57">
        <f t="shared" si="15"/>
        <v>15.418950000000001</v>
      </c>
      <c r="J105" s="57">
        <f t="shared" si="16"/>
        <v>30</v>
      </c>
      <c r="K105" s="57">
        <f t="shared" si="17"/>
        <v>2</v>
      </c>
      <c r="L105" s="57">
        <f t="shared" si="18"/>
        <v>1.6</v>
      </c>
      <c r="M105" s="57">
        <f t="shared" si="19"/>
        <v>170.98105000000001</v>
      </c>
      <c r="N105" s="126">
        <f t="shared" si="20"/>
        <v>0.28736310924369751</v>
      </c>
      <c r="O105" s="57">
        <f t="shared" si="21"/>
        <v>170.98105000000001</v>
      </c>
      <c r="P105" s="127">
        <f t="shared" si="22"/>
        <v>4.2107005425455037</v>
      </c>
      <c r="Q105" s="128" t="str">
        <f t="shared" si="23"/>
        <v>NEUTRAL</v>
      </c>
    </row>
    <row r="106" spans="1:17" x14ac:dyDescent="0.2">
      <c r="A106" s="61" t="s">
        <v>125</v>
      </c>
      <c r="B106" s="61" t="s">
        <v>423</v>
      </c>
      <c r="C106" s="61" t="s">
        <v>424</v>
      </c>
      <c r="D106" s="63">
        <v>104</v>
      </c>
      <c r="E106" s="63">
        <v>165</v>
      </c>
      <c r="F106" s="63">
        <f t="shared" si="12"/>
        <v>199.65</v>
      </c>
      <c r="G106" s="63">
        <f t="shared" si="13"/>
        <v>61</v>
      </c>
      <c r="H106" s="129">
        <f t="shared" si="14"/>
        <v>0.36969696969696969</v>
      </c>
      <c r="I106" s="63">
        <f t="shared" si="15"/>
        <v>4.4926500000000003</v>
      </c>
      <c r="J106" s="63">
        <f t="shared" si="16"/>
        <v>30</v>
      </c>
      <c r="K106" s="63">
        <f t="shared" si="17"/>
        <v>2</v>
      </c>
      <c r="L106" s="63">
        <f t="shared" si="18"/>
        <v>1.6</v>
      </c>
      <c r="M106" s="63">
        <f t="shared" si="19"/>
        <v>22.907350000000001</v>
      </c>
      <c r="N106" s="129">
        <f t="shared" si="20"/>
        <v>0.13883242424242426</v>
      </c>
      <c r="O106" s="63">
        <f t="shared" si="21"/>
        <v>22.907350000000001</v>
      </c>
      <c r="P106" s="130">
        <f t="shared" si="22"/>
        <v>8.7155432644980753</v>
      </c>
      <c r="Q106" s="131" t="str">
        <f t="shared" si="23"/>
        <v>WATCH</v>
      </c>
    </row>
    <row r="107" spans="1:17" x14ac:dyDescent="0.2">
      <c r="A107" s="55" t="s">
        <v>125</v>
      </c>
      <c r="B107" s="55" t="s">
        <v>426</v>
      </c>
      <c r="C107" s="55" t="s">
        <v>427</v>
      </c>
      <c r="D107" s="57">
        <v>92</v>
      </c>
      <c r="E107" s="57">
        <v>145</v>
      </c>
      <c r="F107" s="57">
        <f t="shared" si="12"/>
        <v>175.45</v>
      </c>
      <c r="G107" s="57">
        <f t="shared" si="13"/>
        <v>53</v>
      </c>
      <c r="H107" s="126">
        <f t="shared" si="14"/>
        <v>0.36551724137931035</v>
      </c>
      <c r="I107" s="57">
        <f t="shared" si="15"/>
        <v>3.9844499999999998</v>
      </c>
      <c r="J107" s="57">
        <f t="shared" si="16"/>
        <v>30</v>
      </c>
      <c r="K107" s="57">
        <f t="shared" si="17"/>
        <v>2</v>
      </c>
      <c r="L107" s="57">
        <f t="shared" si="18"/>
        <v>1.6</v>
      </c>
      <c r="M107" s="57">
        <f t="shared" si="19"/>
        <v>15.415549999999998</v>
      </c>
      <c r="N107" s="126">
        <f t="shared" si="20"/>
        <v>0.10631413793103447</v>
      </c>
      <c r="O107" s="57">
        <f t="shared" si="21"/>
        <v>15.415549999999998</v>
      </c>
      <c r="P107" s="127">
        <f t="shared" si="22"/>
        <v>11.381364920486133</v>
      </c>
      <c r="Q107" s="128" t="str">
        <f t="shared" si="23"/>
        <v>WATCH</v>
      </c>
    </row>
    <row r="108" spans="1:17" x14ac:dyDescent="0.2">
      <c r="A108" s="61" t="s">
        <v>125</v>
      </c>
      <c r="B108" s="61" t="s">
        <v>429</v>
      </c>
      <c r="C108" s="61" t="s">
        <v>430</v>
      </c>
      <c r="D108" s="63">
        <v>303</v>
      </c>
      <c r="E108" s="63">
        <v>480</v>
      </c>
      <c r="F108" s="63">
        <f t="shared" si="12"/>
        <v>580.79999999999995</v>
      </c>
      <c r="G108" s="63">
        <f t="shared" si="13"/>
        <v>177</v>
      </c>
      <c r="H108" s="129">
        <f t="shared" si="14"/>
        <v>0.36875000000000002</v>
      </c>
      <c r="I108" s="63">
        <f t="shared" si="15"/>
        <v>12.4968</v>
      </c>
      <c r="J108" s="63">
        <f t="shared" si="16"/>
        <v>30</v>
      </c>
      <c r="K108" s="63">
        <f t="shared" si="17"/>
        <v>2</v>
      </c>
      <c r="L108" s="63">
        <f t="shared" si="18"/>
        <v>1.6</v>
      </c>
      <c r="M108" s="63">
        <f t="shared" si="19"/>
        <v>130.9032</v>
      </c>
      <c r="N108" s="129">
        <f t="shared" si="20"/>
        <v>0.27271499999999999</v>
      </c>
      <c r="O108" s="63">
        <f t="shared" si="21"/>
        <v>130.9032</v>
      </c>
      <c r="P108" s="130">
        <f t="shared" si="22"/>
        <v>4.4368663256513203</v>
      </c>
      <c r="Q108" s="131" t="str">
        <f t="shared" si="23"/>
        <v>NEUTRAL</v>
      </c>
    </row>
    <row r="109" spans="1:17" x14ac:dyDescent="0.2">
      <c r="A109" s="55" t="s">
        <v>125</v>
      </c>
      <c r="B109" s="55" t="s">
        <v>432</v>
      </c>
      <c r="C109" s="55" t="s">
        <v>433</v>
      </c>
      <c r="D109" s="57">
        <v>347</v>
      </c>
      <c r="E109" s="57">
        <v>550</v>
      </c>
      <c r="F109" s="57">
        <f t="shared" si="12"/>
        <v>665.5</v>
      </c>
      <c r="G109" s="57">
        <f t="shared" si="13"/>
        <v>203</v>
      </c>
      <c r="H109" s="126">
        <f t="shared" si="14"/>
        <v>0.36909090909090908</v>
      </c>
      <c r="I109" s="57">
        <f t="shared" si="15"/>
        <v>14.275500000000001</v>
      </c>
      <c r="J109" s="57">
        <f t="shared" si="16"/>
        <v>30</v>
      </c>
      <c r="K109" s="57">
        <f t="shared" si="17"/>
        <v>2</v>
      </c>
      <c r="L109" s="57">
        <f t="shared" si="18"/>
        <v>1.6</v>
      </c>
      <c r="M109" s="57">
        <f t="shared" si="19"/>
        <v>155.12450000000001</v>
      </c>
      <c r="N109" s="126">
        <f t="shared" si="20"/>
        <v>0.28204454545454549</v>
      </c>
      <c r="O109" s="57">
        <f t="shared" si="21"/>
        <v>155.12450000000001</v>
      </c>
      <c r="P109" s="127">
        <f t="shared" si="22"/>
        <v>4.2901024660836935</v>
      </c>
      <c r="Q109" s="128" t="str">
        <f t="shared" si="23"/>
        <v>NEUTRAL</v>
      </c>
    </row>
    <row r="110" spans="1:17" x14ac:dyDescent="0.2">
      <c r="A110" s="61" t="s">
        <v>125</v>
      </c>
      <c r="B110" s="61" t="s">
        <v>435</v>
      </c>
      <c r="C110" s="61" t="s">
        <v>436</v>
      </c>
      <c r="D110" s="63">
        <v>60</v>
      </c>
      <c r="E110" s="63">
        <v>95</v>
      </c>
      <c r="F110" s="63">
        <f t="shared" si="12"/>
        <v>114.95</v>
      </c>
      <c r="G110" s="63">
        <f t="shared" si="13"/>
        <v>35</v>
      </c>
      <c r="H110" s="129">
        <f t="shared" si="14"/>
        <v>0.36842105263157893</v>
      </c>
      <c r="I110" s="63">
        <f t="shared" si="15"/>
        <v>2.7139500000000001</v>
      </c>
      <c r="J110" s="63">
        <f t="shared" si="16"/>
        <v>30</v>
      </c>
      <c r="K110" s="63">
        <f t="shared" si="17"/>
        <v>2</v>
      </c>
      <c r="L110" s="63">
        <f t="shared" si="18"/>
        <v>1.6</v>
      </c>
      <c r="M110" s="63">
        <f t="shared" si="19"/>
        <v>-1.3139499999999971</v>
      </c>
      <c r="N110" s="129">
        <f t="shared" si="20"/>
        <v>-1.3831052631578916E-2</v>
      </c>
      <c r="O110" s="63">
        <f t="shared" si="21"/>
        <v>0</v>
      </c>
      <c r="P110" s="130">
        <f t="shared" si="22"/>
        <v>0</v>
      </c>
      <c r="Q110" s="131" t="str">
        <f t="shared" si="23"/>
        <v>NO ANUNCIAR</v>
      </c>
    </row>
    <row r="111" spans="1:17" x14ac:dyDescent="0.2">
      <c r="A111" s="55" t="s">
        <v>125</v>
      </c>
      <c r="B111" s="55" t="s">
        <v>438</v>
      </c>
      <c r="C111" s="55" t="s">
        <v>439</v>
      </c>
      <c r="D111" s="57">
        <v>101</v>
      </c>
      <c r="E111" s="57">
        <v>160</v>
      </c>
      <c r="F111" s="57">
        <f t="shared" si="12"/>
        <v>193.6</v>
      </c>
      <c r="G111" s="57">
        <f t="shared" si="13"/>
        <v>59</v>
      </c>
      <c r="H111" s="126">
        <f t="shared" si="14"/>
        <v>0.36875000000000002</v>
      </c>
      <c r="I111" s="57">
        <f t="shared" si="15"/>
        <v>4.3655999999999997</v>
      </c>
      <c r="J111" s="57">
        <f t="shared" si="16"/>
        <v>30</v>
      </c>
      <c r="K111" s="57">
        <f t="shared" si="17"/>
        <v>2</v>
      </c>
      <c r="L111" s="57">
        <f t="shared" si="18"/>
        <v>1.6</v>
      </c>
      <c r="M111" s="57">
        <f t="shared" si="19"/>
        <v>21.034399999999998</v>
      </c>
      <c r="N111" s="126">
        <f t="shared" si="20"/>
        <v>0.131465</v>
      </c>
      <c r="O111" s="57">
        <f t="shared" si="21"/>
        <v>21.034399999999998</v>
      </c>
      <c r="P111" s="127">
        <f t="shared" si="22"/>
        <v>9.2039706385730042</v>
      </c>
      <c r="Q111" s="128" t="str">
        <f t="shared" si="23"/>
        <v>WATCH</v>
      </c>
    </row>
    <row r="112" spans="1:17" x14ac:dyDescent="0.2">
      <c r="A112" s="61" t="s">
        <v>125</v>
      </c>
      <c r="B112" s="61" t="s">
        <v>441</v>
      </c>
      <c r="C112" s="61" t="s">
        <v>442</v>
      </c>
      <c r="D112" s="63">
        <v>189</v>
      </c>
      <c r="E112" s="63">
        <v>300</v>
      </c>
      <c r="F112" s="63">
        <f t="shared" si="12"/>
        <v>363</v>
      </c>
      <c r="G112" s="63">
        <f t="shared" si="13"/>
        <v>111</v>
      </c>
      <c r="H112" s="129">
        <f t="shared" si="14"/>
        <v>0.37</v>
      </c>
      <c r="I112" s="63">
        <f t="shared" si="15"/>
        <v>7.923</v>
      </c>
      <c r="J112" s="63">
        <f t="shared" si="16"/>
        <v>30</v>
      </c>
      <c r="K112" s="63">
        <f t="shared" si="17"/>
        <v>2</v>
      </c>
      <c r="L112" s="63">
        <f t="shared" si="18"/>
        <v>1.6</v>
      </c>
      <c r="M112" s="63">
        <f t="shared" si="19"/>
        <v>69.477000000000004</v>
      </c>
      <c r="N112" s="129">
        <f t="shared" si="20"/>
        <v>0.23159000000000002</v>
      </c>
      <c r="O112" s="63">
        <f t="shared" si="21"/>
        <v>69.477000000000004</v>
      </c>
      <c r="P112" s="130">
        <f t="shared" si="22"/>
        <v>5.2247506369014207</v>
      </c>
      <c r="Q112" s="131" t="str">
        <f t="shared" si="23"/>
        <v>NEUTRAL</v>
      </c>
    </row>
    <row r="113" spans="1:17" x14ac:dyDescent="0.2">
      <c r="A113" s="55" t="s">
        <v>125</v>
      </c>
      <c r="B113" s="55" t="s">
        <v>444</v>
      </c>
      <c r="C113" s="55" t="s">
        <v>445</v>
      </c>
      <c r="D113" s="57">
        <v>561</v>
      </c>
      <c r="E113" s="57">
        <v>890</v>
      </c>
      <c r="F113" s="57">
        <f t="shared" si="12"/>
        <v>1076.8999999999999</v>
      </c>
      <c r="G113" s="57">
        <f t="shared" si="13"/>
        <v>329</v>
      </c>
      <c r="H113" s="126">
        <f t="shared" si="14"/>
        <v>0.36966292134831463</v>
      </c>
      <c r="I113" s="57">
        <f t="shared" si="15"/>
        <v>22.914899999999999</v>
      </c>
      <c r="J113" s="57">
        <f t="shared" si="16"/>
        <v>0</v>
      </c>
      <c r="K113" s="57">
        <f t="shared" si="17"/>
        <v>2</v>
      </c>
      <c r="L113" s="57">
        <f t="shared" si="18"/>
        <v>1.6</v>
      </c>
      <c r="M113" s="57">
        <f t="shared" si="19"/>
        <v>302.48509999999999</v>
      </c>
      <c r="N113" s="126">
        <f t="shared" si="20"/>
        <v>0.33987089887640448</v>
      </c>
      <c r="O113" s="57">
        <f t="shared" si="21"/>
        <v>302.48509999999999</v>
      </c>
      <c r="P113" s="127">
        <f t="shared" si="22"/>
        <v>3.5601753607037172</v>
      </c>
      <c r="Q113" s="128" t="str">
        <f t="shared" si="23"/>
        <v>PUSH</v>
      </c>
    </row>
    <row r="114" spans="1:17" x14ac:dyDescent="0.2">
      <c r="A114" s="61" t="s">
        <v>125</v>
      </c>
      <c r="B114" s="61" t="s">
        <v>447</v>
      </c>
      <c r="C114" s="61" t="s">
        <v>448</v>
      </c>
      <c r="D114" s="63">
        <v>86</v>
      </c>
      <c r="E114" s="63">
        <v>135</v>
      </c>
      <c r="F114" s="63">
        <f t="shared" si="12"/>
        <v>163.35</v>
      </c>
      <c r="G114" s="63">
        <f t="shared" si="13"/>
        <v>49</v>
      </c>
      <c r="H114" s="129">
        <f t="shared" si="14"/>
        <v>0.36296296296296299</v>
      </c>
      <c r="I114" s="63">
        <f t="shared" si="15"/>
        <v>3.7303500000000001</v>
      </c>
      <c r="J114" s="63">
        <f t="shared" si="16"/>
        <v>30</v>
      </c>
      <c r="K114" s="63">
        <f t="shared" si="17"/>
        <v>2</v>
      </c>
      <c r="L114" s="63">
        <f t="shared" si="18"/>
        <v>1.6</v>
      </c>
      <c r="M114" s="63">
        <f t="shared" si="19"/>
        <v>11.669649999999999</v>
      </c>
      <c r="N114" s="129">
        <f t="shared" si="20"/>
        <v>8.6441851851851839E-2</v>
      </c>
      <c r="O114" s="63">
        <f t="shared" si="21"/>
        <v>11.669649999999999</v>
      </c>
      <c r="P114" s="130">
        <f t="shared" si="22"/>
        <v>13.997849121438946</v>
      </c>
      <c r="Q114" s="131" t="str">
        <f t="shared" si="23"/>
        <v>WATCH</v>
      </c>
    </row>
    <row r="115" spans="1:17" x14ac:dyDescent="0.2">
      <c r="A115" s="55" t="s">
        <v>125</v>
      </c>
      <c r="B115" s="55" t="s">
        <v>450</v>
      </c>
      <c r="C115" s="55" t="s">
        <v>451</v>
      </c>
      <c r="D115" s="57">
        <v>41</v>
      </c>
      <c r="E115" s="57">
        <v>65</v>
      </c>
      <c r="F115" s="57">
        <f t="shared" si="12"/>
        <v>78.649999999999991</v>
      </c>
      <c r="G115" s="57">
        <f t="shared" si="13"/>
        <v>24</v>
      </c>
      <c r="H115" s="126">
        <f t="shared" si="14"/>
        <v>0.36923076923076925</v>
      </c>
      <c r="I115" s="57">
        <f t="shared" si="15"/>
        <v>1.9516499999999999</v>
      </c>
      <c r="J115" s="57">
        <f t="shared" si="16"/>
        <v>30</v>
      </c>
      <c r="K115" s="57">
        <f t="shared" si="17"/>
        <v>2</v>
      </c>
      <c r="L115" s="57">
        <f t="shared" si="18"/>
        <v>1.6</v>
      </c>
      <c r="M115" s="57">
        <f t="shared" si="19"/>
        <v>-11.55165</v>
      </c>
      <c r="N115" s="126">
        <f t="shared" si="20"/>
        <v>-0.17771769230769233</v>
      </c>
      <c r="O115" s="57">
        <f t="shared" si="21"/>
        <v>0</v>
      </c>
      <c r="P115" s="127">
        <f t="shared" si="22"/>
        <v>0</v>
      </c>
      <c r="Q115" s="128" t="str">
        <f t="shared" si="23"/>
        <v>NO ANUNCIAR</v>
      </c>
    </row>
    <row r="116" spans="1:17" x14ac:dyDescent="0.2">
      <c r="A116" s="61" t="s">
        <v>125</v>
      </c>
      <c r="B116" s="61" t="s">
        <v>453</v>
      </c>
      <c r="C116" s="61" t="s">
        <v>454</v>
      </c>
      <c r="D116" s="63">
        <v>114</v>
      </c>
      <c r="E116" s="63">
        <v>180</v>
      </c>
      <c r="F116" s="63">
        <f t="shared" si="12"/>
        <v>217.79999999999998</v>
      </c>
      <c r="G116" s="63">
        <f t="shared" si="13"/>
        <v>66</v>
      </c>
      <c r="H116" s="129">
        <f t="shared" si="14"/>
        <v>0.36666666666666664</v>
      </c>
      <c r="I116" s="63">
        <f t="shared" si="15"/>
        <v>4.8738000000000001</v>
      </c>
      <c r="J116" s="63">
        <f t="shared" si="16"/>
        <v>30</v>
      </c>
      <c r="K116" s="63">
        <f t="shared" si="17"/>
        <v>2</v>
      </c>
      <c r="L116" s="63">
        <f t="shared" si="18"/>
        <v>1.6</v>
      </c>
      <c r="M116" s="63">
        <f t="shared" si="19"/>
        <v>27.526199999999996</v>
      </c>
      <c r="N116" s="129">
        <f t="shared" si="20"/>
        <v>0.1529233333333333</v>
      </c>
      <c r="O116" s="63">
        <f t="shared" si="21"/>
        <v>27.526199999999996</v>
      </c>
      <c r="P116" s="130">
        <f t="shared" si="22"/>
        <v>7.9124615820563688</v>
      </c>
      <c r="Q116" s="131" t="str">
        <f t="shared" si="23"/>
        <v>NEUTRAL</v>
      </c>
    </row>
    <row r="117" spans="1:17" x14ac:dyDescent="0.2">
      <c r="A117" s="55" t="s">
        <v>125</v>
      </c>
      <c r="B117" s="55" t="s">
        <v>456</v>
      </c>
      <c r="C117" s="55" t="s">
        <v>457</v>
      </c>
      <c r="D117" s="57">
        <v>939</v>
      </c>
      <c r="E117" s="57">
        <v>1490</v>
      </c>
      <c r="F117" s="57">
        <f t="shared" si="12"/>
        <v>1802.8999999999999</v>
      </c>
      <c r="G117" s="57">
        <f t="shared" si="13"/>
        <v>551</v>
      </c>
      <c r="H117" s="126">
        <f t="shared" si="14"/>
        <v>0.36979865771812082</v>
      </c>
      <c r="I117" s="57">
        <f t="shared" si="15"/>
        <v>38.160899999999998</v>
      </c>
      <c r="J117" s="57">
        <f t="shared" si="16"/>
        <v>0</v>
      </c>
      <c r="K117" s="57">
        <f t="shared" si="17"/>
        <v>2</v>
      </c>
      <c r="L117" s="57">
        <f t="shared" si="18"/>
        <v>1.6</v>
      </c>
      <c r="M117" s="57">
        <f t="shared" si="19"/>
        <v>509.23910000000001</v>
      </c>
      <c r="N117" s="126">
        <f t="shared" si="20"/>
        <v>0.34177120805369127</v>
      </c>
      <c r="O117" s="57">
        <f t="shared" si="21"/>
        <v>509.23910000000001</v>
      </c>
      <c r="P117" s="127">
        <f t="shared" si="22"/>
        <v>3.5403801475574044</v>
      </c>
      <c r="Q117" s="128" t="str">
        <f t="shared" si="23"/>
        <v>PUSH</v>
      </c>
    </row>
    <row r="118" spans="1:17" x14ac:dyDescent="0.2">
      <c r="A118" s="61" t="s">
        <v>125</v>
      </c>
      <c r="B118" s="61" t="s">
        <v>459</v>
      </c>
      <c r="C118" s="61" t="s">
        <v>460</v>
      </c>
      <c r="D118" s="63">
        <v>1509</v>
      </c>
      <c r="E118" s="63">
        <v>2395</v>
      </c>
      <c r="F118" s="63">
        <f t="shared" si="12"/>
        <v>2897.95</v>
      </c>
      <c r="G118" s="63">
        <f t="shared" si="13"/>
        <v>886</v>
      </c>
      <c r="H118" s="129">
        <f t="shared" si="14"/>
        <v>0.36993736951983297</v>
      </c>
      <c r="I118" s="63">
        <f t="shared" si="15"/>
        <v>61.156949999999995</v>
      </c>
      <c r="J118" s="63">
        <f t="shared" si="16"/>
        <v>0</v>
      </c>
      <c r="K118" s="63">
        <f t="shared" si="17"/>
        <v>2</v>
      </c>
      <c r="L118" s="63">
        <f t="shared" si="18"/>
        <v>1.6</v>
      </c>
      <c r="M118" s="63">
        <f t="shared" si="19"/>
        <v>821.24304999999993</v>
      </c>
      <c r="N118" s="129">
        <f t="shared" si="20"/>
        <v>0.34289897703549055</v>
      </c>
      <c r="O118" s="63">
        <f t="shared" si="21"/>
        <v>821.24304999999993</v>
      </c>
      <c r="P118" s="130">
        <f t="shared" si="22"/>
        <v>3.5287361031548459</v>
      </c>
      <c r="Q118" s="131" t="str">
        <f t="shared" si="23"/>
        <v>PUSH</v>
      </c>
    </row>
    <row r="119" spans="1:17" x14ac:dyDescent="0.2">
      <c r="A119" s="55" t="s">
        <v>125</v>
      </c>
      <c r="B119" s="55" t="s">
        <v>462</v>
      </c>
      <c r="C119" s="55" t="s">
        <v>463</v>
      </c>
      <c r="D119" s="57">
        <v>221</v>
      </c>
      <c r="E119" s="57">
        <v>350</v>
      </c>
      <c r="F119" s="57">
        <f t="shared" si="12"/>
        <v>423.5</v>
      </c>
      <c r="G119" s="57">
        <f t="shared" si="13"/>
        <v>129</v>
      </c>
      <c r="H119" s="126">
        <f t="shared" si="14"/>
        <v>0.36857142857142855</v>
      </c>
      <c r="I119" s="57">
        <f t="shared" si="15"/>
        <v>9.193500000000002</v>
      </c>
      <c r="J119" s="57">
        <f t="shared" si="16"/>
        <v>30</v>
      </c>
      <c r="K119" s="57">
        <f t="shared" si="17"/>
        <v>2</v>
      </c>
      <c r="L119" s="57">
        <f t="shared" si="18"/>
        <v>1.6</v>
      </c>
      <c r="M119" s="57">
        <f t="shared" si="19"/>
        <v>86.206500000000005</v>
      </c>
      <c r="N119" s="126">
        <f t="shared" si="20"/>
        <v>0.24630428571428573</v>
      </c>
      <c r="O119" s="57">
        <f t="shared" si="21"/>
        <v>86.206500000000005</v>
      </c>
      <c r="P119" s="127">
        <f t="shared" si="22"/>
        <v>4.9126225980639511</v>
      </c>
      <c r="Q119" s="128" t="str">
        <f t="shared" si="23"/>
        <v>NEUTRAL</v>
      </c>
    </row>
    <row r="120" spans="1:17" x14ac:dyDescent="0.2">
      <c r="A120" s="61" t="s">
        <v>125</v>
      </c>
      <c r="B120" s="61" t="s">
        <v>465</v>
      </c>
      <c r="C120" s="61" t="s">
        <v>466</v>
      </c>
      <c r="D120" s="63">
        <v>199</v>
      </c>
      <c r="E120" s="63">
        <v>315</v>
      </c>
      <c r="F120" s="63">
        <f t="shared" si="12"/>
        <v>381.15</v>
      </c>
      <c r="G120" s="63">
        <f t="shared" si="13"/>
        <v>116</v>
      </c>
      <c r="H120" s="129">
        <f t="shared" si="14"/>
        <v>0.36825396825396828</v>
      </c>
      <c r="I120" s="63">
        <f t="shared" si="15"/>
        <v>8.3041499999999999</v>
      </c>
      <c r="J120" s="63">
        <f t="shared" si="16"/>
        <v>30</v>
      </c>
      <c r="K120" s="63">
        <f t="shared" si="17"/>
        <v>2</v>
      </c>
      <c r="L120" s="63">
        <f t="shared" si="18"/>
        <v>1.6</v>
      </c>
      <c r="M120" s="63">
        <f t="shared" si="19"/>
        <v>74.095850000000013</v>
      </c>
      <c r="N120" s="129">
        <f t="shared" si="20"/>
        <v>0.23522492063492068</v>
      </c>
      <c r="O120" s="63">
        <f t="shared" si="21"/>
        <v>74.095850000000013</v>
      </c>
      <c r="P120" s="130">
        <f t="shared" si="22"/>
        <v>5.1440127888403993</v>
      </c>
      <c r="Q120" s="131" t="str">
        <f t="shared" si="23"/>
        <v>NEUTRAL</v>
      </c>
    </row>
    <row r="121" spans="1:17" x14ac:dyDescent="0.2">
      <c r="A121" s="55" t="s">
        <v>467</v>
      </c>
      <c r="B121" s="55" t="s">
        <v>469</v>
      </c>
      <c r="C121" s="55" t="s">
        <v>470</v>
      </c>
      <c r="D121" s="57">
        <v>112.55</v>
      </c>
      <c r="E121" s="57">
        <v>181.54</v>
      </c>
      <c r="F121" s="57">
        <f t="shared" si="12"/>
        <v>219.6634</v>
      </c>
      <c r="G121" s="57">
        <f t="shared" si="13"/>
        <v>68.989999999999995</v>
      </c>
      <c r="H121" s="126">
        <f t="shared" si="14"/>
        <v>0.38002644045389444</v>
      </c>
      <c r="I121" s="57">
        <f t="shared" si="15"/>
        <v>4.9129313999999997</v>
      </c>
      <c r="J121" s="57">
        <f t="shared" si="16"/>
        <v>30</v>
      </c>
      <c r="K121" s="57">
        <f t="shared" si="17"/>
        <v>2</v>
      </c>
      <c r="L121" s="57">
        <f t="shared" si="18"/>
        <v>1.6</v>
      </c>
      <c r="M121" s="57">
        <f t="shared" si="19"/>
        <v>30.477068599999988</v>
      </c>
      <c r="N121" s="126">
        <f t="shared" si="20"/>
        <v>0.16788073482428109</v>
      </c>
      <c r="O121" s="57">
        <f t="shared" si="21"/>
        <v>30.477068599999988</v>
      </c>
      <c r="P121" s="127">
        <f t="shared" si="22"/>
        <v>7.2074976397172295</v>
      </c>
      <c r="Q121" s="128" t="str">
        <f t="shared" si="23"/>
        <v>NEUTRAL</v>
      </c>
    </row>
    <row r="122" spans="1:17" x14ac:dyDescent="0.2">
      <c r="A122" s="61" t="s">
        <v>467</v>
      </c>
      <c r="B122" s="61" t="s">
        <v>472</v>
      </c>
      <c r="C122" s="61" t="s">
        <v>470</v>
      </c>
      <c r="D122" s="63">
        <v>117.05</v>
      </c>
      <c r="E122" s="63">
        <v>188.79</v>
      </c>
      <c r="F122" s="63">
        <f t="shared" si="12"/>
        <v>228.43589999999998</v>
      </c>
      <c r="G122" s="63">
        <f t="shared" si="13"/>
        <v>71.739999999999995</v>
      </c>
      <c r="H122" s="129">
        <f t="shared" si="14"/>
        <v>0.37999894062185496</v>
      </c>
      <c r="I122" s="63">
        <f t="shared" si="15"/>
        <v>5.0971538999999995</v>
      </c>
      <c r="J122" s="63">
        <f t="shared" si="16"/>
        <v>30</v>
      </c>
      <c r="K122" s="63">
        <f t="shared" si="17"/>
        <v>2</v>
      </c>
      <c r="L122" s="63">
        <f t="shared" si="18"/>
        <v>1.6</v>
      </c>
      <c r="M122" s="63">
        <f t="shared" si="19"/>
        <v>33.042846099999998</v>
      </c>
      <c r="N122" s="129">
        <f t="shared" si="20"/>
        <v>0.17502434503946185</v>
      </c>
      <c r="O122" s="63">
        <f t="shared" si="21"/>
        <v>33.042846099999998</v>
      </c>
      <c r="P122" s="130">
        <f t="shared" si="22"/>
        <v>6.9133239706007039</v>
      </c>
      <c r="Q122" s="131" t="str">
        <f t="shared" si="23"/>
        <v>NEUTRAL</v>
      </c>
    </row>
    <row r="123" spans="1:17" x14ac:dyDescent="0.2">
      <c r="A123" s="55" t="s">
        <v>467</v>
      </c>
      <c r="B123" s="55" t="s">
        <v>474</v>
      </c>
      <c r="C123" s="55" t="s">
        <v>470</v>
      </c>
      <c r="D123" s="57">
        <v>124.07</v>
      </c>
      <c r="E123" s="57">
        <v>200.11</v>
      </c>
      <c r="F123" s="57">
        <f t="shared" si="12"/>
        <v>242.13310000000001</v>
      </c>
      <c r="G123" s="57">
        <f t="shared" si="13"/>
        <v>76.04000000000002</v>
      </c>
      <c r="H123" s="126">
        <f t="shared" si="14"/>
        <v>0.37999100494727905</v>
      </c>
      <c r="I123" s="57">
        <f t="shared" si="15"/>
        <v>5.3847951000000007</v>
      </c>
      <c r="J123" s="57">
        <f t="shared" si="16"/>
        <v>30</v>
      </c>
      <c r="K123" s="57">
        <f t="shared" si="17"/>
        <v>2</v>
      </c>
      <c r="L123" s="57">
        <f t="shared" si="18"/>
        <v>1.6</v>
      </c>
      <c r="M123" s="57">
        <f t="shared" si="19"/>
        <v>37.055204900000014</v>
      </c>
      <c r="N123" s="126">
        <f t="shared" si="20"/>
        <v>0.18517417870171413</v>
      </c>
      <c r="O123" s="57">
        <f t="shared" si="21"/>
        <v>37.055204900000014</v>
      </c>
      <c r="P123" s="127">
        <f t="shared" si="22"/>
        <v>6.5343883714430611</v>
      </c>
      <c r="Q123" s="128" t="str">
        <f t="shared" si="23"/>
        <v>NEUTRAL</v>
      </c>
    </row>
    <row r="124" spans="1:17" x14ac:dyDescent="0.2">
      <c r="A124" s="61" t="s">
        <v>467</v>
      </c>
      <c r="B124" s="61" t="s">
        <v>476</v>
      </c>
      <c r="C124" s="61" t="s">
        <v>477</v>
      </c>
      <c r="D124" s="63">
        <v>107.1</v>
      </c>
      <c r="E124" s="63">
        <v>172.75</v>
      </c>
      <c r="F124" s="63">
        <f t="shared" si="12"/>
        <v>209.0275</v>
      </c>
      <c r="G124" s="63">
        <f t="shared" si="13"/>
        <v>65.650000000000006</v>
      </c>
      <c r="H124" s="129">
        <f t="shared" si="14"/>
        <v>0.3800289435600579</v>
      </c>
      <c r="I124" s="63">
        <f t="shared" si="15"/>
        <v>4.6895775000000004</v>
      </c>
      <c r="J124" s="63">
        <f t="shared" si="16"/>
        <v>30</v>
      </c>
      <c r="K124" s="63">
        <f t="shared" si="17"/>
        <v>2</v>
      </c>
      <c r="L124" s="63">
        <f t="shared" si="18"/>
        <v>1.6</v>
      </c>
      <c r="M124" s="63">
        <f t="shared" si="19"/>
        <v>27.360422500000006</v>
      </c>
      <c r="N124" s="129">
        <f t="shared" si="20"/>
        <v>0.15838160636758325</v>
      </c>
      <c r="O124" s="63">
        <f t="shared" si="21"/>
        <v>27.360422500000006</v>
      </c>
      <c r="P124" s="130">
        <f t="shared" si="22"/>
        <v>7.6397760305053755</v>
      </c>
      <c r="Q124" s="131" t="str">
        <f t="shared" si="23"/>
        <v>NEUTRAL</v>
      </c>
    </row>
    <row r="125" spans="1:17" x14ac:dyDescent="0.2">
      <c r="A125" s="55" t="s">
        <v>467</v>
      </c>
      <c r="B125" s="55" t="s">
        <v>478</v>
      </c>
      <c r="C125" s="55" t="s">
        <v>477</v>
      </c>
      <c r="D125" s="57">
        <v>112.55</v>
      </c>
      <c r="E125" s="57">
        <v>181.54</v>
      </c>
      <c r="F125" s="57">
        <f t="shared" si="12"/>
        <v>219.6634</v>
      </c>
      <c r="G125" s="57">
        <f t="shared" si="13"/>
        <v>68.989999999999995</v>
      </c>
      <c r="H125" s="126">
        <f t="shared" si="14"/>
        <v>0.38002644045389444</v>
      </c>
      <c r="I125" s="57">
        <f t="shared" si="15"/>
        <v>4.9129313999999997</v>
      </c>
      <c r="J125" s="57">
        <f t="shared" si="16"/>
        <v>30</v>
      </c>
      <c r="K125" s="57">
        <f t="shared" si="17"/>
        <v>2</v>
      </c>
      <c r="L125" s="57">
        <f t="shared" si="18"/>
        <v>1.6</v>
      </c>
      <c r="M125" s="57">
        <f t="shared" si="19"/>
        <v>30.477068599999988</v>
      </c>
      <c r="N125" s="126">
        <f t="shared" si="20"/>
        <v>0.16788073482428109</v>
      </c>
      <c r="O125" s="57">
        <f t="shared" si="21"/>
        <v>30.477068599999988</v>
      </c>
      <c r="P125" s="127">
        <f t="shared" si="22"/>
        <v>7.2074976397172295</v>
      </c>
      <c r="Q125" s="128" t="str">
        <f t="shared" si="23"/>
        <v>NEUTRAL</v>
      </c>
    </row>
    <row r="126" spans="1:17" x14ac:dyDescent="0.2">
      <c r="A126" s="61" t="s">
        <v>467</v>
      </c>
      <c r="B126" s="61" t="s">
        <v>479</v>
      </c>
      <c r="C126" s="61" t="s">
        <v>477</v>
      </c>
      <c r="D126" s="63">
        <v>93.89</v>
      </c>
      <c r="E126" s="63">
        <v>151.43</v>
      </c>
      <c r="F126" s="63">
        <f t="shared" si="12"/>
        <v>183.2303</v>
      </c>
      <c r="G126" s="63">
        <f t="shared" si="13"/>
        <v>57.540000000000006</v>
      </c>
      <c r="H126" s="129">
        <f t="shared" si="14"/>
        <v>0.37997754738162848</v>
      </c>
      <c r="I126" s="63">
        <f t="shared" si="15"/>
        <v>4.1478363000000007</v>
      </c>
      <c r="J126" s="63">
        <f t="shared" si="16"/>
        <v>30</v>
      </c>
      <c r="K126" s="63">
        <f t="shared" si="17"/>
        <v>2</v>
      </c>
      <c r="L126" s="63">
        <f t="shared" si="18"/>
        <v>1.6</v>
      </c>
      <c r="M126" s="63">
        <f t="shared" si="19"/>
        <v>19.792163700000003</v>
      </c>
      <c r="N126" s="129">
        <f t="shared" si="20"/>
        <v>0.13070173479495478</v>
      </c>
      <c r="O126" s="63">
        <f t="shared" si="21"/>
        <v>19.792163700000003</v>
      </c>
      <c r="P126" s="130">
        <f t="shared" si="22"/>
        <v>9.2577195084537411</v>
      </c>
      <c r="Q126" s="131" t="str">
        <f t="shared" si="23"/>
        <v>WATCH</v>
      </c>
    </row>
    <row r="127" spans="1:17" x14ac:dyDescent="0.2">
      <c r="A127" s="55" t="s">
        <v>467</v>
      </c>
      <c r="B127" s="55" t="s">
        <v>480</v>
      </c>
      <c r="C127" s="55" t="s">
        <v>477</v>
      </c>
      <c r="D127" s="57">
        <v>96.47</v>
      </c>
      <c r="E127" s="57">
        <v>155.6</v>
      </c>
      <c r="F127" s="57">
        <f t="shared" si="12"/>
        <v>188.27599999999998</v>
      </c>
      <c r="G127" s="57">
        <f t="shared" si="13"/>
        <v>59.129999999999995</v>
      </c>
      <c r="H127" s="126">
        <f t="shared" si="14"/>
        <v>0.38001285347043701</v>
      </c>
      <c r="I127" s="57">
        <f t="shared" si="15"/>
        <v>4.2537960000000004</v>
      </c>
      <c r="J127" s="57">
        <f t="shared" si="16"/>
        <v>30</v>
      </c>
      <c r="K127" s="57">
        <f t="shared" si="17"/>
        <v>2</v>
      </c>
      <c r="L127" s="57">
        <f t="shared" si="18"/>
        <v>1.6</v>
      </c>
      <c r="M127" s="57">
        <f t="shared" si="19"/>
        <v>21.276203999999993</v>
      </c>
      <c r="N127" s="126">
        <f t="shared" si="20"/>
        <v>0.13673652956298196</v>
      </c>
      <c r="O127" s="57">
        <f t="shared" si="21"/>
        <v>21.276203999999993</v>
      </c>
      <c r="P127" s="127">
        <f t="shared" si="22"/>
        <v>8.8491349302723386</v>
      </c>
      <c r="Q127" s="128" t="str">
        <f t="shared" si="23"/>
        <v>WATCH</v>
      </c>
    </row>
    <row r="128" spans="1:17" x14ac:dyDescent="0.2">
      <c r="A128" s="61" t="s">
        <v>467</v>
      </c>
      <c r="B128" s="61" t="s">
        <v>482</v>
      </c>
      <c r="C128" s="61" t="s">
        <v>477</v>
      </c>
      <c r="D128" s="63">
        <v>106.97</v>
      </c>
      <c r="E128" s="63">
        <v>172.53</v>
      </c>
      <c r="F128" s="63">
        <f t="shared" si="12"/>
        <v>208.76130000000001</v>
      </c>
      <c r="G128" s="63">
        <f t="shared" si="13"/>
        <v>65.56</v>
      </c>
      <c r="H128" s="129">
        <f t="shared" si="14"/>
        <v>0.37999188546919377</v>
      </c>
      <c r="I128" s="63">
        <f t="shared" si="15"/>
        <v>4.6839873000000001</v>
      </c>
      <c r="J128" s="63">
        <f t="shared" si="16"/>
        <v>30</v>
      </c>
      <c r="K128" s="63">
        <f t="shared" si="17"/>
        <v>2</v>
      </c>
      <c r="L128" s="63">
        <f t="shared" si="18"/>
        <v>1.6</v>
      </c>
      <c r="M128" s="63">
        <f t="shared" si="19"/>
        <v>27.276012700000003</v>
      </c>
      <c r="N128" s="129">
        <f t="shared" si="20"/>
        <v>0.15809431808960761</v>
      </c>
      <c r="O128" s="63">
        <f t="shared" si="21"/>
        <v>27.276012700000003</v>
      </c>
      <c r="P128" s="130">
        <f t="shared" si="22"/>
        <v>7.6536589968665023</v>
      </c>
      <c r="Q128" s="131" t="str">
        <f t="shared" si="23"/>
        <v>NEUTRAL</v>
      </c>
    </row>
    <row r="129" spans="1:17" x14ac:dyDescent="0.2">
      <c r="A129" s="55" t="s">
        <v>467</v>
      </c>
      <c r="B129" s="55" t="s">
        <v>483</v>
      </c>
      <c r="C129" s="55" t="s">
        <v>477</v>
      </c>
      <c r="D129" s="57">
        <v>108.81</v>
      </c>
      <c r="E129" s="57">
        <v>175.49</v>
      </c>
      <c r="F129" s="57">
        <f t="shared" si="12"/>
        <v>212.34290000000001</v>
      </c>
      <c r="G129" s="57">
        <f t="shared" si="13"/>
        <v>66.680000000000007</v>
      </c>
      <c r="H129" s="126">
        <f t="shared" si="14"/>
        <v>0.37996467035158699</v>
      </c>
      <c r="I129" s="57">
        <f t="shared" si="15"/>
        <v>4.7592009000000006</v>
      </c>
      <c r="J129" s="57">
        <f t="shared" si="16"/>
        <v>30</v>
      </c>
      <c r="K129" s="57">
        <f t="shared" si="17"/>
        <v>2</v>
      </c>
      <c r="L129" s="57">
        <f t="shared" si="18"/>
        <v>1.6</v>
      </c>
      <c r="M129" s="57">
        <f t="shared" si="19"/>
        <v>28.320799100000002</v>
      </c>
      <c r="N129" s="126">
        <f t="shared" si="20"/>
        <v>0.16138127015784376</v>
      </c>
      <c r="O129" s="57">
        <f t="shared" si="21"/>
        <v>28.320799100000002</v>
      </c>
      <c r="P129" s="127">
        <f t="shared" si="22"/>
        <v>7.4977721938644022</v>
      </c>
      <c r="Q129" s="128" t="str">
        <f t="shared" si="23"/>
        <v>NEUTRAL</v>
      </c>
    </row>
    <row r="130" spans="1:17" x14ac:dyDescent="0.2">
      <c r="A130" s="61" t="s">
        <v>467</v>
      </c>
      <c r="B130" s="61" t="s">
        <v>484</v>
      </c>
      <c r="C130" s="61" t="s">
        <v>477</v>
      </c>
      <c r="D130" s="63">
        <v>93.34</v>
      </c>
      <c r="E130" s="63">
        <v>150.55000000000001</v>
      </c>
      <c r="F130" s="63">
        <f t="shared" si="12"/>
        <v>182.16550000000001</v>
      </c>
      <c r="G130" s="63">
        <f t="shared" si="13"/>
        <v>57.210000000000008</v>
      </c>
      <c r="H130" s="129">
        <f t="shared" si="14"/>
        <v>0.38000664231152442</v>
      </c>
      <c r="I130" s="63">
        <f t="shared" si="15"/>
        <v>4.1254755000000003</v>
      </c>
      <c r="J130" s="63">
        <f t="shared" si="16"/>
        <v>30</v>
      </c>
      <c r="K130" s="63">
        <f t="shared" si="17"/>
        <v>2</v>
      </c>
      <c r="L130" s="63">
        <f t="shared" si="18"/>
        <v>1.6</v>
      </c>
      <c r="M130" s="63">
        <f t="shared" si="19"/>
        <v>19.484524500000006</v>
      </c>
      <c r="N130" s="129">
        <f t="shared" si="20"/>
        <v>0.12942228163400868</v>
      </c>
      <c r="O130" s="63">
        <f t="shared" si="21"/>
        <v>19.484524500000006</v>
      </c>
      <c r="P130" s="130">
        <f t="shared" si="22"/>
        <v>9.3492402136885584</v>
      </c>
      <c r="Q130" s="131" t="str">
        <f t="shared" si="23"/>
        <v>WATCH</v>
      </c>
    </row>
    <row r="131" spans="1:17" x14ac:dyDescent="0.2">
      <c r="A131" s="55" t="s">
        <v>467</v>
      </c>
      <c r="B131" s="55" t="s">
        <v>485</v>
      </c>
      <c r="C131" s="55" t="s">
        <v>477</v>
      </c>
      <c r="D131" s="57">
        <v>96.2</v>
      </c>
      <c r="E131" s="57">
        <v>155.16</v>
      </c>
      <c r="F131" s="57">
        <f t="shared" si="12"/>
        <v>187.74359999999999</v>
      </c>
      <c r="G131" s="57">
        <f t="shared" si="13"/>
        <v>58.959999999999994</v>
      </c>
      <c r="H131" s="126">
        <f t="shared" si="14"/>
        <v>0.37999484403196698</v>
      </c>
      <c r="I131" s="57">
        <f t="shared" si="15"/>
        <v>4.2426155999999997</v>
      </c>
      <c r="J131" s="57">
        <f t="shared" si="16"/>
        <v>30</v>
      </c>
      <c r="K131" s="57">
        <f t="shared" si="17"/>
        <v>2</v>
      </c>
      <c r="L131" s="57">
        <f t="shared" si="18"/>
        <v>1.6</v>
      </c>
      <c r="M131" s="57">
        <f t="shared" si="19"/>
        <v>21.117384399999992</v>
      </c>
      <c r="N131" s="126">
        <f t="shared" si="20"/>
        <v>0.13610069863366842</v>
      </c>
      <c r="O131" s="57">
        <f t="shared" si="21"/>
        <v>21.117384399999992</v>
      </c>
      <c r="P131" s="127">
        <f t="shared" si="22"/>
        <v>8.890476038310883</v>
      </c>
      <c r="Q131" s="128" t="str">
        <f t="shared" si="23"/>
        <v>WATCH</v>
      </c>
    </row>
    <row r="132" spans="1:17" x14ac:dyDescent="0.2">
      <c r="A132" s="61" t="s">
        <v>467</v>
      </c>
      <c r="B132" s="61" t="s">
        <v>472</v>
      </c>
      <c r="C132" s="61" t="s">
        <v>486</v>
      </c>
      <c r="D132" s="63">
        <v>82.85</v>
      </c>
      <c r="E132" s="63">
        <v>133.63</v>
      </c>
      <c r="F132" s="63">
        <f t="shared" si="12"/>
        <v>161.69229999999999</v>
      </c>
      <c r="G132" s="63">
        <f t="shared" si="13"/>
        <v>50.78</v>
      </c>
      <c r="H132" s="129">
        <f t="shared" si="14"/>
        <v>0.38000449000972836</v>
      </c>
      <c r="I132" s="63">
        <f t="shared" si="15"/>
        <v>3.6955382999999999</v>
      </c>
      <c r="J132" s="63">
        <f t="shared" si="16"/>
        <v>30</v>
      </c>
      <c r="K132" s="63">
        <f t="shared" si="17"/>
        <v>2</v>
      </c>
      <c r="L132" s="63">
        <f t="shared" si="18"/>
        <v>1.6</v>
      </c>
      <c r="M132" s="63">
        <f t="shared" si="19"/>
        <v>13.484461699999999</v>
      </c>
      <c r="N132" s="129">
        <f t="shared" si="20"/>
        <v>0.1009089403577041</v>
      </c>
      <c r="O132" s="63">
        <f t="shared" si="21"/>
        <v>13.484461699999999</v>
      </c>
      <c r="P132" s="130">
        <f t="shared" si="22"/>
        <v>11.991008880984845</v>
      </c>
      <c r="Q132" s="131" t="str">
        <f t="shared" si="23"/>
        <v>WATCH</v>
      </c>
    </row>
    <row r="133" spans="1:17" x14ac:dyDescent="0.2">
      <c r="A133" s="55" t="s">
        <v>467</v>
      </c>
      <c r="B133" s="55" t="s">
        <v>488</v>
      </c>
      <c r="C133" s="55" t="s">
        <v>486</v>
      </c>
      <c r="D133" s="57">
        <v>89.39</v>
      </c>
      <c r="E133" s="57">
        <v>144.18</v>
      </c>
      <c r="F133" s="57">
        <f t="shared" ref="F133:F196" si="24">E133*(1+IVA)</f>
        <v>174.45779999999999</v>
      </c>
      <c r="G133" s="57">
        <f t="shared" ref="G133:G196" si="25">E133-D133</f>
        <v>54.790000000000006</v>
      </c>
      <c r="H133" s="126">
        <f t="shared" ref="H133:H196" si="26">IFERROR(G133/E133,0)</f>
        <v>0.38001109723956167</v>
      </c>
      <c r="I133" s="57">
        <f t="shared" ref="I133:I196" si="27">F133*Comision_pago_pct+Comision_pago_fija</f>
        <v>3.9636138000000001</v>
      </c>
      <c r="J133" s="57">
        <f t="shared" ref="J133:J196" si="28">IF(A133="Hevea",IF(F133&gt;=Hevea_umbral_envio_gratis,0,Hevea_coste_envio_bajo),Balliu_coste_envio)</f>
        <v>30</v>
      </c>
      <c r="K133" s="57">
        <f t="shared" ref="K133:K196" si="29">Tasa_devolucion*Coste_devolucion</f>
        <v>2</v>
      </c>
      <c r="L133" s="57">
        <f t="shared" ref="L133:L196" si="30">Tasa_incidencia*Coste_incidencia</f>
        <v>1.6</v>
      </c>
      <c r="M133" s="57">
        <f t="shared" ref="M133:M196" si="31">G133-I133-J133-K133-L133</f>
        <v>17.226386200000007</v>
      </c>
      <c r="N133" s="126">
        <f t="shared" ref="N133:N196" si="32">IFERROR(M133/E133,0)</f>
        <v>0.11947833402691085</v>
      </c>
      <c r="O133" s="57">
        <f t="shared" ref="O133:O196" si="33">MAX(M133,0)</f>
        <v>17.226386200000007</v>
      </c>
      <c r="P133" s="127">
        <f t="shared" ref="P133:P196" si="34">IFERROR(F133/O133,0)</f>
        <v>10.127359155572625</v>
      </c>
      <c r="Q133" s="128" t="str">
        <f t="shared" ref="Q133:Q196" si="35">IF(N133&gt;=Umbral_PUSH_pct,IF(M133&gt;=Umbral_PUSH_eur,"PUSH","NEUTRAL"),IF(N133&gt;=Umbral_NEUTRAL_pct,"NEUTRAL",IF(N133&gt;=Umbral_WATCH_pct,"WATCH","NO ANUNCIAR")))</f>
        <v>WATCH</v>
      </c>
    </row>
    <row r="134" spans="1:17" x14ac:dyDescent="0.2">
      <c r="A134" s="61" t="s">
        <v>467</v>
      </c>
      <c r="B134" s="61" t="s">
        <v>490</v>
      </c>
      <c r="C134" s="61" t="s">
        <v>486</v>
      </c>
      <c r="D134" s="63">
        <v>94.7</v>
      </c>
      <c r="E134" s="63">
        <v>152.75</v>
      </c>
      <c r="F134" s="63">
        <f t="shared" si="24"/>
        <v>184.82749999999999</v>
      </c>
      <c r="G134" s="63">
        <f t="shared" si="25"/>
        <v>58.05</v>
      </c>
      <c r="H134" s="129">
        <f t="shared" si="26"/>
        <v>0.38003273322422254</v>
      </c>
      <c r="I134" s="63">
        <f t="shared" si="27"/>
        <v>4.1813775</v>
      </c>
      <c r="J134" s="63">
        <f t="shared" si="28"/>
        <v>30</v>
      </c>
      <c r="K134" s="63">
        <f t="shared" si="29"/>
        <v>2</v>
      </c>
      <c r="L134" s="63">
        <f t="shared" si="30"/>
        <v>1.6</v>
      </c>
      <c r="M134" s="63">
        <f t="shared" si="31"/>
        <v>20.268622499999999</v>
      </c>
      <c r="N134" s="129">
        <f t="shared" si="32"/>
        <v>0.13269147299509002</v>
      </c>
      <c r="O134" s="63">
        <f t="shared" si="33"/>
        <v>20.268622499999999</v>
      </c>
      <c r="P134" s="130">
        <f t="shared" si="34"/>
        <v>9.1188979418803626</v>
      </c>
      <c r="Q134" s="131" t="str">
        <f t="shared" si="35"/>
        <v>WATCH</v>
      </c>
    </row>
    <row r="135" spans="1:17" x14ac:dyDescent="0.2">
      <c r="A135" s="55" t="s">
        <v>467</v>
      </c>
      <c r="B135" s="55" t="s">
        <v>491</v>
      </c>
      <c r="C135" s="55" t="s">
        <v>486</v>
      </c>
      <c r="D135" s="57">
        <v>98.52</v>
      </c>
      <c r="E135" s="57">
        <v>158.9</v>
      </c>
      <c r="F135" s="57">
        <f t="shared" si="24"/>
        <v>192.26900000000001</v>
      </c>
      <c r="G135" s="57">
        <f t="shared" si="25"/>
        <v>60.38000000000001</v>
      </c>
      <c r="H135" s="126">
        <f t="shared" si="26"/>
        <v>0.37998741346758974</v>
      </c>
      <c r="I135" s="57">
        <f t="shared" si="27"/>
        <v>4.3376489999999999</v>
      </c>
      <c r="J135" s="57">
        <f t="shared" si="28"/>
        <v>30</v>
      </c>
      <c r="K135" s="57">
        <f t="shared" si="29"/>
        <v>2</v>
      </c>
      <c r="L135" s="57">
        <f t="shared" si="30"/>
        <v>1.6</v>
      </c>
      <c r="M135" s="57">
        <f t="shared" si="31"/>
        <v>22.442351000000009</v>
      </c>
      <c r="N135" s="126">
        <f t="shared" si="32"/>
        <v>0.14123568911264953</v>
      </c>
      <c r="O135" s="57">
        <f t="shared" si="33"/>
        <v>22.442351000000009</v>
      </c>
      <c r="P135" s="127">
        <f t="shared" si="34"/>
        <v>8.5672396800139126</v>
      </c>
      <c r="Q135" s="128" t="str">
        <f t="shared" si="35"/>
        <v>WATCH</v>
      </c>
    </row>
    <row r="136" spans="1:17" x14ac:dyDescent="0.2">
      <c r="A136" s="61" t="s">
        <v>467</v>
      </c>
      <c r="B136" s="61" t="s">
        <v>493</v>
      </c>
      <c r="C136" s="61" t="s">
        <v>486</v>
      </c>
      <c r="D136" s="63">
        <v>97.43</v>
      </c>
      <c r="E136" s="63">
        <v>157.13999999999999</v>
      </c>
      <c r="F136" s="63">
        <f t="shared" si="24"/>
        <v>190.13939999999997</v>
      </c>
      <c r="G136" s="63">
        <f t="shared" si="25"/>
        <v>59.70999999999998</v>
      </c>
      <c r="H136" s="129">
        <f t="shared" si="26"/>
        <v>0.37997963599338158</v>
      </c>
      <c r="I136" s="63">
        <f t="shared" si="27"/>
        <v>4.2929273999999999</v>
      </c>
      <c r="J136" s="63">
        <f t="shared" si="28"/>
        <v>30</v>
      </c>
      <c r="K136" s="63">
        <f t="shared" si="29"/>
        <v>2</v>
      </c>
      <c r="L136" s="63">
        <f t="shared" si="30"/>
        <v>1.6</v>
      </c>
      <c r="M136" s="63">
        <f t="shared" si="31"/>
        <v>21.817072599999982</v>
      </c>
      <c r="N136" s="129">
        <f t="shared" si="32"/>
        <v>0.13883844088074318</v>
      </c>
      <c r="O136" s="63">
        <f t="shared" si="33"/>
        <v>21.817072599999982</v>
      </c>
      <c r="P136" s="130">
        <f t="shared" si="34"/>
        <v>8.7151655717550351</v>
      </c>
      <c r="Q136" s="131" t="str">
        <f t="shared" si="35"/>
        <v>WATCH</v>
      </c>
    </row>
    <row r="137" spans="1:17" x14ac:dyDescent="0.2">
      <c r="A137" s="55" t="s">
        <v>467</v>
      </c>
      <c r="B137" s="55" t="s">
        <v>495</v>
      </c>
      <c r="C137" s="55" t="s">
        <v>470</v>
      </c>
      <c r="D137" s="57">
        <v>215.24</v>
      </c>
      <c r="E137" s="57">
        <v>331.14</v>
      </c>
      <c r="F137" s="57">
        <f t="shared" si="24"/>
        <v>400.67939999999999</v>
      </c>
      <c r="G137" s="57">
        <f t="shared" si="25"/>
        <v>115.89999999999998</v>
      </c>
      <c r="H137" s="126">
        <f t="shared" si="26"/>
        <v>0.3500030198707495</v>
      </c>
      <c r="I137" s="57">
        <f t="shared" si="27"/>
        <v>8.7142674000000007</v>
      </c>
      <c r="J137" s="57">
        <f t="shared" si="28"/>
        <v>30</v>
      </c>
      <c r="K137" s="57">
        <f t="shared" si="29"/>
        <v>2</v>
      </c>
      <c r="L137" s="57">
        <f t="shared" si="30"/>
        <v>1.6</v>
      </c>
      <c r="M137" s="57">
        <f t="shared" si="31"/>
        <v>73.585732599999986</v>
      </c>
      <c r="N137" s="126">
        <f t="shared" si="32"/>
        <v>0.22221940146161742</v>
      </c>
      <c r="O137" s="57">
        <f t="shared" si="33"/>
        <v>73.585732599999986</v>
      </c>
      <c r="P137" s="127">
        <f t="shared" si="34"/>
        <v>5.4450691165640457</v>
      </c>
      <c r="Q137" s="128" t="str">
        <f t="shared" si="35"/>
        <v>NEUTRAL</v>
      </c>
    </row>
    <row r="138" spans="1:17" x14ac:dyDescent="0.2">
      <c r="A138" s="61" t="s">
        <v>467</v>
      </c>
      <c r="B138" s="61" t="s">
        <v>496</v>
      </c>
      <c r="C138" s="61" t="s">
        <v>470</v>
      </c>
      <c r="D138" s="63">
        <v>225.25</v>
      </c>
      <c r="E138" s="63">
        <v>346.54</v>
      </c>
      <c r="F138" s="63">
        <f t="shared" si="24"/>
        <v>419.3134</v>
      </c>
      <c r="G138" s="63">
        <f t="shared" si="25"/>
        <v>121.29000000000002</v>
      </c>
      <c r="H138" s="129">
        <f t="shared" si="26"/>
        <v>0.35000288566976401</v>
      </c>
      <c r="I138" s="63">
        <f t="shared" si="27"/>
        <v>9.1055814000000019</v>
      </c>
      <c r="J138" s="63">
        <f t="shared" si="28"/>
        <v>30</v>
      </c>
      <c r="K138" s="63">
        <f t="shared" si="29"/>
        <v>2</v>
      </c>
      <c r="L138" s="63">
        <f t="shared" si="30"/>
        <v>1.6</v>
      </c>
      <c r="M138" s="63">
        <f t="shared" si="31"/>
        <v>78.584418600000021</v>
      </c>
      <c r="N138" s="129">
        <f t="shared" si="32"/>
        <v>0.22676868067178396</v>
      </c>
      <c r="O138" s="63">
        <f t="shared" si="33"/>
        <v>78.584418600000021</v>
      </c>
      <c r="P138" s="130">
        <f t="shared" si="34"/>
        <v>5.3358338392033344</v>
      </c>
      <c r="Q138" s="131" t="str">
        <f t="shared" si="35"/>
        <v>NEUTRAL</v>
      </c>
    </row>
    <row r="139" spans="1:17" x14ac:dyDescent="0.2">
      <c r="A139" s="55" t="s">
        <v>467</v>
      </c>
      <c r="B139" s="55" t="s">
        <v>498</v>
      </c>
      <c r="C139" s="55" t="s">
        <v>499</v>
      </c>
      <c r="D139" s="57">
        <v>287.64</v>
      </c>
      <c r="E139" s="57">
        <v>442.52</v>
      </c>
      <c r="F139" s="57">
        <f t="shared" si="24"/>
        <v>535.44920000000002</v>
      </c>
      <c r="G139" s="57">
        <f t="shared" si="25"/>
        <v>154.88</v>
      </c>
      <c r="H139" s="126">
        <f t="shared" si="26"/>
        <v>0.34999548043026302</v>
      </c>
      <c r="I139" s="57">
        <f t="shared" si="27"/>
        <v>11.544433200000002</v>
      </c>
      <c r="J139" s="57">
        <f t="shared" si="28"/>
        <v>30</v>
      </c>
      <c r="K139" s="57">
        <f t="shared" si="29"/>
        <v>2</v>
      </c>
      <c r="L139" s="57">
        <f t="shared" si="30"/>
        <v>1.6</v>
      </c>
      <c r="M139" s="57">
        <f t="shared" si="31"/>
        <v>109.73556679999999</v>
      </c>
      <c r="N139" s="126">
        <f t="shared" si="32"/>
        <v>0.24797877338877336</v>
      </c>
      <c r="O139" s="57">
        <f t="shared" si="33"/>
        <v>109.73556679999999</v>
      </c>
      <c r="P139" s="127">
        <f t="shared" si="34"/>
        <v>4.8794498959110504</v>
      </c>
      <c r="Q139" s="128" t="str">
        <f t="shared" si="35"/>
        <v>NEUTRAL</v>
      </c>
    </row>
    <row r="140" spans="1:17" x14ac:dyDescent="0.2">
      <c r="A140" s="61" t="s">
        <v>467</v>
      </c>
      <c r="B140" s="61" t="s">
        <v>500</v>
      </c>
      <c r="C140" s="61" t="s">
        <v>501</v>
      </c>
      <c r="D140" s="63">
        <v>315.63</v>
      </c>
      <c r="E140" s="63">
        <v>485.59</v>
      </c>
      <c r="F140" s="63">
        <f t="shared" si="24"/>
        <v>587.56389999999999</v>
      </c>
      <c r="G140" s="63">
        <f t="shared" si="25"/>
        <v>169.95999999999998</v>
      </c>
      <c r="H140" s="129">
        <f t="shared" si="26"/>
        <v>0.35000720772668298</v>
      </c>
      <c r="I140" s="63">
        <f t="shared" si="27"/>
        <v>12.638841900000001</v>
      </c>
      <c r="J140" s="63">
        <f t="shared" si="28"/>
        <v>30</v>
      </c>
      <c r="K140" s="63">
        <f t="shared" si="29"/>
        <v>2</v>
      </c>
      <c r="L140" s="63">
        <f t="shared" si="30"/>
        <v>1.6</v>
      </c>
      <c r="M140" s="63">
        <f t="shared" si="31"/>
        <v>123.7211581</v>
      </c>
      <c r="N140" s="129">
        <f t="shared" si="32"/>
        <v>0.25478522642558538</v>
      </c>
      <c r="O140" s="63">
        <f t="shared" si="33"/>
        <v>123.7211581</v>
      </c>
      <c r="P140" s="130">
        <f t="shared" si="34"/>
        <v>4.7490979637055304</v>
      </c>
      <c r="Q140" s="131" t="str">
        <f t="shared" si="35"/>
        <v>NEUTRAL</v>
      </c>
    </row>
    <row r="141" spans="1:17" x14ac:dyDescent="0.2">
      <c r="A141" s="55" t="s">
        <v>467</v>
      </c>
      <c r="B141" s="55" t="s">
        <v>503</v>
      </c>
      <c r="C141" s="55" t="s">
        <v>504</v>
      </c>
      <c r="D141" s="57">
        <v>229.08</v>
      </c>
      <c r="E141" s="57">
        <v>352.43</v>
      </c>
      <c r="F141" s="57">
        <f t="shared" si="24"/>
        <v>426.44029999999998</v>
      </c>
      <c r="G141" s="57">
        <f t="shared" si="25"/>
        <v>123.35</v>
      </c>
      <c r="H141" s="126">
        <f t="shared" si="26"/>
        <v>0.34999858127855177</v>
      </c>
      <c r="I141" s="57">
        <f t="shared" si="27"/>
        <v>9.2552463000000014</v>
      </c>
      <c r="J141" s="57">
        <f t="shared" si="28"/>
        <v>30</v>
      </c>
      <c r="K141" s="57">
        <f t="shared" si="29"/>
        <v>2</v>
      </c>
      <c r="L141" s="57">
        <f t="shared" si="30"/>
        <v>1.6</v>
      </c>
      <c r="M141" s="57">
        <f t="shared" si="31"/>
        <v>80.494753700000004</v>
      </c>
      <c r="N141" s="126">
        <f t="shared" si="32"/>
        <v>0.22839926708849986</v>
      </c>
      <c r="O141" s="57">
        <f t="shared" si="33"/>
        <v>80.494753700000004</v>
      </c>
      <c r="P141" s="127">
        <f t="shared" si="34"/>
        <v>5.2977402923589532</v>
      </c>
      <c r="Q141" s="128" t="str">
        <f t="shared" si="35"/>
        <v>NEUTRAL</v>
      </c>
    </row>
    <row r="142" spans="1:17" x14ac:dyDescent="0.2">
      <c r="A142" s="61" t="s">
        <v>467</v>
      </c>
      <c r="B142" s="61" t="s">
        <v>505</v>
      </c>
      <c r="C142" s="61" t="s">
        <v>501</v>
      </c>
      <c r="D142" s="63">
        <v>252.74</v>
      </c>
      <c r="E142" s="63">
        <v>388.83</v>
      </c>
      <c r="F142" s="63">
        <f t="shared" si="24"/>
        <v>470.48429999999996</v>
      </c>
      <c r="G142" s="63">
        <f t="shared" si="25"/>
        <v>136.08999999999997</v>
      </c>
      <c r="H142" s="129">
        <f t="shared" si="26"/>
        <v>0.34999871409099087</v>
      </c>
      <c r="I142" s="63">
        <f t="shared" si="27"/>
        <v>10.1801703</v>
      </c>
      <c r="J142" s="63">
        <f t="shared" si="28"/>
        <v>30</v>
      </c>
      <c r="K142" s="63">
        <f t="shared" si="29"/>
        <v>2</v>
      </c>
      <c r="L142" s="63">
        <f t="shared" si="30"/>
        <v>1.6</v>
      </c>
      <c r="M142" s="63">
        <f t="shared" si="31"/>
        <v>92.30982969999998</v>
      </c>
      <c r="N142" s="129">
        <f t="shared" si="32"/>
        <v>0.23740408327546739</v>
      </c>
      <c r="O142" s="63">
        <f t="shared" si="33"/>
        <v>92.30982969999998</v>
      </c>
      <c r="P142" s="130">
        <f t="shared" si="34"/>
        <v>5.0967952332816413</v>
      </c>
      <c r="Q142" s="131" t="str">
        <f t="shared" si="35"/>
        <v>NEUTRAL</v>
      </c>
    </row>
    <row r="143" spans="1:17" x14ac:dyDescent="0.2">
      <c r="A143" s="55" t="s">
        <v>467</v>
      </c>
      <c r="B143" s="55" t="s">
        <v>507</v>
      </c>
      <c r="C143" s="55" t="s">
        <v>504</v>
      </c>
      <c r="D143" s="57">
        <v>248.76</v>
      </c>
      <c r="E143" s="57">
        <v>382.7</v>
      </c>
      <c r="F143" s="57">
        <f t="shared" si="24"/>
        <v>463.06699999999995</v>
      </c>
      <c r="G143" s="57">
        <f t="shared" si="25"/>
        <v>133.94</v>
      </c>
      <c r="H143" s="126">
        <f t="shared" si="26"/>
        <v>0.34998693493598121</v>
      </c>
      <c r="I143" s="57">
        <f t="shared" si="27"/>
        <v>10.024407</v>
      </c>
      <c r="J143" s="57">
        <f t="shared" si="28"/>
        <v>30</v>
      </c>
      <c r="K143" s="57">
        <f t="shared" si="29"/>
        <v>2</v>
      </c>
      <c r="L143" s="57">
        <f t="shared" si="30"/>
        <v>1.6</v>
      </c>
      <c r="M143" s="57">
        <f t="shared" si="31"/>
        <v>90.315593000000007</v>
      </c>
      <c r="N143" s="126">
        <f t="shared" si="32"/>
        <v>0.23599580088842437</v>
      </c>
      <c r="O143" s="57">
        <f t="shared" si="33"/>
        <v>90.315593000000007</v>
      </c>
      <c r="P143" s="127">
        <f t="shared" si="34"/>
        <v>5.1272098717217069</v>
      </c>
      <c r="Q143" s="128" t="str">
        <f t="shared" si="35"/>
        <v>NEUTRAL</v>
      </c>
    </row>
    <row r="144" spans="1:17" x14ac:dyDescent="0.2">
      <c r="A144" s="61" t="s">
        <v>467</v>
      </c>
      <c r="B144" s="61" t="s">
        <v>508</v>
      </c>
      <c r="C144" s="61" t="s">
        <v>501</v>
      </c>
      <c r="D144" s="63">
        <v>266.56</v>
      </c>
      <c r="E144" s="63">
        <v>410.09</v>
      </c>
      <c r="F144" s="63">
        <f t="shared" si="24"/>
        <v>496.20889999999997</v>
      </c>
      <c r="G144" s="63">
        <f t="shared" si="25"/>
        <v>143.52999999999997</v>
      </c>
      <c r="H144" s="129">
        <f t="shared" si="26"/>
        <v>0.34999634226633175</v>
      </c>
      <c r="I144" s="63">
        <f t="shared" si="27"/>
        <v>10.720386900000001</v>
      </c>
      <c r="J144" s="63">
        <f t="shared" si="28"/>
        <v>30</v>
      </c>
      <c r="K144" s="63">
        <f t="shared" si="29"/>
        <v>2</v>
      </c>
      <c r="L144" s="63">
        <f t="shared" si="30"/>
        <v>1.6</v>
      </c>
      <c r="M144" s="63">
        <f t="shared" si="31"/>
        <v>99.209613099999984</v>
      </c>
      <c r="N144" s="129">
        <f t="shared" si="32"/>
        <v>0.24192156136457849</v>
      </c>
      <c r="O144" s="63">
        <f t="shared" si="33"/>
        <v>99.209613099999984</v>
      </c>
      <c r="P144" s="130">
        <f t="shared" si="34"/>
        <v>5.0016211584238102</v>
      </c>
      <c r="Q144" s="131" t="str">
        <f t="shared" si="35"/>
        <v>NEUTRAL</v>
      </c>
    </row>
    <row r="145" spans="1:17" x14ac:dyDescent="0.2">
      <c r="A145" s="55" t="s">
        <v>467</v>
      </c>
      <c r="B145" s="55" t="s">
        <v>510</v>
      </c>
      <c r="C145" s="55" t="s">
        <v>511</v>
      </c>
      <c r="D145" s="57">
        <v>337.77</v>
      </c>
      <c r="E145" s="57">
        <v>519.64</v>
      </c>
      <c r="F145" s="57">
        <f t="shared" si="24"/>
        <v>628.76439999999991</v>
      </c>
      <c r="G145" s="57">
        <f t="shared" si="25"/>
        <v>181.87</v>
      </c>
      <c r="H145" s="126">
        <f t="shared" si="26"/>
        <v>0.34999230236317452</v>
      </c>
      <c r="I145" s="57">
        <f t="shared" si="27"/>
        <v>13.504052399999999</v>
      </c>
      <c r="J145" s="57">
        <f t="shared" si="28"/>
        <v>30</v>
      </c>
      <c r="K145" s="57">
        <f t="shared" si="29"/>
        <v>2</v>
      </c>
      <c r="L145" s="57">
        <f t="shared" si="30"/>
        <v>1.6</v>
      </c>
      <c r="M145" s="57">
        <f t="shared" si="31"/>
        <v>134.7659476</v>
      </c>
      <c r="N145" s="126">
        <f t="shared" si="32"/>
        <v>0.25934483026710803</v>
      </c>
      <c r="O145" s="57">
        <f t="shared" si="33"/>
        <v>134.7659476</v>
      </c>
      <c r="P145" s="127">
        <f t="shared" si="34"/>
        <v>4.6656029300980473</v>
      </c>
      <c r="Q145" s="128" t="str">
        <f t="shared" si="35"/>
        <v>NEUTRAL</v>
      </c>
    </row>
    <row r="146" spans="1:17" x14ac:dyDescent="0.2">
      <c r="A146" s="61" t="s">
        <v>467</v>
      </c>
      <c r="B146" s="61" t="s">
        <v>513</v>
      </c>
      <c r="C146" s="61" t="s">
        <v>514</v>
      </c>
      <c r="D146" s="63">
        <v>173.92</v>
      </c>
      <c r="E146" s="63">
        <v>267.57</v>
      </c>
      <c r="F146" s="63">
        <f t="shared" si="24"/>
        <v>323.75970000000001</v>
      </c>
      <c r="G146" s="63">
        <f t="shared" si="25"/>
        <v>93.65</v>
      </c>
      <c r="H146" s="129">
        <f t="shared" si="26"/>
        <v>0.35000186866988081</v>
      </c>
      <c r="I146" s="63">
        <f t="shared" si="27"/>
        <v>7.0989537</v>
      </c>
      <c r="J146" s="63">
        <f t="shared" si="28"/>
        <v>30</v>
      </c>
      <c r="K146" s="63">
        <f t="shared" si="29"/>
        <v>2</v>
      </c>
      <c r="L146" s="63">
        <f t="shared" si="30"/>
        <v>1.6</v>
      </c>
      <c r="M146" s="63">
        <f t="shared" si="31"/>
        <v>52.951046300000009</v>
      </c>
      <c r="N146" s="129">
        <f t="shared" si="32"/>
        <v>0.19789605075307401</v>
      </c>
      <c r="O146" s="63">
        <f t="shared" si="33"/>
        <v>52.951046300000009</v>
      </c>
      <c r="P146" s="130">
        <f t="shared" si="34"/>
        <v>6.1143211064367575</v>
      </c>
      <c r="Q146" s="131" t="str">
        <f t="shared" si="35"/>
        <v>NEUTRAL</v>
      </c>
    </row>
    <row r="147" spans="1:17" x14ac:dyDescent="0.2">
      <c r="A147" s="55" t="s">
        <v>467</v>
      </c>
      <c r="B147" s="55" t="s">
        <v>516</v>
      </c>
      <c r="C147" s="55" t="s">
        <v>517</v>
      </c>
      <c r="D147" s="57">
        <v>226.62</v>
      </c>
      <c r="E147" s="57">
        <v>348.65</v>
      </c>
      <c r="F147" s="57">
        <f t="shared" si="24"/>
        <v>421.86649999999997</v>
      </c>
      <c r="G147" s="57">
        <f t="shared" si="25"/>
        <v>122.02999999999997</v>
      </c>
      <c r="H147" s="126">
        <f t="shared" si="26"/>
        <v>0.35000717051484292</v>
      </c>
      <c r="I147" s="57">
        <f t="shared" si="27"/>
        <v>9.1591965000000002</v>
      </c>
      <c r="J147" s="57">
        <f t="shared" si="28"/>
        <v>30</v>
      </c>
      <c r="K147" s="57">
        <f t="shared" si="29"/>
        <v>2</v>
      </c>
      <c r="L147" s="57">
        <f t="shared" si="30"/>
        <v>1.6</v>
      </c>
      <c r="M147" s="57">
        <f t="shared" si="31"/>
        <v>79.270803499999971</v>
      </c>
      <c r="N147" s="126">
        <f t="shared" si="32"/>
        <v>0.22736498924422766</v>
      </c>
      <c r="O147" s="57">
        <f t="shared" si="33"/>
        <v>79.270803499999971</v>
      </c>
      <c r="P147" s="127">
        <f t="shared" si="34"/>
        <v>5.3218395849866731</v>
      </c>
      <c r="Q147" s="128" t="str">
        <f t="shared" si="35"/>
        <v>NEUTRAL</v>
      </c>
    </row>
    <row r="148" spans="1:17" x14ac:dyDescent="0.2">
      <c r="A148" s="61" t="s">
        <v>467</v>
      </c>
      <c r="B148" s="61" t="s">
        <v>519</v>
      </c>
      <c r="C148" s="61" t="s">
        <v>520</v>
      </c>
      <c r="D148" s="63">
        <v>140.88999999999999</v>
      </c>
      <c r="E148" s="63">
        <v>216.76</v>
      </c>
      <c r="F148" s="63">
        <f t="shared" si="24"/>
        <v>262.27959999999996</v>
      </c>
      <c r="G148" s="63">
        <f t="shared" si="25"/>
        <v>75.87</v>
      </c>
      <c r="H148" s="129">
        <f t="shared" si="26"/>
        <v>0.35001845358922312</v>
      </c>
      <c r="I148" s="63">
        <f t="shared" si="27"/>
        <v>5.8078715999999995</v>
      </c>
      <c r="J148" s="63">
        <f t="shared" si="28"/>
        <v>30</v>
      </c>
      <c r="K148" s="63">
        <f t="shared" si="29"/>
        <v>2</v>
      </c>
      <c r="L148" s="63">
        <f t="shared" si="30"/>
        <v>1.6</v>
      </c>
      <c r="M148" s="63">
        <f t="shared" si="31"/>
        <v>36.462128400000005</v>
      </c>
      <c r="N148" s="129">
        <f t="shared" si="32"/>
        <v>0.16821428492341764</v>
      </c>
      <c r="O148" s="63">
        <f t="shared" si="33"/>
        <v>36.462128400000005</v>
      </c>
      <c r="P148" s="130">
        <f t="shared" si="34"/>
        <v>7.1932059786175273</v>
      </c>
      <c r="Q148" s="131" t="str">
        <f t="shared" si="35"/>
        <v>NEUTRAL</v>
      </c>
    </row>
    <row r="149" spans="1:17" x14ac:dyDescent="0.2">
      <c r="A149" s="55" t="s">
        <v>467</v>
      </c>
      <c r="B149" s="55" t="s">
        <v>522</v>
      </c>
      <c r="C149" s="55" t="s">
        <v>523</v>
      </c>
      <c r="D149" s="57">
        <v>139.66999999999999</v>
      </c>
      <c r="E149" s="57">
        <v>251.66</v>
      </c>
      <c r="F149" s="57">
        <f t="shared" si="24"/>
        <v>304.5086</v>
      </c>
      <c r="G149" s="57">
        <f t="shared" si="25"/>
        <v>111.99000000000001</v>
      </c>
      <c r="H149" s="126">
        <f t="shared" si="26"/>
        <v>0.44500516569975368</v>
      </c>
      <c r="I149" s="57">
        <f t="shared" si="27"/>
        <v>6.6946805999999999</v>
      </c>
      <c r="J149" s="57">
        <f t="shared" si="28"/>
        <v>30</v>
      </c>
      <c r="K149" s="57">
        <f t="shared" si="29"/>
        <v>2</v>
      </c>
      <c r="L149" s="57">
        <f t="shared" si="30"/>
        <v>1.6</v>
      </c>
      <c r="M149" s="57">
        <f t="shared" si="31"/>
        <v>71.695319400000017</v>
      </c>
      <c r="N149" s="126">
        <f t="shared" si="32"/>
        <v>0.28488961058571094</v>
      </c>
      <c r="O149" s="57">
        <f t="shared" si="33"/>
        <v>71.695319400000017</v>
      </c>
      <c r="P149" s="127">
        <f t="shared" si="34"/>
        <v>4.2472591313959605</v>
      </c>
      <c r="Q149" s="128" t="str">
        <f t="shared" si="35"/>
        <v>NEUTRAL</v>
      </c>
    </row>
    <row r="150" spans="1:17" x14ac:dyDescent="0.2">
      <c r="A150" s="61" t="s">
        <v>467</v>
      </c>
      <c r="B150" s="61" t="s">
        <v>525</v>
      </c>
      <c r="C150" s="61" t="s">
        <v>526</v>
      </c>
      <c r="D150" s="63">
        <v>114.6</v>
      </c>
      <c r="E150" s="63">
        <v>176.31</v>
      </c>
      <c r="F150" s="63">
        <f t="shared" si="24"/>
        <v>213.33509999999998</v>
      </c>
      <c r="G150" s="63">
        <f t="shared" si="25"/>
        <v>61.710000000000008</v>
      </c>
      <c r="H150" s="129">
        <f t="shared" si="26"/>
        <v>0.35000850774204528</v>
      </c>
      <c r="I150" s="63">
        <f t="shared" si="27"/>
        <v>4.7800370999999995</v>
      </c>
      <c r="J150" s="63">
        <f t="shared" si="28"/>
        <v>30</v>
      </c>
      <c r="K150" s="63">
        <f t="shared" si="29"/>
        <v>2</v>
      </c>
      <c r="L150" s="63">
        <f t="shared" si="30"/>
        <v>1.6</v>
      </c>
      <c r="M150" s="63">
        <f t="shared" si="31"/>
        <v>23.329962900000005</v>
      </c>
      <c r="N150" s="129">
        <f t="shared" si="32"/>
        <v>0.13232353751914244</v>
      </c>
      <c r="O150" s="63">
        <f t="shared" si="33"/>
        <v>23.329962900000005</v>
      </c>
      <c r="P150" s="130">
        <f t="shared" si="34"/>
        <v>9.1442537184660484</v>
      </c>
      <c r="Q150" s="131" t="str">
        <f t="shared" si="35"/>
        <v>WATCH</v>
      </c>
    </row>
    <row r="151" spans="1:17" x14ac:dyDescent="0.2">
      <c r="A151" s="55" t="s">
        <v>467</v>
      </c>
      <c r="B151" s="55" t="s">
        <v>528</v>
      </c>
      <c r="C151" s="55" t="s">
        <v>529</v>
      </c>
      <c r="D151" s="57">
        <v>1073.6099999999999</v>
      </c>
      <c r="E151" s="57">
        <v>1651.71</v>
      </c>
      <c r="F151" s="57">
        <f t="shared" si="24"/>
        <v>1998.5690999999999</v>
      </c>
      <c r="G151" s="57">
        <f t="shared" si="25"/>
        <v>578.10000000000014</v>
      </c>
      <c r="H151" s="126">
        <f t="shared" si="26"/>
        <v>0.35000090814973578</v>
      </c>
      <c r="I151" s="57">
        <f t="shared" si="27"/>
        <v>42.2699511</v>
      </c>
      <c r="J151" s="57">
        <f t="shared" si="28"/>
        <v>30</v>
      </c>
      <c r="K151" s="57">
        <f t="shared" si="29"/>
        <v>2</v>
      </c>
      <c r="L151" s="57">
        <f t="shared" si="30"/>
        <v>1.6</v>
      </c>
      <c r="M151" s="57">
        <f t="shared" si="31"/>
        <v>502.23004890000016</v>
      </c>
      <c r="N151" s="126">
        <f t="shared" si="32"/>
        <v>0.30406672412227337</v>
      </c>
      <c r="O151" s="57">
        <f t="shared" si="33"/>
        <v>502.23004890000016</v>
      </c>
      <c r="P151" s="127">
        <f t="shared" si="34"/>
        <v>3.9793897326082499</v>
      </c>
      <c r="Q151" s="128" t="str">
        <f t="shared" si="35"/>
        <v>PUSH</v>
      </c>
    </row>
    <row r="152" spans="1:17" x14ac:dyDescent="0.2">
      <c r="A152" s="61" t="s">
        <v>467</v>
      </c>
      <c r="B152" s="61" t="s">
        <v>531</v>
      </c>
      <c r="C152" s="61" t="s">
        <v>532</v>
      </c>
      <c r="D152" s="63">
        <v>1510.81</v>
      </c>
      <c r="E152" s="63">
        <v>2324.3200000000002</v>
      </c>
      <c r="F152" s="63">
        <f t="shared" si="24"/>
        <v>2812.4272000000001</v>
      </c>
      <c r="G152" s="63">
        <f t="shared" si="25"/>
        <v>813.51000000000022</v>
      </c>
      <c r="H152" s="129">
        <f t="shared" si="26"/>
        <v>0.34999913953328293</v>
      </c>
      <c r="I152" s="63">
        <f t="shared" si="27"/>
        <v>59.360971200000002</v>
      </c>
      <c r="J152" s="63">
        <f t="shared" si="28"/>
        <v>30</v>
      </c>
      <c r="K152" s="63">
        <f t="shared" si="29"/>
        <v>2</v>
      </c>
      <c r="L152" s="63">
        <f t="shared" si="30"/>
        <v>1.6</v>
      </c>
      <c r="M152" s="63">
        <f t="shared" si="31"/>
        <v>720.5490288000002</v>
      </c>
      <c r="N152" s="129">
        <f t="shared" si="32"/>
        <v>0.31000422867763483</v>
      </c>
      <c r="O152" s="63">
        <f t="shared" si="33"/>
        <v>720.5490288000002</v>
      </c>
      <c r="P152" s="130">
        <f t="shared" si="34"/>
        <v>3.9031725636821779</v>
      </c>
      <c r="Q152" s="131" t="str">
        <f t="shared" si="35"/>
        <v>PUSH</v>
      </c>
    </row>
    <row r="153" spans="1:17" x14ac:dyDescent="0.2">
      <c r="A153" s="55" t="s">
        <v>467</v>
      </c>
      <c r="B153" s="55" t="s">
        <v>534</v>
      </c>
      <c r="C153" s="55" t="s">
        <v>535</v>
      </c>
      <c r="D153" s="57">
        <v>100.25</v>
      </c>
      <c r="E153" s="57">
        <v>154.22999999999999</v>
      </c>
      <c r="F153" s="57">
        <f t="shared" si="24"/>
        <v>186.61829999999998</v>
      </c>
      <c r="G153" s="57">
        <f t="shared" si="25"/>
        <v>53.97999999999999</v>
      </c>
      <c r="H153" s="126">
        <f t="shared" si="26"/>
        <v>0.349996758088569</v>
      </c>
      <c r="I153" s="57">
        <f t="shared" si="27"/>
        <v>4.2189842999999998</v>
      </c>
      <c r="J153" s="57">
        <f t="shared" si="28"/>
        <v>30</v>
      </c>
      <c r="K153" s="57">
        <f t="shared" si="29"/>
        <v>2</v>
      </c>
      <c r="L153" s="57">
        <f t="shared" si="30"/>
        <v>1.6</v>
      </c>
      <c r="M153" s="57">
        <f t="shared" si="31"/>
        <v>16.161015699999986</v>
      </c>
      <c r="N153" s="126">
        <f t="shared" si="32"/>
        <v>0.10478516306814489</v>
      </c>
      <c r="O153" s="57">
        <f t="shared" si="33"/>
        <v>16.161015699999986</v>
      </c>
      <c r="P153" s="127">
        <f t="shared" si="34"/>
        <v>11.547436340897814</v>
      </c>
      <c r="Q153" s="128" t="str">
        <f t="shared" si="35"/>
        <v>WATCH</v>
      </c>
    </row>
    <row r="154" spans="1:17" x14ac:dyDescent="0.2">
      <c r="A154" s="61" t="s">
        <v>467</v>
      </c>
      <c r="B154" s="61" t="s">
        <v>537</v>
      </c>
      <c r="C154" s="61" t="s">
        <v>538</v>
      </c>
      <c r="D154" s="63">
        <v>97.71</v>
      </c>
      <c r="E154" s="63">
        <v>150.32</v>
      </c>
      <c r="F154" s="63">
        <f t="shared" si="24"/>
        <v>181.88719999999998</v>
      </c>
      <c r="G154" s="63">
        <f t="shared" si="25"/>
        <v>52.61</v>
      </c>
      <c r="H154" s="129">
        <f t="shared" si="26"/>
        <v>0.34998669505055879</v>
      </c>
      <c r="I154" s="63">
        <f t="shared" si="27"/>
        <v>4.1196311999999997</v>
      </c>
      <c r="J154" s="63">
        <f t="shared" si="28"/>
        <v>30</v>
      </c>
      <c r="K154" s="63">
        <f t="shared" si="29"/>
        <v>2</v>
      </c>
      <c r="L154" s="63">
        <f t="shared" si="30"/>
        <v>1.6</v>
      </c>
      <c r="M154" s="63">
        <f t="shared" si="31"/>
        <v>14.890368799999999</v>
      </c>
      <c r="N154" s="129">
        <f t="shared" si="32"/>
        <v>9.9057802022352315E-2</v>
      </c>
      <c r="O154" s="63">
        <f t="shared" si="33"/>
        <v>14.890368799999999</v>
      </c>
      <c r="P154" s="130">
        <f t="shared" si="34"/>
        <v>12.215090334095686</v>
      </c>
      <c r="Q154" s="131" t="str">
        <f t="shared" si="35"/>
        <v>WATCH</v>
      </c>
    </row>
    <row r="155" spans="1:17" x14ac:dyDescent="0.2">
      <c r="A155" s="55" t="s">
        <v>467</v>
      </c>
      <c r="B155" s="55" t="s">
        <v>540</v>
      </c>
      <c r="C155" s="55" t="s">
        <v>538</v>
      </c>
      <c r="D155" s="57">
        <v>102.17</v>
      </c>
      <c r="E155" s="57">
        <v>157.19</v>
      </c>
      <c r="F155" s="57">
        <f t="shared" si="24"/>
        <v>190.19989999999999</v>
      </c>
      <c r="G155" s="57">
        <f t="shared" si="25"/>
        <v>55.019999999999996</v>
      </c>
      <c r="H155" s="126">
        <f t="shared" si="26"/>
        <v>0.35002226604745845</v>
      </c>
      <c r="I155" s="57">
        <f t="shared" si="27"/>
        <v>4.2941979000000003</v>
      </c>
      <c r="J155" s="57">
        <f t="shared" si="28"/>
        <v>30</v>
      </c>
      <c r="K155" s="57">
        <f t="shared" si="29"/>
        <v>2</v>
      </c>
      <c r="L155" s="57">
        <f t="shared" si="30"/>
        <v>1.6</v>
      </c>
      <c r="M155" s="57">
        <f t="shared" si="31"/>
        <v>17.125802099999994</v>
      </c>
      <c r="N155" s="126">
        <f t="shared" si="32"/>
        <v>0.10894969209237225</v>
      </c>
      <c r="O155" s="57">
        <f t="shared" si="33"/>
        <v>17.125802099999994</v>
      </c>
      <c r="P155" s="127">
        <f t="shared" si="34"/>
        <v>11.106043319279046</v>
      </c>
      <c r="Q155" s="128" t="str">
        <f t="shared" si="35"/>
        <v>WATCH</v>
      </c>
    </row>
    <row r="156" spans="1:17" x14ac:dyDescent="0.2">
      <c r="A156" s="61" t="s">
        <v>467</v>
      </c>
      <c r="B156" s="61" t="s">
        <v>542</v>
      </c>
      <c r="C156" s="61" t="s">
        <v>543</v>
      </c>
      <c r="D156" s="63">
        <v>41.58</v>
      </c>
      <c r="E156" s="63">
        <v>63.96</v>
      </c>
      <c r="F156" s="63">
        <f t="shared" si="24"/>
        <v>77.391599999999997</v>
      </c>
      <c r="G156" s="63">
        <f t="shared" si="25"/>
        <v>22.380000000000003</v>
      </c>
      <c r="H156" s="129">
        <f t="shared" si="26"/>
        <v>0.34990619136960605</v>
      </c>
      <c r="I156" s="63">
        <f t="shared" si="27"/>
        <v>1.9252236</v>
      </c>
      <c r="J156" s="63">
        <f t="shared" si="28"/>
        <v>30</v>
      </c>
      <c r="K156" s="63">
        <f t="shared" si="29"/>
        <v>2</v>
      </c>
      <c r="L156" s="63">
        <f t="shared" si="30"/>
        <v>1.6</v>
      </c>
      <c r="M156" s="63">
        <f t="shared" si="31"/>
        <v>-13.145223599999996</v>
      </c>
      <c r="N156" s="129">
        <f t="shared" si="32"/>
        <v>-0.20552257035647273</v>
      </c>
      <c r="O156" s="63">
        <f t="shared" si="33"/>
        <v>0</v>
      </c>
      <c r="P156" s="130">
        <f t="shared" si="34"/>
        <v>0</v>
      </c>
      <c r="Q156" s="131" t="str">
        <f t="shared" si="35"/>
        <v>NO ANUNCIAR</v>
      </c>
    </row>
    <row r="157" spans="1:17" x14ac:dyDescent="0.2">
      <c r="A157" s="55" t="s">
        <v>467</v>
      </c>
      <c r="B157" s="55" t="s">
        <v>544</v>
      </c>
      <c r="C157" s="55" t="s">
        <v>543</v>
      </c>
      <c r="D157" s="57">
        <v>43.92</v>
      </c>
      <c r="E157" s="57">
        <v>67.569999999999993</v>
      </c>
      <c r="F157" s="57">
        <f t="shared" si="24"/>
        <v>81.759699999999995</v>
      </c>
      <c r="G157" s="57">
        <f t="shared" si="25"/>
        <v>23.649999999999991</v>
      </c>
      <c r="H157" s="126">
        <f t="shared" si="26"/>
        <v>0.3500073997336095</v>
      </c>
      <c r="I157" s="57">
        <f t="shared" si="27"/>
        <v>2.0169536999999997</v>
      </c>
      <c r="J157" s="57">
        <f t="shared" si="28"/>
        <v>30</v>
      </c>
      <c r="K157" s="57">
        <f t="shared" si="29"/>
        <v>2</v>
      </c>
      <c r="L157" s="57">
        <f t="shared" si="30"/>
        <v>1.6</v>
      </c>
      <c r="M157" s="57">
        <f t="shared" si="31"/>
        <v>-11.966953700000007</v>
      </c>
      <c r="N157" s="126">
        <f t="shared" si="32"/>
        <v>-0.17710453899659623</v>
      </c>
      <c r="O157" s="57">
        <f t="shared" si="33"/>
        <v>0</v>
      </c>
      <c r="P157" s="127">
        <f t="shared" si="34"/>
        <v>0</v>
      </c>
      <c r="Q157" s="128" t="str">
        <f t="shared" si="35"/>
        <v>NO ANUNCIAR</v>
      </c>
    </row>
    <row r="158" spans="1:17" x14ac:dyDescent="0.2">
      <c r="A158" s="61" t="s">
        <v>467</v>
      </c>
      <c r="B158" s="61" t="s">
        <v>546</v>
      </c>
      <c r="C158" s="61" t="s">
        <v>547</v>
      </c>
      <c r="D158" s="63">
        <v>54.81</v>
      </c>
      <c r="E158" s="63">
        <v>84.32</v>
      </c>
      <c r="F158" s="63">
        <f t="shared" si="24"/>
        <v>102.02719999999999</v>
      </c>
      <c r="G158" s="63">
        <f t="shared" si="25"/>
        <v>29.509999999999991</v>
      </c>
      <c r="H158" s="129">
        <f t="shared" si="26"/>
        <v>0.34997628083491455</v>
      </c>
      <c r="I158" s="63">
        <f t="shared" si="27"/>
        <v>2.4425711999999997</v>
      </c>
      <c r="J158" s="63">
        <f t="shared" si="28"/>
        <v>30</v>
      </c>
      <c r="K158" s="63">
        <f t="shared" si="29"/>
        <v>2</v>
      </c>
      <c r="L158" s="63">
        <f t="shared" si="30"/>
        <v>1.6</v>
      </c>
      <c r="M158" s="63">
        <f t="shared" si="31"/>
        <v>-6.5325712000000085</v>
      </c>
      <c r="N158" s="129">
        <f t="shared" si="32"/>
        <v>-7.7473567362428955E-2</v>
      </c>
      <c r="O158" s="63">
        <f t="shared" si="33"/>
        <v>0</v>
      </c>
      <c r="P158" s="130">
        <f t="shared" si="34"/>
        <v>0</v>
      </c>
      <c r="Q158" s="131" t="str">
        <f t="shared" si="35"/>
        <v>NO ANUNCIAR</v>
      </c>
    </row>
    <row r="159" spans="1:17" x14ac:dyDescent="0.2">
      <c r="A159" s="55" t="s">
        <v>467</v>
      </c>
      <c r="B159" s="55" t="s">
        <v>548</v>
      </c>
      <c r="C159" s="55" t="s">
        <v>547</v>
      </c>
      <c r="D159" s="57">
        <v>55.63</v>
      </c>
      <c r="E159" s="57">
        <v>85.59</v>
      </c>
      <c r="F159" s="57">
        <f t="shared" si="24"/>
        <v>103.5639</v>
      </c>
      <c r="G159" s="57">
        <f t="shared" si="25"/>
        <v>29.96</v>
      </c>
      <c r="H159" s="126">
        <f t="shared" si="26"/>
        <v>0.35004089262764343</v>
      </c>
      <c r="I159" s="57">
        <f t="shared" si="27"/>
        <v>2.4748418999999999</v>
      </c>
      <c r="J159" s="57">
        <f t="shared" si="28"/>
        <v>30</v>
      </c>
      <c r="K159" s="57">
        <f t="shared" si="29"/>
        <v>2</v>
      </c>
      <c r="L159" s="57">
        <f t="shared" si="30"/>
        <v>1.6</v>
      </c>
      <c r="M159" s="57">
        <f t="shared" si="31"/>
        <v>-6.1148419000000001</v>
      </c>
      <c r="N159" s="126">
        <f t="shared" si="32"/>
        <v>-7.1443415118588621E-2</v>
      </c>
      <c r="O159" s="57">
        <f t="shared" si="33"/>
        <v>0</v>
      </c>
      <c r="P159" s="127">
        <f t="shared" si="34"/>
        <v>0</v>
      </c>
      <c r="Q159" s="128" t="str">
        <f t="shared" si="35"/>
        <v>NO ANUNCIAR</v>
      </c>
    </row>
    <row r="160" spans="1:17" x14ac:dyDescent="0.2">
      <c r="A160" s="61" t="s">
        <v>467</v>
      </c>
      <c r="B160" s="61" t="s">
        <v>550</v>
      </c>
      <c r="C160" s="61" t="s">
        <v>551</v>
      </c>
      <c r="D160" s="63">
        <v>17.170000000000002</v>
      </c>
      <c r="E160" s="63">
        <v>27.69</v>
      </c>
      <c r="F160" s="63">
        <f t="shared" si="24"/>
        <v>33.504899999999999</v>
      </c>
      <c r="G160" s="63">
        <f t="shared" si="25"/>
        <v>10.52</v>
      </c>
      <c r="H160" s="129">
        <f t="shared" si="26"/>
        <v>0.3799205489346334</v>
      </c>
      <c r="I160" s="63">
        <f t="shared" si="27"/>
        <v>1.0036029</v>
      </c>
      <c r="J160" s="63">
        <f t="shared" si="28"/>
        <v>30</v>
      </c>
      <c r="K160" s="63">
        <f t="shared" si="29"/>
        <v>2</v>
      </c>
      <c r="L160" s="63">
        <f t="shared" si="30"/>
        <v>1.6</v>
      </c>
      <c r="M160" s="63">
        <f t="shared" si="31"/>
        <v>-24.083602900000002</v>
      </c>
      <c r="N160" s="129">
        <f t="shared" si="32"/>
        <v>-0.86975814012278807</v>
      </c>
      <c r="O160" s="63">
        <f t="shared" si="33"/>
        <v>0</v>
      </c>
      <c r="P160" s="130">
        <f t="shared" si="34"/>
        <v>0</v>
      </c>
      <c r="Q160" s="131" t="str">
        <f t="shared" si="35"/>
        <v>NO ANUNCIAR</v>
      </c>
    </row>
    <row r="161" spans="1:17" x14ac:dyDescent="0.2">
      <c r="A161" s="55" t="s">
        <v>467</v>
      </c>
      <c r="B161" s="55" t="s">
        <v>552</v>
      </c>
      <c r="C161" s="55" t="s">
        <v>551</v>
      </c>
      <c r="D161" s="57">
        <v>20.77</v>
      </c>
      <c r="E161" s="57">
        <v>33.49</v>
      </c>
      <c r="F161" s="57">
        <f t="shared" si="24"/>
        <v>40.5229</v>
      </c>
      <c r="G161" s="57">
        <f t="shared" si="25"/>
        <v>12.720000000000002</v>
      </c>
      <c r="H161" s="126">
        <f t="shared" si="26"/>
        <v>0.37981487011048082</v>
      </c>
      <c r="I161" s="57">
        <f t="shared" si="27"/>
        <v>1.1509809</v>
      </c>
      <c r="J161" s="57">
        <f t="shared" si="28"/>
        <v>30</v>
      </c>
      <c r="K161" s="57">
        <f t="shared" si="29"/>
        <v>2</v>
      </c>
      <c r="L161" s="57">
        <f t="shared" si="30"/>
        <v>1.6</v>
      </c>
      <c r="M161" s="57">
        <f t="shared" si="31"/>
        <v>-22.030980899999999</v>
      </c>
      <c r="N161" s="126">
        <f t="shared" si="32"/>
        <v>-0.65783759032547018</v>
      </c>
      <c r="O161" s="57">
        <f t="shared" si="33"/>
        <v>0</v>
      </c>
      <c r="P161" s="127">
        <f t="shared" si="34"/>
        <v>0</v>
      </c>
      <c r="Q161" s="128" t="str">
        <f t="shared" si="35"/>
        <v>NO ANUNCIAR</v>
      </c>
    </row>
    <row r="162" spans="1:17" x14ac:dyDescent="0.2">
      <c r="A162" s="61" t="s">
        <v>467</v>
      </c>
      <c r="B162" s="61" t="s">
        <v>554</v>
      </c>
      <c r="C162" s="61" t="s">
        <v>555</v>
      </c>
      <c r="D162" s="63">
        <v>43.89</v>
      </c>
      <c r="E162" s="63">
        <v>58.52</v>
      </c>
      <c r="F162" s="63">
        <f t="shared" si="24"/>
        <v>70.809200000000004</v>
      </c>
      <c r="G162" s="63">
        <f t="shared" si="25"/>
        <v>14.630000000000003</v>
      </c>
      <c r="H162" s="129">
        <f t="shared" si="26"/>
        <v>0.25000000000000006</v>
      </c>
      <c r="I162" s="63">
        <f t="shared" si="27"/>
        <v>1.7869932000000002</v>
      </c>
      <c r="J162" s="63">
        <f t="shared" si="28"/>
        <v>30</v>
      </c>
      <c r="K162" s="63">
        <f t="shared" si="29"/>
        <v>2</v>
      </c>
      <c r="L162" s="63">
        <f t="shared" si="30"/>
        <v>1.6</v>
      </c>
      <c r="M162" s="63">
        <f t="shared" si="31"/>
        <v>-20.756993199999997</v>
      </c>
      <c r="N162" s="129">
        <f t="shared" si="32"/>
        <v>-0.35469913192071079</v>
      </c>
      <c r="O162" s="63">
        <f t="shared" si="33"/>
        <v>0</v>
      </c>
      <c r="P162" s="130">
        <f t="shared" si="34"/>
        <v>0</v>
      </c>
      <c r="Q162" s="131" t="str">
        <f t="shared" si="35"/>
        <v>NO ANUNCIAR</v>
      </c>
    </row>
    <row r="163" spans="1:17" x14ac:dyDescent="0.2">
      <c r="A163" s="55" t="s">
        <v>467</v>
      </c>
      <c r="B163" s="55" t="s">
        <v>556</v>
      </c>
      <c r="C163" s="55" t="s">
        <v>557</v>
      </c>
      <c r="D163" s="57">
        <v>52.19</v>
      </c>
      <c r="E163" s="57">
        <v>69.58</v>
      </c>
      <c r="F163" s="57">
        <f t="shared" si="24"/>
        <v>84.191800000000001</v>
      </c>
      <c r="G163" s="57">
        <f t="shared" si="25"/>
        <v>17.39</v>
      </c>
      <c r="H163" s="126">
        <f t="shared" si="26"/>
        <v>0.24992814027019261</v>
      </c>
      <c r="I163" s="57">
        <f t="shared" si="27"/>
        <v>2.0680277999999999</v>
      </c>
      <c r="J163" s="57">
        <f t="shared" si="28"/>
        <v>30</v>
      </c>
      <c r="K163" s="57">
        <f t="shared" si="29"/>
        <v>2</v>
      </c>
      <c r="L163" s="57">
        <f t="shared" si="30"/>
        <v>1.6</v>
      </c>
      <c r="M163" s="57">
        <f t="shared" si="31"/>
        <v>-18.2780278</v>
      </c>
      <c r="N163" s="126">
        <f t="shared" si="32"/>
        <v>-0.26269082782408737</v>
      </c>
      <c r="O163" s="57">
        <f t="shared" si="33"/>
        <v>0</v>
      </c>
      <c r="P163" s="127">
        <f t="shared" si="34"/>
        <v>0</v>
      </c>
      <c r="Q163" s="128" t="str">
        <f t="shared" si="35"/>
        <v>NO ANUNCIAR</v>
      </c>
    </row>
    <row r="164" spans="1:17" x14ac:dyDescent="0.2">
      <c r="A164" s="61" t="s">
        <v>467</v>
      </c>
      <c r="B164" s="61" t="s">
        <v>559</v>
      </c>
      <c r="C164" s="61" t="s">
        <v>560</v>
      </c>
      <c r="D164" s="63">
        <v>48.33</v>
      </c>
      <c r="E164" s="63">
        <v>64.44</v>
      </c>
      <c r="F164" s="63">
        <f t="shared" si="24"/>
        <v>77.972399999999993</v>
      </c>
      <c r="G164" s="63">
        <f t="shared" si="25"/>
        <v>16.11</v>
      </c>
      <c r="H164" s="129">
        <f t="shared" si="26"/>
        <v>0.25</v>
      </c>
      <c r="I164" s="63">
        <f t="shared" si="27"/>
        <v>1.9374203999999999</v>
      </c>
      <c r="J164" s="63">
        <f t="shared" si="28"/>
        <v>30</v>
      </c>
      <c r="K164" s="63">
        <f t="shared" si="29"/>
        <v>2</v>
      </c>
      <c r="L164" s="63">
        <f t="shared" si="30"/>
        <v>1.6</v>
      </c>
      <c r="M164" s="63">
        <f t="shared" si="31"/>
        <v>-19.427420400000003</v>
      </c>
      <c r="N164" s="129">
        <f t="shared" si="32"/>
        <v>-0.30148076350093117</v>
      </c>
      <c r="O164" s="63">
        <f t="shared" si="33"/>
        <v>0</v>
      </c>
      <c r="P164" s="130">
        <f t="shared" si="34"/>
        <v>0</v>
      </c>
      <c r="Q164" s="131" t="str">
        <f t="shared" si="35"/>
        <v>NO ANUNCIAR</v>
      </c>
    </row>
    <row r="165" spans="1:17" x14ac:dyDescent="0.2">
      <c r="A165" s="55" t="s">
        <v>467</v>
      </c>
      <c r="B165" s="55" t="s">
        <v>561</v>
      </c>
      <c r="C165" s="55" t="s">
        <v>562</v>
      </c>
      <c r="D165" s="57">
        <v>49.44</v>
      </c>
      <c r="E165" s="57">
        <v>65.92</v>
      </c>
      <c r="F165" s="57">
        <f t="shared" si="24"/>
        <v>79.763199999999998</v>
      </c>
      <c r="G165" s="57">
        <f t="shared" si="25"/>
        <v>16.480000000000004</v>
      </c>
      <c r="H165" s="126">
        <f t="shared" si="26"/>
        <v>0.25000000000000006</v>
      </c>
      <c r="I165" s="57">
        <f t="shared" si="27"/>
        <v>1.9750272000000002</v>
      </c>
      <c r="J165" s="57">
        <f t="shared" si="28"/>
        <v>30</v>
      </c>
      <c r="K165" s="57">
        <f t="shared" si="29"/>
        <v>2</v>
      </c>
      <c r="L165" s="57">
        <f t="shared" si="30"/>
        <v>1.6</v>
      </c>
      <c r="M165" s="57">
        <f t="shared" si="31"/>
        <v>-19.095027199999997</v>
      </c>
      <c r="N165" s="126">
        <f t="shared" si="32"/>
        <v>-0.28966970873786402</v>
      </c>
      <c r="O165" s="57">
        <f t="shared" si="33"/>
        <v>0</v>
      </c>
      <c r="P165" s="127">
        <f t="shared" si="34"/>
        <v>0</v>
      </c>
      <c r="Q165" s="128" t="str">
        <f t="shared" si="35"/>
        <v>NO ANUNCIAR</v>
      </c>
    </row>
    <row r="166" spans="1:17" x14ac:dyDescent="0.2">
      <c r="A166" s="61" t="s">
        <v>467</v>
      </c>
      <c r="B166" s="61" t="s">
        <v>563</v>
      </c>
      <c r="C166" s="61" t="s">
        <v>562</v>
      </c>
      <c r="D166" s="63">
        <v>71.33</v>
      </c>
      <c r="E166" s="63">
        <v>95.11</v>
      </c>
      <c r="F166" s="63">
        <f t="shared" si="24"/>
        <v>115.0831</v>
      </c>
      <c r="G166" s="63">
        <f t="shared" si="25"/>
        <v>23.78</v>
      </c>
      <c r="H166" s="129">
        <f t="shared" si="26"/>
        <v>0.25002628535380089</v>
      </c>
      <c r="I166" s="63">
        <f t="shared" si="27"/>
        <v>2.7167450999999998</v>
      </c>
      <c r="J166" s="63">
        <f t="shared" si="28"/>
        <v>30</v>
      </c>
      <c r="K166" s="63">
        <f t="shared" si="29"/>
        <v>2</v>
      </c>
      <c r="L166" s="63">
        <f t="shared" si="30"/>
        <v>1.6</v>
      </c>
      <c r="M166" s="63">
        <f t="shared" si="31"/>
        <v>-12.536745099999999</v>
      </c>
      <c r="N166" s="129">
        <f t="shared" si="32"/>
        <v>-0.13181311218589001</v>
      </c>
      <c r="O166" s="63">
        <f t="shared" si="33"/>
        <v>0</v>
      </c>
      <c r="P166" s="130">
        <f t="shared" si="34"/>
        <v>0</v>
      </c>
      <c r="Q166" s="131" t="str">
        <f t="shared" si="35"/>
        <v>NO ANUNCIAR</v>
      </c>
    </row>
    <row r="167" spans="1:17" x14ac:dyDescent="0.2">
      <c r="A167" s="55" t="s">
        <v>467</v>
      </c>
      <c r="B167" s="55" t="s">
        <v>565</v>
      </c>
      <c r="C167" s="55" t="s">
        <v>566</v>
      </c>
      <c r="D167" s="57">
        <v>40.56</v>
      </c>
      <c r="E167" s="57">
        <v>54.07</v>
      </c>
      <c r="F167" s="57">
        <f t="shared" si="24"/>
        <v>65.424700000000001</v>
      </c>
      <c r="G167" s="57">
        <f t="shared" si="25"/>
        <v>13.509999999999998</v>
      </c>
      <c r="H167" s="126">
        <f t="shared" si="26"/>
        <v>0.2498612909191788</v>
      </c>
      <c r="I167" s="57">
        <f t="shared" si="27"/>
        <v>1.6739187000000002</v>
      </c>
      <c r="J167" s="57">
        <f t="shared" si="28"/>
        <v>30</v>
      </c>
      <c r="K167" s="57">
        <f t="shared" si="29"/>
        <v>2</v>
      </c>
      <c r="L167" s="57">
        <f t="shared" si="30"/>
        <v>1.6</v>
      </c>
      <c r="M167" s="57">
        <f t="shared" si="31"/>
        <v>-21.763918700000005</v>
      </c>
      <c r="N167" s="126">
        <f t="shared" si="32"/>
        <v>-0.40251375439245429</v>
      </c>
      <c r="O167" s="57">
        <f t="shared" si="33"/>
        <v>0</v>
      </c>
      <c r="P167" s="127">
        <f t="shared" si="34"/>
        <v>0</v>
      </c>
      <c r="Q167" s="128" t="str">
        <f t="shared" si="35"/>
        <v>NO ANUNCIAR</v>
      </c>
    </row>
    <row r="168" spans="1:17" x14ac:dyDescent="0.2">
      <c r="A168" s="61" t="s">
        <v>467</v>
      </c>
      <c r="B168" s="61" t="s">
        <v>568</v>
      </c>
      <c r="C168" s="61" t="s">
        <v>569</v>
      </c>
      <c r="D168" s="63">
        <v>43.83</v>
      </c>
      <c r="E168" s="63">
        <v>58.44</v>
      </c>
      <c r="F168" s="63">
        <f t="shared" si="24"/>
        <v>70.712399999999988</v>
      </c>
      <c r="G168" s="63">
        <f t="shared" si="25"/>
        <v>14.61</v>
      </c>
      <c r="H168" s="129">
        <f t="shared" si="26"/>
        <v>0.25</v>
      </c>
      <c r="I168" s="63">
        <f t="shared" si="27"/>
        <v>1.7849603999999999</v>
      </c>
      <c r="J168" s="63">
        <f t="shared" si="28"/>
        <v>30</v>
      </c>
      <c r="K168" s="63">
        <f t="shared" si="29"/>
        <v>2</v>
      </c>
      <c r="L168" s="63">
        <f t="shared" si="30"/>
        <v>1.6</v>
      </c>
      <c r="M168" s="63">
        <f t="shared" si="31"/>
        <v>-20.774960400000001</v>
      </c>
      <c r="N168" s="129">
        <f t="shared" si="32"/>
        <v>-0.35549213552361397</v>
      </c>
      <c r="O168" s="63">
        <f t="shared" si="33"/>
        <v>0</v>
      </c>
      <c r="P168" s="130">
        <f t="shared" si="34"/>
        <v>0</v>
      </c>
      <c r="Q168" s="131" t="str">
        <f t="shared" si="35"/>
        <v>NO ANUNCIAR</v>
      </c>
    </row>
    <row r="169" spans="1:17" x14ac:dyDescent="0.2">
      <c r="A169" s="55" t="s">
        <v>467</v>
      </c>
      <c r="B169" s="55" t="s">
        <v>571</v>
      </c>
      <c r="C169" s="55" t="s">
        <v>562</v>
      </c>
      <c r="D169" s="57">
        <v>55.51</v>
      </c>
      <c r="E169" s="57">
        <v>74.010000000000005</v>
      </c>
      <c r="F169" s="57">
        <f t="shared" si="24"/>
        <v>89.55210000000001</v>
      </c>
      <c r="G169" s="57">
        <f t="shared" si="25"/>
        <v>18.500000000000007</v>
      </c>
      <c r="H169" s="126">
        <f t="shared" si="26"/>
        <v>0.24996622078097563</v>
      </c>
      <c r="I169" s="57">
        <f t="shared" si="27"/>
        <v>2.1805941000000004</v>
      </c>
      <c r="J169" s="57">
        <f t="shared" si="28"/>
        <v>30</v>
      </c>
      <c r="K169" s="57">
        <f t="shared" si="29"/>
        <v>2</v>
      </c>
      <c r="L169" s="57">
        <f t="shared" si="30"/>
        <v>1.6</v>
      </c>
      <c r="M169" s="57">
        <f t="shared" si="31"/>
        <v>-17.280594099999995</v>
      </c>
      <c r="N169" s="126">
        <f t="shared" si="32"/>
        <v>-0.23348998919064984</v>
      </c>
      <c r="O169" s="57">
        <f t="shared" si="33"/>
        <v>0</v>
      </c>
      <c r="P169" s="127">
        <f t="shared" si="34"/>
        <v>0</v>
      </c>
      <c r="Q169" s="128" t="str">
        <f t="shared" si="35"/>
        <v>NO ANUNCIAR</v>
      </c>
    </row>
    <row r="170" spans="1:17" x14ac:dyDescent="0.2">
      <c r="A170" s="61" t="s">
        <v>467</v>
      </c>
      <c r="B170" s="61" t="s">
        <v>573</v>
      </c>
      <c r="C170" s="61" t="s">
        <v>574</v>
      </c>
      <c r="D170" s="63">
        <v>60.67</v>
      </c>
      <c r="E170" s="63">
        <v>80.89</v>
      </c>
      <c r="F170" s="63">
        <f t="shared" si="24"/>
        <v>97.876899999999992</v>
      </c>
      <c r="G170" s="63">
        <f t="shared" si="25"/>
        <v>20.22</v>
      </c>
      <c r="H170" s="129">
        <f t="shared" si="26"/>
        <v>0.24996909383112867</v>
      </c>
      <c r="I170" s="63">
        <f t="shared" si="27"/>
        <v>2.3554149</v>
      </c>
      <c r="J170" s="63">
        <f t="shared" si="28"/>
        <v>30</v>
      </c>
      <c r="K170" s="63">
        <f t="shared" si="29"/>
        <v>2</v>
      </c>
      <c r="L170" s="63">
        <f t="shared" si="30"/>
        <v>1.6</v>
      </c>
      <c r="M170" s="63">
        <f t="shared" si="31"/>
        <v>-15.7354149</v>
      </c>
      <c r="N170" s="129">
        <f t="shared" si="32"/>
        <v>-0.19452855606379033</v>
      </c>
      <c r="O170" s="63">
        <f t="shared" si="33"/>
        <v>0</v>
      </c>
      <c r="P170" s="130">
        <f t="shared" si="34"/>
        <v>0</v>
      </c>
      <c r="Q170" s="131" t="str">
        <f t="shared" si="35"/>
        <v>NO ANUNCIAR</v>
      </c>
    </row>
    <row r="171" spans="1:17" x14ac:dyDescent="0.2">
      <c r="A171" s="55" t="s">
        <v>467</v>
      </c>
      <c r="B171" s="55" t="s">
        <v>571</v>
      </c>
      <c r="C171" s="55" t="s">
        <v>562</v>
      </c>
      <c r="D171" s="57">
        <v>122.56</v>
      </c>
      <c r="E171" s="57">
        <v>163.41</v>
      </c>
      <c r="F171" s="57">
        <f t="shared" si="24"/>
        <v>197.7261</v>
      </c>
      <c r="G171" s="57">
        <f t="shared" si="25"/>
        <v>40.849999999999994</v>
      </c>
      <c r="H171" s="126">
        <f t="shared" si="26"/>
        <v>0.2499847010586867</v>
      </c>
      <c r="I171" s="57">
        <f t="shared" si="27"/>
        <v>4.4522481000000003</v>
      </c>
      <c r="J171" s="57">
        <f t="shared" si="28"/>
        <v>30</v>
      </c>
      <c r="K171" s="57">
        <f t="shared" si="29"/>
        <v>2</v>
      </c>
      <c r="L171" s="57">
        <f t="shared" si="30"/>
        <v>1.6</v>
      </c>
      <c r="M171" s="57">
        <f t="shared" si="31"/>
        <v>2.7977518999999957</v>
      </c>
      <c r="N171" s="126">
        <f t="shared" si="32"/>
        <v>1.7121056850865894E-2</v>
      </c>
      <c r="O171" s="57">
        <f t="shared" si="33"/>
        <v>2.7977518999999957</v>
      </c>
      <c r="P171" s="127">
        <f t="shared" si="34"/>
        <v>70.673207299046169</v>
      </c>
      <c r="Q171" s="128" t="str">
        <f t="shared" si="35"/>
        <v>NO ANUNCIAR</v>
      </c>
    </row>
    <row r="172" spans="1:17" x14ac:dyDescent="0.2">
      <c r="A172" s="61" t="s">
        <v>467</v>
      </c>
      <c r="B172" s="61" t="s">
        <v>576</v>
      </c>
      <c r="C172" s="61" t="s">
        <v>577</v>
      </c>
      <c r="D172" s="63">
        <v>96.11</v>
      </c>
      <c r="E172" s="63">
        <v>128.15</v>
      </c>
      <c r="F172" s="63">
        <f t="shared" si="24"/>
        <v>155.0615</v>
      </c>
      <c r="G172" s="63">
        <f t="shared" si="25"/>
        <v>32.040000000000006</v>
      </c>
      <c r="H172" s="129">
        <f t="shared" si="26"/>
        <v>0.25001950838860715</v>
      </c>
      <c r="I172" s="63">
        <f t="shared" si="27"/>
        <v>3.5562914999999999</v>
      </c>
      <c r="J172" s="63">
        <f t="shared" si="28"/>
        <v>30</v>
      </c>
      <c r="K172" s="63">
        <f t="shared" si="29"/>
        <v>2</v>
      </c>
      <c r="L172" s="63">
        <f t="shared" si="30"/>
        <v>1.6</v>
      </c>
      <c r="M172" s="63">
        <f t="shared" si="31"/>
        <v>-5.1162914999999938</v>
      </c>
      <c r="N172" s="129">
        <f t="shared" si="32"/>
        <v>-3.9924241123683132E-2</v>
      </c>
      <c r="O172" s="63">
        <f t="shared" si="33"/>
        <v>0</v>
      </c>
      <c r="P172" s="130">
        <f t="shared" si="34"/>
        <v>0</v>
      </c>
      <c r="Q172" s="131" t="str">
        <f t="shared" si="35"/>
        <v>NO ANUNCIAR</v>
      </c>
    </row>
    <row r="173" spans="1:17" x14ac:dyDescent="0.2">
      <c r="A173" s="55" t="s">
        <v>467</v>
      </c>
      <c r="B173" s="55" t="s">
        <v>579</v>
      </c>
      <c r="C173" s="55" t="s">
        <v>580</v>
      </c>
      <c r="D173" s="57">
        <v>67.33</v>
      </c>
      <c r="E173" s="57">
        <v>89.78</v>
      </c>
      <c r="F173" s="57">
        <f t="shared" si="24"/>
        <v>108.63379999999999</v>
      </c>
      <c r="G173" s="57">
        <f t="shared" si="25"/>
        <v>22.450000000000003</v>
      </c>
      <c r="H173" s="126">
        <f t="shared" si="26"/>
        <v>0.25005569169079978</v>
      </c>
      <c r="I173" s="57">
        <f t="shared" si="27"/>
        <v>2.5813097999999997</v>
      </c>
      <c r="J173" s="57">
        <f t="shared" si="28"/>
        <v>30</v>
      </c>
      <c r="K173" s="57">
        <f t="shared" si="29"/>
        <v>2</v>
      </c>
      <c r="L173" s="57">
        <f t="shared" si="30"/>
        <v>1.6</v>
      </c>
      <c r="M173" s="57">
        <f t="shared" si="31"/>
        <v>-13.731309799999996</v>
      </c>
      <c r="N173" s="126">
        <f t="shared" si="32"/>
        <v>-0.15294397193138778</v>
      </c>
      <c r="O173" s="57">
        <f t="shared" si="33"/>
        <v>0</v>
      </c>
      <c r="P173" s="127">
        <f t="shared" si="34"/>
        <v>0</v>
      </c>
      <c r="Q173" s="128" t="str">
        <f t="shared" si="35"/>
        <v>NO ANUNCIAR</v>
      </c>
    </row>
    <row r="174" spans="1:17" x14ac:dyDescent="0.2">
      <c r="A174" s="61" t="s">
        <v>467</v>
      </c>
      <c r="B174" s="61" t="s">
        <v>582</v>
      </c>
      <c r="C174" s="61" t="s">
        <v>583</v>
      </c>
      <c r="D174" s="63">
        <v>14.17</v>
      </c>
      <c r="E174" s="63">
        <v>22.86</v>
      </c>
      <c r="F174" s="63">
        <f t="shared" si="24"/>
        <v>27.660599999999999</v>
      </c>
      <c r="G174" s="63">
        <f t="shared" si="25"/>
        <v>8.69</v>
      </c>
      <c r="H174" s="129">
        <f t="shared" si="26"/>
        <v>0.38013998250218722</v>
      </c>
      <c r="I174" s="63">
        <f t="shared" si="27"/>
        <v>0.88087260000000001</v>
      </c>
      <c r="J174" s="63">
        <f t="shared" si="28"/>
        <v>30</v>
      </c>
      <c r="K174" s="63">
        <f t="shared" si="29"/>
        <v>2</v>
      </c>
      <c r="L174" s="63">
        <f t="shared" si="30"/>
        <v>1.6</v>
      </c>
      <c r="M174" s="63">
        <f t="shared" si="31"/>
        <v>-25.7908726</v>
      </c>
      <c r="N174" s="129">
        <f t="shared" si="32"/>
        <v>-1.1282096500437446</v>
      </c>
      <c r="O174" s="63">
        <f t="shared" si="33"/>
        <v>0</v>
      </c>
      <c r="P174" s="130">
        <f t="shared" si="34"/>
        <v>0</v>
      </c>
      <c r="Q174" s="131" t="str">
        <f t="shared" si="35"/>
        <v>NO ANUNCIAR</v>
      </c>
    </row>
    <row r="175" spans="1:17" x14ac:dyDescent="0.2">
      <c r="A175" s="55" t="s">
        <v>467</v>
      </c>
      <c r="B175" s="55" t="s">
        <v>585</v>
      </c>
      <c r="C175" s="55" t="s">
        <v>583</v>
      </c>
      <c r="D175" s="57">
        <v>14.95</v>
      </c>
      <c r="E175" s="57">
        <v>24.11</v>
      </c>
      <c r="F175" s="57">
        <f t="shared" si="24"/>
        <v>29.173099999999998</v>
      </c>
      <c r="G175" s="57">
        <f t="shared" si="25"/>
        <v>9.16</v>
      </c>
      <c r="H175" s="126">
        <f t="shared" si="26"/>
        <v>0.37992534218166735</v>
      </c>
      <c r="I175" s="57">
        <f t="shared" si="27"/>
        <v>0.91263509999999992</v>
      </c>
      <c r="J175" s="57">
        <f t="shared" si="28"/>
        <v>30</v>
      </c>
      <c r="K175" s="57">
        <f t="shared" si="29"/>
        <v>2</v>
      </c>
      <c r="L175" s="57">
        <f t="shared" si="30"/>
        <v>1.6</v>
      </c>
      <c r="M175" s="57">
        <f t="shared" si="31"/>
        <v>-25.352635100000001</v>
      </c>
      <c r="N175" s="126">
        <f t="shared" si="32"/>
        <v>-1.0515402364164248</v>
      </c>
      <c r="O175" s="57">
        <f t="shared" si="33"/>
        <v>0</v>
      </c>
      <c r="P175" s="127">
        <f t="shared" si="34"/>
        <v>0</v>
      </c>
      <c r="Q175" s="128" t="str">
        <f t="shared" si="35"/>
        <v>NO ANUNCIAR</v>
      </c>
    </row>
    <row r="176" spans="1:17" x14ac:dyDescent="0.2">
      <c r="A176" s="61" t="s">
        <v>467</v>
      </c>
      <c r="B176" s="61" t="s">
        <v>587</v>
      </c>
      <c r="C176" s="61" t="s">
        <v>588</v>
      </c>
      <c r="D176" s="63">
        <v>17.13</v>
      </c>
      <c r="E176" s="63">
        <v>27.63</v>
      </c>
      <c r="F176" s="63">
        <f t="shared" si="24"/>
        <v>33.432299999999998</v>
      </c>
      <c r="G176" s="63">
        <f t="shared" si="25"/>
        <v>10.5</v>
      </c>
      <c r="H176" s="129">
        <f t="shared" si="26"/>
        <v>0.38002171552660152</v>
      </c>
      <c r="I176" s="63">
        <f t="shared" si="27"/>
        <v>1.0020783</v>
      </c>
      <c r="J176" s="63">
        <f t="shared" si="28"/>
        <v>30</v>
      </c>
      <c r="K176" s="63">
        <f t="shared" si="29"/>
        <v>2</v>
      </c>
      <c r="L176" s="63">
        <f t="shared" si="30"/>
        <v>1.6</v>
      </c>
      <c r="M176" s="63">
        <f t="shared" si="31"/>
        <v>-24.102078300000002</v>
      </c>
      <c r="N176" s="129">
        <f t="shared" si="32"/>
        <v>-0.87231553745928347</v>
      </c>
      <c r="O176" s="63">
        <f t="shared" si="33"/>
        <v>0</v>
      </c>
      <c r="P176" s="130">
        <f t="shared" si="34"/>
        <v>0</v>
      </c>
      <c r="Q176" s="131" t="str">
        <f t="shared" si="35"/>
        <v>NO ANUNCIAR</v>
      </c>
    </row>
    <row r="177" spans="1:17" x14ac:dyDescent="0.2">
      <c r="A177" s="55" t="s">
        <v>467</v>
      </c>
      <c r="B177" s="55" t="s">
        <v>590</v>
      </c>
      <c r="C177" s="55" t="s">
        <v>588</v>
      </c>
      <c r="D177" s="57">
        <v>17.63</v>
      </c>
      <c r="E177" s="57">
        <v>28.44</v>
      </c>
      <c r="F177" s="57">
        <f t="shared" si="24"/>
        <v>34.412399999999998</v>
      </c>
      <c r="G177" s="57">
        <f t="shared" si="25"/>
        <v>10.810000000000002</v>
      </c>
      <c r="H177" s="126">
        <f t="shared" si="26"/>
        <v>0.38009845288326305</v>
      </c>
      <c r="I177" s="57">
        <f t="shared" si="27"/>
        <v>1.0226603999999999</v>
      </c>
      <c r="J177" s="57">
        <f t="shared" si="28"/>
        <v>30</v>
      </c>
      <c r="K177" s="57">
        <f t="shared" si="29"/>
        <v>2</v>
      </c>
      <c r="L177" s="57">
        <f t="shared" si="30"/>
        <v>1.6</v>
      </c>
      <c r="M177" s="57">
        <f t="shared" si="31"/>
        <v>-23.812660399999999</v>
      </c>
      <c r="N177" s="126">
        <f t="shared" si="32"/>
        <v>-0.83729466947960607</v>
      </c>
      <c r="O177" s="57">
        <f t="shared" si="33"/>
        <v>0</v>
      </c>
      <c r="P177" s="127">
        <f t="shared" si="34"/>
        <v>0</v>
      </c>
      <c r="Q177" s="128" t="str">
        <f t="shared" si="35"/>
        <v>NO ANUNCIAR</v>
      </c>
    </row>
    <row r="178" spans="1:17" x14ac:dyDescent="0.2">
      <c r="A178" s="61" t="s">
        <v>467</v>
      </c>
      <c r="B178" s="61" t="s">
        <v>592</v>
      </c>
      <c r="C178" s="61" t="s">
        <v>588</v>
      </c>
      <c r="D178" s="63">
        <v>18.440000000000001</v>
      </c>
      <c r="E178" s="63">
        <v>29.74</v>
      </c>
      <c r="F178" s="63">
        <f t="shared" si="24"/>
        <v>35.985399999999998</v>
      </c>
      <c r="G178" s="63">
        <f t="shared" si="25"/>
        <v>11.299999999999997</v>
      </c>
      <c r="H178" s="129">
        <f t="shared" si="26"/>
        <v>0.37995965030262263</v>
      </c>
      <c r="I178" s="63">
        <f t="shared" si="27"/>
        <v>1.0556934</v>
      </c>
      <c r="J178" s="63">
        <f t="shared" si="28"/>
        <v>30</v>
      </c>
      <c r="K178" s="63">
        <f t="shared" si="29"/>
        <v>2</v>
      </c>
      <c r="L178" s="63">
        <f t="shared" si="30"/>
        <v>1.6</v>
      </c>
      <c r="M178" s="63">
        <f t="shared" si="31"/>
        <v>-23.355693400000003</v>
      </c>
      <c r="N178" s="129">
        <f t="shared" si="32"/>
        <v>-0.78532930060524564</v>
      </c>
      <c r="O178" s="63">
        <f t="shared" si="33"/>
        <v>0</v>
      </c>
      <c r="P178" s="130">
        <f t="shared" si="34"/>
        <v>0</v>
      </c>
      <c r="Q178" s="131" t="str">
        <f t="shared" si="35"/>
        <v>NO ANUNCIAR</v>
      </c>
    </row>
    <row r="179" spans="1:17" x14ac:dyDescent="0.2">
      <c r="A179" s="55" t="s">
        <v>467</v>
      </c>
      <c r="B179" s="55" t="s">
        <v>594</v>
      </c>
      <c r="C179" s="55" t="s">
        <v>588</v>
      </c>
      <c r="D179" s="57">
        <v>19.36</v>
      </c>
      <c r="E179" s="57">
        <v>31.23</v>
      </c>
      <c r="F179" s="57">
        <f t="shared" si="24"/>
        <v>37.7883</v>
      </c>
      <c r="G179" s="57">
        <f t="shared" si="25"/>
        <v>11.870000000000001</v>
      </c>
      <c r="H179" s="126">
        <f t="shared" si="26"/>
        <v>0.38008325328210057</v>
      </c>
      <c r="I179" s="57">
        <f t="shared" si="27"/>
        <v>1.0935543000000001</v>
      </c>
      <c r="J179" s="57">
        <f t="shared" si="28"/>
        <v>30</v>
      </c>
      <c r="K179" s="57">
        <f t="shared" si="29"/>
        <v>2</v>
      </c>
      <c r="L179" s="57">
        <f t="shared" si="30"/>
        <v>1.6</v>
      </c>
      <c r="M179" s="57">
        <f t="shared" si="31"/>
        <v>-22.823554300000001</v>
      </c>
      <c r="N179" s="126">
        <f t="shared" si="32"/>
        <v>-0.73082146333653542</v>
      </c>
      <c r="O179" s="57">
        <f t="shared" si="33"/>
        <v>0</v>
      </c>
      <c r="P179" s="127">
        <f t="shared" si="34"/>
        <v>0</v>
      </c>
      <c r="Q179" s="128" t="str">
        <f t="shared" si="35"/>
        <v>NO ANUNCIAR</v>
      </c>
    </row>
    <row r="180" spans="1:17" x14ac:dyDescent="0.2">
      <c r="A180" s="61" t="s">
        <v>467</v>
      </c>
      <c r="B180" s="61" t="s">
        <v>596</v>
      </c>
      <c r="C180" s="61" t="s">
        <v>597</v>
      </c>
      <c r="D180" s="63">
        <v>84.68</v>
      </c>
      <c r="E180" s="63">
        <v>130.27000000000001</v>
      </c>
      <c r="F180" s="63">
        <f t="shared" si="24"/>
        <v>157.6267</v>
      </c>
      <c r="G180" s="63">
        <f t="shared" si="25"/>
        <v>45.59</v>
      </c>
      <c r="H180" s="129">
        <f t="shared" si="26"/>
        <v>0.34996545635986798</v>
      </c>
      <c r="I180" s="63">
        <f t="shared" si="27"/>
        <v>3.6101607000000002</v>
      </c>
      <c r="J180" s="63">
        <f t="shared" si="28"/>
        <v>30</v>
      </c>
      <c r="K180" s="63">
        <f t="shared" si="29"/>
        <v>2</v>
      </c>
      <c r="L180" s="63">
        <f t="shared" si="30"/>
        <v>1.6</v>
      </c>
      <c r="M180" s="63">
        <f t="shared" si="31"/>
        <v>8.3798393000000022</v>
      </c>
      <c r="N180" s="129">
        <f t="shared" si="32"/>
        <v>6.4326700698549177E-2</v>
      </c>
      <c r="O180" s="63">
        <f t="shared" si="33"/>
        <v>8.3798393000000022</v>
      </c>
      <c r="P180" s="130">
        <f t="shared" si="34"/>
        <v>18.810229451536134</v>
      </c>
      <c r="Q180" s="131" t="str">
        <f t="shared" si="35"/>
        <v>WATCH</v>
      </c>
    </row>
    <row r="181" spans="1:17" x14ac:dyDescent="0.2">
      <c r="A181" s="55" t="s">
        <v>467</v>
      </c>
      <c r="B181" s="55" t="s">
        <v>599</v>
      </c>
      <c r="C181" s="55" t="s">
        <v>600</v>
      </c>
      <c r="D181" s="57">
        <v>69.97</v>
      </c>
      <c r="E181" s="57">
        <v>107.64</v>
      </c>
      <c r="F181" s="57">
        <f t="shared" si="24"/>
        <v>130.24439999999998</v>
      </c>
      <c r="G181" s="57">
        <f t="shared" si="25"/>
        <v>37.67</v>
      </c>
      <c r="H181" s="126">
        <f t="shared" si="26"/>
        <v>0.34996283909327391</v>
      </c>
      <c r="I181" s="57">
        <f t="shared" si="27"/>
        <v>3.0351323999999997</v>
      </c>
      <c r="J181" s="57">
        <f t="shared" si="28"/>
        <v>30</v>
      </c>
      <c r="K181" s="57">
        <f t="shared" si="29"/>
        <v>2</v>
      </c>
      <c r="L181" s="57">
        <f t="shared" si="30"/>
        <v>1.6</v>
      </c>
      <c r="M181" s="57">
        <f t="shared" si="31"/>
        <v>1.0348675999999997</v>
      </c>
      <c r="N181" s="126">
        <f t="shared" si="32"/>
        <v>9.6141545893719781E-3</v>
      </c>
      <c r="O181" s="57">
        <f t="shared" si="33"/>
        <v>1.0348675999999997</v>
      </c>
      <c r="P181" s="127">
        <f t="shared" si="34"/>
        <v>125.85609985277347</v>
      </c>
      <c r="Q181" s="128" t="str">
        <f t="shared" si="35"/>
        <v>NO ANUNCIAR</v>
      </c>
    </row>
    <row r="182" spans="1:17" x14ac:dyDescent="0.2">
      <c r="A182" s="61" t="s">
        <v>467</v>
      </c>
      <c r="B182" s="61" t="s">
        <v>602</v>
      </c>
      <c r="C182" s="61" t="s">
        <v>600</v>
      </c>
      <c r="D182" s="63">
        <v>73.58</v>
      </c>
      <c r="E182" s="63">
        <v>113.21</v>
      </c>
      <c r="F182" s="63">
        <f t="shared" si="24"/>
        <v>136.98409999999998</v>
      </c>
      <c r="G182" s="63">
        <f t="shared" si="25"/>
        <v>39.629999999999995</v>
      </c>
      <c r="H182" s="129">
        <f t="shared" si="26"/>
        <v>0.35005741542266583</v>
      </c>
      <c r="I182" s="63">
        <f t="shared" si="27"/>
        <v>3.1766660999999998</v>
      </c>
      <c r="J182" s="63">
        <f t="shared" si="28"/>
        <v>30</v>
      </c>
      <c r="K182" s="63">
        <f t="shared" si="29"/>
        <v>2</v>
      </c>
      <c r="L182" s="63">
        <f t="shared" si="30"/>
        <v>1.6</v>
      </c>
      <c r="M182" s="63">
        <f t="shared" si="31"/>
        <v>2.8533338999999969</v>
      </c>
      <c r="N182" s="129">
        <f t="shared" si="32"/>
        <v>2.5203903365427056E-2</v>
      </c>
      <c r="O182" s="63">
        <f t="shared" si="33"/>
        <v>2.8533338999999969</v>
      </c>
      <c r="P182" s="130">
        <f t="shared" si="34"/>
        <v>48.008436727296491</v>
      </c>
      <c r="Q182" s="131" t="str">
        <f t="shared" si="35"/>
        <v>NO ANUNCIAR</v>
      </c>
    </row>
    <row r="183" spans="1:17" x14ac:dyDescent="0.2">
      <c r="A183" s="55" t="s">
        <v>467</v>
      </c>
      <c r="B183" s="55" t="s">
        <v>604</v>
      </c>
      <c r="C183" s="55" t="s">
        <v>605</v>
      </c>
      <c r="D183" s="57">
        <v>89.71</v>
      </c>
      <c r="E183" s="57">
        <v>138.02000000000001</v>
      </c>
      <c r="F183" s="57">
        <f t="shared" si="24"/>
        <v>167.0042</v>
      </c>
      <c r="G183" s="57">
        <f t="shared" si="25"/>
        <v>48.310000000000016</v>
      </c>
      <c r="H183" s="126">
        <f t="shared" si="26"/>
        <v>0.35002173598029279</v>
      </c>
      <c r="I183" s="57">
        <f t="shared" si="27"/>
        <v>3.8070881999999999</v>
      </c>
      <c r="J183" s="57">
        <f t="shared" si="28"/>
        <v>30</v>
      </c>
      <c r="K183" s="57">
        <f t="shared" si="29"/>
        <v>2</v>
      </c>
      <c r="L183" s="57">
        <f t="shared" si="30"/>
        <v>1.6</v>
      </c>
      <c r="M183" s="57">
        <f t="shared" si="31"/>
        <v>10.902911800000014</v>
      </c>
      <c r="N183" s="126">
        <f t="shared" si="32"/>
        <v>7.8995158672656232E-2</v>
      </c>
      <c r="O183" s="57">
        <f t="shared" si="33"/>
        <v>10.902911800000014</v>
      </c>
      <c r="P183" s="127">
        <f t="shared" si="34"/>
        <v>15.317394386332628</v>
      </c>
      <c r="Q183" s="128" t="str">
        <f t="shared" si="35"/>
        <v>WATCH</v>
      </c>
    </row>
    <row r="184" spans="1:17" x14ac:dyDescent="0.2">
      <c r="A184" s="61" t="s">
        <v>467</v>
      </c>
      <c r="B184" s="61" t="s">
        <v>606</v>
      </c>
      <c r="C184" s="61" t="s">
        <v>605</v>
      </c>
      <c r="D184" s="63">
        <v>94.05</v>
      </c>
      <c r="E184" s="63">
        <v>144.68</v>
      </c>
      <c r="F184" s="63">
        <f t="shared" si="24"/>
        <v>175.06280000000001</v>
      </c>
      <c r="G184" s="63">
        <f t="shared" si="25"/>
        <v>50.63000000000001</v>
      </c>
      <c r="H184" s="129">
        <f t="shared" si="26"/>
        <v>0.34994470555709156</v>
      </c>
      <c r="I184" s="63">
        <f t="shared" si="27"/>
        <v>3.9763188</v>
      </c>
      <c r="J184" s="63">
        <f t="shared" si="28"/>
        <v>30</v>
      </c>
      <c r="K184" s="63">
        <f t="shared" si="29"/>
        <v>2</v>
      </c>
      <c r="L184" s="63">
        <f t="shared" si="30"/>
        <v>1.6</v>
      </c>
      <c r="M184" s="63">
        <f t="shared" si="31"/>
        <v>13.053681200000009</v>
      </c>
      <c r="N184" s="129">
        <f t="shared" si="32"/>
        <v>9.022450373237495E-2</v>
      </c>
      <c r="O184" s="63">
        <f t="shared" si="33"/>
        <v>13.053681200000009</v>
      </c>
      <c r="P184" s="130">
        <f t="shared" si="34"/>
        <v>13.410990916493342</v>
      </c>
      <c r="Q184" s="131" t="str">
        <f t="shared" si="35"/>
        <v>WATCH</v>
      </c>
    </row>
    <row r="185" spans="1:17" x14ac:dyDescent="0.2">
      <c r="A185" s="55" t="s">
        <v>467</v>
      </c>
      <c r="B185" s="55" t="s">
        <v>607</v>
      </c>
      <c r="C185" s="55" t="s">
        <v>605</v>
      </c>
      <c r="D185" s="57">
        <v>84.79</v>
      </c>
      <c r="E185" s="57">
        <v>130.44999999999999</v>
      </c>
      <c r="F185" s="57">
        <f t="shared" si="24"/>
        <v>157.84449999999998</v>
      </c>
      <c r="G185" s="57">
        <f t="shared" si="25"/>
        <v>45.659999999999982</v>
      </c>
      <c r="H185" s="126">
        <f t="shared" si="26"/>
        <v>0.35001916443081632</v>
      </c>
      <c r="I185" s="57">
        <f t="shared" si="27"/>
        <v>3.6147344999999995</v>
      </c>
      <c r="J185" s="57">
        <f t="shared" si="28"/>
        <v>30</v>
      </c>
      <c r="K185" s="57">
        <f t="shared" si="29"/>
        <v>2</v>
      </c>
      <c r="L185" s="57">
        <f t="shared" si="30"/>
        <v>1.6</v>
      </c>
      <c r="M185" s="57">
        <f t="shared" si="31"/>
        <v>8.4452654999999854</v>
      </c>
      <c r="N185" s="126">
        <f t="shared" si="32"/>
        <v>6.473948256036785E-2</v>
      </c>
      <c r="O185" s="57">
        <f t="shared" si="33"/>
        <v>8.4452654999999854</v>
      </c>
      <c r="P185" s="127">
        <f t="shared" si="34"/>
        <v>18.690294579844796</v>
      </c>
      <c r="Q185" s="128" t="str">
        <f t="shared" si="35"/>
        <v>WATCH</v>
      </c>
    </row>
    <row r="186" spans="1:17" x14ac:dyDescent="0.2">
      <c r="A186" s="61" t="s">
        <v>467</v>
      </c>
      <c r="B186" s="61" t="s">
        <v>609</v>
      </c>
      <c r="C186" s="61" t="s">
        <v>610</v>
      </c>
      <c r="D186" s="63">
        <v>97.55</v>
      </c>
      <c r="E186" s="63">
        <v>150.07</v>
      </c>
      <c r="F186" s="63">
        <f t="shared" si="24"/>
        <v>181.5847</v>
      </c>
      <c r="G186" s="63">
        <f t="shared" si="25"/>
        <v>52.519999999999996</v>
      </c>
      <c r="H186" s="129">
        <f t="shared" si="26"/>
        <v>0.34997001399346972</v>
      </c>
      <c r="I186" s="63">
        <f t="shared" si="27"/>
        <v>4.1132787000000004</v>
      </c>
      <c r="J186" s="63">
        <f t="shared" si="28"/>
        <v>30</v>
      </c>
      <c r="K186" s="63">
        <f t="shared" si="29"/>
        <v>2</v>
      </c>
      <c r="L186" s="63">
        <f t="shared" si="30"/>
        <v>1.6</v>
      </c>
      <c r="M186" s="63">
        <f t="shared" si="31"/>
        <v>14.806721299999994</v>
      </c>
      <c r="N186" s="129">
        <f t="shared" si="32"/>
        <v>9.8665431465316158E-2</v>
      </c>
      <c r="O186" s="63">
        <f t="shared" si="33"/>
        <v>14.806721299999994</v>
      </c>
      <c r="P186" s="130">
        <f t="shared" si="34"/>
        <v>12.263667041534717</v>
      </c>
      <c r="Q186" s="131" t="str">
        <f t="shared" si="35"/>
        <v>WATCH</v>
      </c>
    </row>
    <row r="187" spans="1:17" x14ac:dyDescent="0.2">
      <c r="A187" s="55" t="s">
        <v>467</v>
      </c>
      <c r="B187" s="55" t="s">
        <v>612</v>
      </c>
      <c r="C187" s="55" t="s">
        <v>613</v>
      </c>
      <c r="D187" s="57">
        <v>101.49</v>
      </c>
      <c r="E187" s="57">
        <v>156.13999999999999</v>
      </c>
      <c r="F187" s="57">
        <f t="shared" si="24"/>
        <v>188.92939999999999</v>
      </c>
      <c r="G187" s="57">
        <f t="shared" si="25"/>
        <v>54.649999999999991</v>
      </c>
      <c r="H187" s="126">
        <f t="shared" si="26"/>
        <v>0.35000640450877413</v>
      </c>
      <c r="I187" s="57">
        <f t="shared" si="27"/>
        <v>4.2675174</v>
      </c>
      <c r="J187" s="57">
        <f t="shared" si="28"/>
        <v>30</v>
      </c>
      <c r="K187" s="57">
        <f t="shared" si="29"/>
        <v>2</v>
      </c>
      <c r="L187" s="57">
        <f t="shared" si="30"/>
        <v>1.6</v>
      </c>
      <c r="M187" s="57">
        <f t="shared" si="31"/>
        <v>16.782482599999987</v>
      </c>
      <c r="N187" s="126">
        <f t="shared" si="32"/>
        <v>0.1074835570641731</v>
      </c>
      <c r="O187" s="57">
        <f t="shared" si="33"/>
        <v>16.782482599999987</v>
      </c>
      <c r="P187" s="127">
        <f t="shared" si="34"/>
        <v>11.257535878511808</v>
      </c>
      <c r="Q187" s="128" t="str">
        <f t="shared" si="35"/>
        <v>WATCH</v>
      </c>
    </row>
    <row r="188" spans="1:17" x14ac:dyDescent="0.2">
      <c r="A188" s="61" t="s">
        <v>467</v>
      </c>
      <c r="B188" s="61" t="s">
        <v>615</v>
      </c>
      <c r="C188" s="61" t="s">
        <v>616</v>
      </c>
      <c r="D188" s="63">
        <v>118.78</v>
      </c>
      <c r="E188" s="63">
        <v>182.74</v>
      </c>
      <c r="F188" s="63">
        <f t="shared" si="24"/>
        <v>221.11539999999999</v>
      </c>
      <c r="G188" s="63">
        <f t="shared" si="25"/>
        <v>63.960000000000008</v>
      </c>
      <c r="H188" s="129">
        <f t="shared" si="26"/>
        <v>0.35000547225566381</v>
      </c>
      <c r="I188" s="63">
        <f t="shared" si="27"/>
        <v>4.9434234000000004</v>
      </c>
      <c r="J188" s="63">
        <f t="shared" si="28"/>
        <v>30</v>
      </c>
      <c r="K188" s="63">
        <f t="shared" si="29"/>
        <v>2</v>
      </c>
      <c r="L188" s="63">
        <f t="shared" si="30"/>
        <v>1.6</v>
      </c>
      <c r="M188" s="63">
        <f t="shared" si="31"/>
        <v>25.416576600000006</v>
      </c>
      <c r="N188" s="129">
        <f t="shared" si="32"/>
        <v>0.13908600525336545</v>
      </c>
      <c r="O188" s="63">
        <f t="shared" si="33"/>
        <v>25.416576600000006</v>
      </c>
      <c r="P188" s="130">
        <f t="shared" si="34"/>
        <v>8.6996531232298189</v>
      </c>
      <c r="Q188" s="131" t="str">
        <f t="shared" si="35"/>
        <v>WATCH</v>
      </c>
    </row>
    <row r="189" spans="1:17" x14ac:dyDescent="0.2">
      <c r="A189" s="55" t="s">
        <v>467</v>
      </c>
      <c r="B189" s="55" t="s">
        <v>618</v>
      </c>
      <c r="C189" s="55" t="s">
        <v>619</v>
      </c>
      <c r="D189" s="57">
        <v>118.31</v>
      </c>
      <c r="E189" s="57">
        <v>182.02</v>
      </c>
      <c r="F189" s="57">
        <f t="shared" si="24"/>
        <v>220.24420000000001</v>
      </c>
      <c r="G189" s="57">
        <f t="shared" si="25"/>
        <v>63.710000000000008</v>
      </c>
      <c r="H189" s="126">
        <f t="shared" si="26"/>
        <v>0.35001648170530714</v>
      </c>
      <c r="I189" s="57">
        <f t="shared" si="27"/>
        <v>4.9251282000000005</v>
      </c>
      <c r="J189" s="57">
        <f t="shared" si="28"/>
        <v>30</v>
      </c>
      <c r="K189" s="57">
        <f t="shared" si="29"/>
        <v>2</v>
      </c>
      <c r="L189" s="57">
        <f t="shared" si="30"/>
        <v>1.6</v>
      </c>
      <c r="M189" s="57">
        <f t="shared" si="31"/>
        <v>25.184871800000003</v>
      </c>
      <c r="N189" s="126">
        <f t="shared" si="32"/>
        <v>0.13836321173497418</v>
      </c>
      <c r="O189" s="57">
        <f t="shared" si="33"/>
        <v>25.184871800000003</v>
      </c>
      <c r="P189" s="127">
        <f t="shared" si="34"/>
        <v>8.7450991114435599</v>
      </c>
      <c r="Q189" s="128" t="str">
        <f t="shared" si="35"/>
        <v>WATCH</v>
      </c>
    </row>
    <row r="190" spans="1:17" x14ac:dyDescent="0.2">
      <c r="A190" s="61" t="s">
        <v>467</v>
      </c>
      <c r="B190" s="61" t="s">
        <v>621</v>
      </c>
      <c r="C190" s="61" t="s">
        <v>622</v>
      </c>
      <c r="D190" s="63">
        <v>131.01</v>
      </c>
      <c r="E190" s="63">
        <v>201.55</v>
      </c>
      <c r="F190" s="63">
        <f t="shared" si="24"/>
        <v>243.87550000000002</v>
      </c>
      <c r="G190" s="63">
        <f t="shared" si="25"/>
        <v>70.54000000000002</v>
      </c>
      <c r="H190" s="129">
        <f t="shared" si="26"/>
        <v>0.34998759612999264</v>
      </c>
      <c r="I190" s="63">
        <f t="shared" si="27"/>
        <v>5.4213855000000004</v>
      </c>
      <c r="J190" s="63">
        <f t="shared" si="28"/>
        <v>30</v>
      </c>
      <c r="K190" s="63">
        <f t="shared" si="29"/>
        <v>2</v>
      </c>
      <c r="L190" s="63">
        <f t="shared" si="30"/>
        <v>1.6</v>
      </c>
      <c r="M190" s="63">
        <f t="shared" si="31"/>
        <v>31.51861450000002</v>
      </c>
      <c r="N190" s="129">
        <f t="shared" si="32"/>
        <v>0.15638111882907477</v>
      </c>
      <c r="O190" s="63">
        <f t="shared" si="33"/>
        <v>31.51861450000002</v>
      </c>
      <c r="P190" s="130">
        <f t="shared" si="34"/>
        <v>7.7375069897187219</v>
      </c>
      <c r="Q190" s="131" t="str">
        <f t="shared" si="35"/>
        <v>NEUTRAL</v>
      </c>
    </row>
    <row r="191" spans="1:17" x14ac:dyDescent="0.2">
      <c r="A191" s="55" t="s">
        <v>467</v>
      </c>
      <c r="B191" s="55" t="s">
        <v>624</v>
      </c>
      <c r="C191" s="55" t="s">
        <v>625</v>
      </c>
      <c r="D191" s="57">
        <v>169.64</v>
      </c>
      <c r="E191" s="57">
        <v>260.99</v>
      </c>
      <c r="F191" s="57">
        <f t="shared" si="24"/>
        <v>315.79790000000003</v>
      </c>
      <c r="G191" s="57">
        <f t="shared" si="25"/>
        <v>91.350000000000023</v>
      </c>
      <c r="H191" s="126">
        <f t="shared" si="26"/>
        <v>0.35001341047549722</v>
      </c>
      <c r="I191" s="57">
        <f t="shared" si="27"/>
        <v>6.9317559000000006</v>
      </c>
      <c r="J191" s="57">
        <f t="shared" si="28"/>
        <v>30</v>
      </c>
      <c r="K191" s="57">
        <f t="shared" si="29"/>
        <v>2</v>
      </c>
      <c r="L191" s="57">
        <f t="shared" si="30"/>
        <v>1.6</v>
      </c>
      <c r="M191" s="57">
        <f t="shared" si="31"/>
        <v>50.818244100000022</v>
      </c>
      <c r="N191" s="126">
        <f t="shared" si="32"/>
        <v>0.19471337637457381</v>
      </c>
      <c r="O191" s="57">
        <f t="shared" si="33"/>
        <v>50.818244100000022</v>
      </c>
      <c r="P191" s="127">
        <f t="shared" si="34"/>
        <v>6.2142623302484372</v>
      </c>
      <c r="Q191" s="128" t="str">
        <f t="shared" si="35"/>
        <v>NEUTRAL</v>
      </c>
    </row>
    <row r="192" spans="1:17" x14ac:dyDescent="0.2">
      <c r="A192" s="61" t="s">
        <v>467</v>
      </c>
      <c r="B192" s="61" t="s">
        <v>627</v>
      </c>
      <c r="C192" s="61" t="s">
        <v>628</v>
      </c>
      <c r="D192" s="63">
        <v>257.19</v>
      </c>
      <c r="E192" s="63">
        <v>395.68</v>
      </c>
      <c r="F192" s="63">
        <f t="shared" si="24"/>
        <v>478.77280000000002</v>
      </c>
      <c r="G192" s="63">
        <f t="shared" si="25"/>
        <v>138.49</v>
      </c>
      <c r="H192" s="129">
        <f t="shared" si="26"/>
        <v>0.35000505458956732</v>
      </c>
      <c r="I192" s="63">
        <f t="shared" si="27"/>
        <v>10.354228800000001</v>
      </c>
      <c r="J192" s="63">
        <f t="shared" si="28"/>
        <v>30</v>
      </c>
      <c r="K192" s="63">
        <f t="shared" si="29"/>
        <v>2</v>
      </c>
      <c r="L192" s="63">
        <f t="shared" si="30"/>
        <v>1.6</v>
      </c>
      <c r="M192" s="63">
        <f t="shared" si="31"/>
        <v>94.535771200000028</v>
      </c>
      <c r="N192" s="129">
        <f t="shared" si="32"/>
        <v>0.23891976142337248</v>
      </c>
      <c r="O192" s="63">
        <f t="shared" si="33"/>
        <v>94.535771200000028</v>
      </c>
      <c r="P192" s="130">
        <f t="shared" si="34"/>
        <v>5.0644617790984912</v>
      </c>
      <c r="Q192" s="131" t="str">
        <f t="shared" si="35"/>
        <v>NEUTRAL</v>
      </c>
    </row>
    <row r="193" spans="1:17" x14ac:dyDescent="0.2">
      <c r="A193" s="55" t="s">
        <v>467</v>
      </c>
      <c r="B193" s="55" t="s">
        <v>629</v>
      </c>
      <c r="C193" s="55" t="s">
        <v>628</v>
      </c>
      <c r="D193" s="57">
        <v>290.22000000000003</v>
      </c>
      <c r="E193" s="57">
        <v>446.49</v>
      </c>
      <c r="F193" s="57">
        <f t="shared" si="24"/>
        <v>540.25289999999995</v>
      </c>
      <c r="G193" s="57">
        <f t="shared" si="25"/>
        <v>156.26999999999998</v>
      </c>
      <c r="H193" s="126">
        <f t="shared" si="26"/>
        <v>0.34999664046227236</v>
      </c>
      <c r="I193" s="57">
        <f t="shared" si="27"/>
        <v>11.6453109</v>
      </c>
      <c r="J193" s="57">
        <f t="shared" si="28"/>
        <v>30</v>
      </c>
      <c r="K193" s="57">
        <f t="shared" si="29"/>
        <v>2</v>
      </c>
      <c r="L193" s="57">
        <f t="shared" si="30"/>
        <v>1.6</v>
      </c>
      <c r="M193" s="57">
        <f t="shared" si="31"/>
        <v>111.02468909999999</v>
      </c>
      <c r="N193" s="126">
        <f t="shared" si="32"/>
        <v>0.24866108781831617</v>
      </c>
      <c r="O193" s="57">
        <f t="shared" si="33"/>
        <v>111.02468909999999</v>
      </c>
      <c r="P193" s="127">
        <f t="shared" si="34"/>
        <v>4.8660609129325634</v>
      </c>
      <c r="Q193" s="128" t="str">
        <f t="shared" si="35"/>
        <v>NEUTRAL</v>
      </c>
    </row>
    <row r="194" spans="1:17" x14ac:dyDescent="0.2">
      <c r="A194" s="61" t="s">
        <v>467</v>
      </c>
      <c r="B194" s="61" t="s">
        <v>630</v>
      </c>
      <c r="C194" s="61" t="s">
        <v>631</v>
      </c>
      <c r="D194" s="63">
        <v>342.68</v>
      </c>
      <c r="E194" s="63">
        <v>527.21</v>
      </c>
      <c r="F194" s="63">
        <f t="shared" si="24"/>
        <v>637.92410000000007</v>
      </c>
      <c r="G194" s="63">
        <f t="shared" si="25"/>
        <v>184.53000000000003</v>
      </c>
      <c r="H194" s="129">
        <f t="shared" si="26"/>
        <v>0.35001232905293911</v>
      </c>
      <c r="I194" s="63">
        <f t="shared" si="27"/>
        <v>13.696406100000003</v>
      </c>
      <c r="J194" s="63">
        <f t="shared" si="28"/>
        <v>30</v>
      </c>
      <c r="K194" s="63">
        <f t="shared" si="29"/>
        <v>2</v>
      </c>
      <c r="L194" s="63">
        <f t="shared" si="30"/>
        <v>1.6</v>
      </c>
      <c r="M194" s="63">
        <f t="shared" si="31"/>
        <v>137.23359390000005</v>
      </c>
      <c r="N194" s="129">
        <f t="shared" si="32"/>
        <v>0.26030157603232118</v>
      </c>
      <c r="O194" s="63">
        <f t="shared" si="33"/>
        <v>137.23359390000005</v>
      </c>
      <c r="P194" s="130">
        <f t="shared" si="34"/>
        <v>4.648454375281065</v>
      </c>
      <c r="Q194" s="131" t="str">
        <f t="shared" si="35"/>
        <v>NEUTRAL</v>
      </c>
    </row>
    <row r="195" spans="1:17" x14ac:dyDescent="0.2">
      <c r="A195" s="55" t="s">
        <v>467</v>
      </c>
      <c r="B195" s="55" t="s">
        <v>632</v>
      </c>
      <c r="C195" s="55" t="s">
        <v>631</v>
      </c>
      <c r="D195" s="57">
        <v>396.09</v>
      </c>
      <c r="E195" s="57">
        <v>609.37</v>
      </c>
      <c r="F195" s="57">
        <f t="shared" si="24"/>
        <v>737.33769999999993</v>
      </c>
      <c r="G195" s="57">
        <f t="shared" si="25"/>
        <v>213.28000000000003</v>
      </c>
      <c r="H195" s="126">
        <f t="shared" si="26"/>
        <v>0.350000820519553</v>
      </c>
      <c r="I195" s="57">
        <f t="shared" si="27"/>
        <v>15.784091699999999</v>
      </c>
      <c r="J195" s="57">
        <f t="shared" si="28"/>
        <v>30</v>
      </c>
      <c r="K195" s="57">
        <f t="shared" si="29"/>
        <v>2</v>
      </c>
      <c r="L195" s="57">
        <f t="shared" si="30"/>
        <v>1.6</v>
      </c>
      <c r="M195" s="57">
        <f t="shared" si="31"/>
        <v>163.89590830000003</v>
      </c>
      <c r="N195" s="126">
        <f t="shared" si="32"/>
        <v>0.2689595948274448</v>
      </c>
      <c r="O195" s="57">
        <f t="shared" si="33"/>
        <v>163.89590830000003</v>
      </c>
      <c r="P195" s="127">
        <f t="shared" si="34"/>
        <v>4.498817009210228</v>
      </c>
      <c r="Q195" s="128" t="str">
        <f t="shared" si="35"/>
        <v>NEUTRAL</v>
      </c>
    </row>
    <row r="196" spans="1:17" x14ac:dyDescent="0.2">
      <c r="A196" s="61" t="s">
        <v>467</v>
      </c>
      <c r="B196" s="61" t="s">
        <v>633</v>
      </c>
      <c r="C196" s="61" t="s">
        <v>634</v>
      </c>
      <c r="D196" s="63">
        <v>412.95</v>
      </c>
      <c r="E196" s="63">
        <v>635.32000000000005</v>
      </c>
      <c r="F196" s="63">
        <f t="shared" si="24"/>
        <v>768.73720000000003</v>
      </c>
      <c r="G196" s="63">
        <f t="shared" si="25"/>
        <v>222.37000000000006</v>
      </c>
      <c r="H196" s="129">
        <f t="shared" si="26"/>
        <v>0.35001259207958202</v>
      </c>
      <c r="I196" s="63">
        <f t="shared" si="27"/>
        <v>16.443481200000001</v>
      </c>
      <c r="J196" s="63">
        <f t="shared" si="28"/>
        <v>30</v>
      </c>
      <c r="K196" s="63">
        <f t="shared" si="29"/>
        <v>2</v>
      </c>
      <c r="L196" s="63">
        <f t="shared" si="30"/>
        <v>1.6</v>
      </c>
      <c r="M196" s="63">
        <f t="shared" si="31"/>
        <v>172.32651880000006</v>
      </c>
      <c r="N196" s="129">
        <f t="shared" si="32"/>
        <v>0.27124365485109875</v>
      </c>
      <c r="O196" s="63">
        <f t="shared" si="33"/>
        <v>172.32651880000006</v>
      </c>
      <c r="P196" s="130">
        <f t="shared" si="34"/>
        <v>4.4609338443851847</v>
      </c>
      <c r="Q196" s="131" t="str">
        <f t="shared" si="35"/>
        <v>NEUTRAL</v>
      </c>
    </row>
    <row r="197" spans="1:17" x14ac:dyDescent="0.2">
      <c r="A197" s="55" t="s">
        <v>467</v>
      </c>
      <c r="B197" s="55" t="s">
        <v>635</v>
      </c>
      <c r="C197" s="55" t="s">
        <v>634</v>
      </c>
      <c r="D197" s="57">
        <v>479.59</v>
      </c>
      <c r="E197" s="57">
        <v>737.84</v>
      </c>
      <c r="F197" s="57">
        <f t="shared" ref="F197:F260" si="36">E197*(1+IVA)</f>
        <v>892.78639999999996</v>
      </c>
      <c r="G197" s="57">
        <f t="shared" ref="G197:G260" si="37">E197-D197</f>
        <v>258.25000000000006</v>
      </c>
      <c r="H197" s="126">
        <f t="shared" ref="H197:H260" si="38">IFERROR(G197/E197,0)</f>
        <v>0.35000813184430235</v>
      </c>
      <c r="I197" s="57">
        <f t="shared" ref="I197:I260" si="39">F197*Comision_pago_pct+Comision_pago_fija</f>
        <v>19.048514400000002</v>
      </c>
      <c r="J197" s="57">
        <f t="shared" ref="J197:J260" si="40">IF(A197="Hevea",IF(F197&gt;=Hevea_umbral_envio_gratis,0,Hevea_coste_envio_bajo),Balliu_coste_envio)</f>
        <v>30</v>
      </c>
      <c r="K197" s="57">
        <f t="shared" ref="K197:K260" si="41">Tasa_devolucion*Coste_devolucion</f>
        <v>2</v>
      </c>
      <c r="L197" s="57">
        <f t="shared" ref="L197:L260" si="42">Tasa_incidencia*Coste_incidencia</f>
        <v>1.6</v>
      </c>
      <c r="M197" s="57">
        <f t="shared" ref="M197:M260" si="43">G197-I197-J197-K197-L197</f>
        <v>205.60148560000007</v>
      </c>
      <c r="N197" s="126">
        <f t="shared" ref="N197:N260" si="44">IFERROR(M197/E197,0)</f>
        <v>0.27865321153637657</v>
      </c>
      <c r="O197" s="57">
        <f t="shared" ref="O197:O260" si="45">MAX(M197,0)</f>
        <v>205.60148560000007</v>
      </c>
      <c r="P197" s="127">
        <f t="shared" ref="P197:P260" si="46">IFERROR(F197/O197,0)</f>
        <v>4.342314927319765</v>
      </c>
      <c r="Q197" s="128" t="str">
        <f t="shared" ref="Q197:Q260" si="47">IF(N197&gt;=Umbral_PUSH_pct,IF(M197&gt;=Umbral_PUSH_eur,"PUSH","NEUTRAL"),IF(N197&gt;=Umbral_NEUTRAL_pct,"NEUTRAL",IF(N197&gt;=Umbral_WATCH_pct,"WATCH","NO ANUNCIAR")))</f>
        <v>NEUTRAL</v>
      </c>
    </row>
    <row r="198" spans="1:17" x14ac:dyDescent="0.2">
      <c r="A198" s="61" t="s">
        <v>467</v>
      </c>
      <c r="B198" s="61" t="s">
        <v>636</v>
      </c>
      <c r="C198" s="61" t="s">
        <v>637</v>
      </c>
      <c r="D198" s="63">
        <v>506.65</v>
      </c>
      <c r="E198" s="63">
        <v>779.46</v>
      </c>
      <c r="F198" s="63">
        <f t="shared" si="36"/>
        <v>943.14660000000003</v>
      </c>
      <c r="G198" s="63">
        <f t="shared" si="37"/>
        <v>272.81000000000006</v>
      </c>
      <c r="H198" s="129">
        <f t="shared" si="38"/>
        <v>0.34999871706052915</v>
      </c>
      <c r="I198" s="63">
        <f t="shared" si="39"/>
        <v>20.106078600000004</v>
      </c>
      <c r="J198" s="63">
        <f t="shared" si="40"/>
        <v>30</v>
      </c>
      <c r="K198" s="63">
        <f t="shared" si="41"/>
        <v>2</v>
      </c>
      <c r="L198" s="63">
        <f t="shared" si="42"/>
        <v>1.6</v>
      </c>
      <c r="M198" s="63">
        <f t="shared" si="43"/>
        <v>219.10392140000008</v>
      </c>
      <c r="N198" s="129">
        <f t="shared" si="44"/>
        <v>0.28109706899648484</v>
      </c>
      <c r="O198" s="63">
        <f t="shared" si="45"/>
        <v>219.10392140000008</v>
      </c>
      <c r="P198" s="130">
        <f t="shared" si="46"/>
        <v>4.3045628484128065</v>
      </c>
      <c r="Q198" s="131" t="str">
        <f t="shared" si="47"/>
        <v>NEUTRAL</v>
      </c>
    </row>
    <row r="199" spans="1:17" x14ac:dyDescent="0.2">
      <c r="A199" s="55" t="s">
        <v>467</v>
      </c>
      <c r="B199" s="55" t="s">
        <v>638</v>
      </c>
      <c r="C199" s="55" t="s">
        <v>637</v>
      </c>
      <c r="D199" s="57">
        <v>603.5</v>
      </c>
      <c r="E199" s="57">
        <v>928.47</v>
      </c>
      <c r="F199" s="57">
        <f t="shared" si="36"/>
        <v>1123.4486999999999</v>
      </c>
      <c r="G199" s="57">
        <f t="shared" si="37"/>
        <v>324.97000000000003</v>
      </c>
      <c r="H199" s="126">
        <f t="shared" si="38"/>
        <v>0.35000592372397604</v>
      </c>
      <c r="I199" s="57">
        <f t="shared" si="39"/>
        <v>23.892422700000001</v>
      </c>
      <c r="J199" s="57">
        <f t="shared" si="40"/>
        <v>30</v>
      </c>
      <c r="K199" s="57">
        <f t="shared" si="41"/>
        <v>2</v>
      </c>
      <c r="L199" s="57">
        <f t="shared" si="42"/>
        <v>1.6</v>
      </c>
      <c r="M199" s="57">
        <f t="shared" si="43"/>
        <v>267.47757730000001</v>
      </c>
      <c r="N199" s="126">
        <f t="shared" si="44"/>
        <v>0.28808424321733606</v>
      </c>
      <c r="O199" s="57">
        <f t="shared" si="45"/>
        <v>267.47757730000001</v>
      </c>
      <c r="P199" s="127">
        <f t="shared" si="46"/>
        <v>4.2001602950813028</v>
      </c>
      <c r="Q199" s="128" t="str">
        <f t="shared" si="47"/>
        <v>NEUTRAL</v>
      </c>
    </row>
    <row r="200" spans="1:17" x14ac:dyDescent="0.2">
      <c r="A200" s="61" t="s">
        <v>467</v>
      </c>
      <c r="B200" s="61" t="s">
        <v>640</v>
      </c>
      <c r="C200" s="61" t="s">
        <v>641</v>
      </c>
      <c r="D200" s="63">
        <v>689</v>
      </c>
      <c r="E200" s="63">
        <v>1060</v>
      </c>
      <c r="F200" s="63">
        <f t="shared" si="36"/>
        <v>1282.5999999999999</v>
      </c>
      <c r="G200" s="63">
        <f t="shared" si="37"/>
        <v>371</v>
      </c>
      <c r="H200" s="129">
        <f t="shared" si="38"/>
        <v>0.35</v>
      </c>
      <c r="I200" s="63">
        <f t="shared" si="39"/>
        <v>27.2346</v>
      </c>
      <c r="J200" s="63">
        <f t="shared" si="40"/>
        <v>30</v>
      </c>
      <c r="K200" s="63">
        <f t="shared" si="41"/>
        <v>2</v>
      </c>
      <c r="L200" s="63">
        <f t="shared" si="42"/>
        <v>1.6</v>
      </c>
      <c r="M200" s="63">
        <f t="shared" si="43"/>
        <v>310.16539999999998</v>
      </c>
      <c r="N200" s="129">
        <f t="shared" si="44"/>
        <v>0.29260886792452828</v>
      </c>
      <c r="O200" s="63">
        <f t="shared" si="45"/>
        <v>310.16539999999998</v>
      </c>
      <c r="P200" s="130">
        <f t="shared" si="46"/>
        <v>4.1352130186023333</v>
      </c>
      <c r="Q200" s="131" t="str">
        <f t="shared" si="47"/>
        <v>NEUTRAL</v>
      </c>
    </row>
    <row r="201" spans="1:17" x14ac:dyDescent="0.2">
      <c r="A201" s="55" t="s">
        <v>467</v>
      </c>
      <c r="B201" s="55" t="s">
        <v>643</v>
      </c>
      <c r="C201" s="55" t="s">
        <v>641</v>
      </c>
      <c r="D201" s="57">
        <v>694.04</v>
      </c>
      <c r="E201" s="57">
        <v>1067.75</v>
      </c>
      <c r="F201" s="57">
        <f t="shared" si="36"/>
        <v>1291.9775</v>
      </c>
      <c r="G201" s="57">
        <f t="shared" si="37"/>
        <v>373.71000000000004</v>
      </c>
      <c r="H201" s="126">
        <f t="shared" si="38"/>
        <v>0.34999765862795601</v>
      </c>
      <c r="I201" s="57">
        <f t="shared" si="39"/>
        <v>27.431527500000001</v>
      </c>
      <c r="J201" s="57">
        <f t="shared" si="40"/>
        <v>30</v>
      </c>
      <c r="K201" s="57">
        <f t="shared" si="41"/>
        <v>2</v>
      </c>
      <c r="L201" s="57">
        <f t="shared" si="42"/>
        <v>1.6</v>
      </c>
      <c r="M201" s="57">
        <f t="shared" si="43"/>
        <v>312.6784725</v>
      </c>
      <c r="N201" s="126">
        <f t="shared" si="44"/>
        <v>0.2928386537110747</v>
      </c>
      <c r="O201" s="57">
        <f t="shared" si="45"/>
        <v>312.6784725</v>
      </c>
      <c r="P201" s="127">
        <f t="shared" si="46"/>
        <v>4.1319681833868493</v>
      </c>
      <c r="Q201" s="128" t="str">
        <f t="shared" si="47"/>
        <v>NEUTRAL</v>
      </c>
    </row>
    <row r="202" spans="1:17" x14ac:dyDescent="0.2">
      <c r="A202" s="61" t="s">
        <v>467</v>
      </c>
      <c r="B202" s="61" t="s">
        <v>645</v>
      </c>
      <c r="C202" s="61" t="s">
        <v>646</v>
      </c>
      <c r="D202" s="63">
        <v>789.72</v>
      </c>
      <c r="E202" s="63">
        <v>1052.96</v>
      </c>
      <c r="F202" s="63">
        <f t="shared" si="36"/>
        <v>1274.0816</v>
      </c>
      <c r="G202" s="63">
        <f t="shared" si="37"/>
        <v>263.24</v>
      </c>
      <c r="H202" s="129">
        <f t="shared" si="38"/>
        <v>0.25</v>
      </c>
      <c r="I202" s="63">
        <f t="shared" si="39"/>
        <v>27.055713600000001</v>
      </c>
      <c r="J202" s="63">
        <f t="shared" si="40"/>
        <v>30</v>
      </c>
      <c r="K202" s="63">
        <f t="shared" si="41"/>
        <v>2</v>
      </c>
      <c r="L202" s="63">
        <f t="shared" si="42"/>
        <v>1.6</v>
      </c>
      <c r="M202" s="63">
        <f t="shared" si="43"/>
        <v>202.58428640000002</v>
      </c>
      <c r="N202" s="129">
        <f t="shared" si="44"/>
        <v>0.1923950448260143</v>
      </c>
      <c r="O202" s="63">
        <f t="shared" si="45"/>
        <v>202.58428640000002</v>
      </c>
      <c r="P202" s="130">
        <f t="shared" si="46"/>
        <v>6.289143262989028</v>
      </c>
      <c r="Q202" s="131" t="str">
        <f t="shared" si="47"/>
        <v>NEUTRAL</v>
      </c>
    </row>
    <row r="203" spans="1:17" x14ac:dyDescent="0.2">
      <c r="A203" s="55" t="s">
        <v>467</v>
      </c>
      <c r="B203" s="55" t="s">
        <v>648</v>
      </c>
      <c r="C203" s="55" t="s">
        <v>649</v>
      </c>
      <c r="D203" s="57">
        <v>1035.01</v>
      </c>
      <c r="E203" s="57">
        <v>1380.01</v>
      </c>
      <c r="F203" s="57">
        <f t="shared" si="36"/>
        <v>1669.8120999999999</v>
      </c>
      <c r="G203" s="57">
        <f t="shared" si="37"/>
        <v>345</v>
      </c>
      <c r="H203" s="126">
        <f t="shared" si="38"/>
        <v>0.24999818841892449</v>
      </c>
      <c r="I203" s="57">
        <f t="shared" si="39"/>
        <v>35.366054099999999</v>
      </c>
      <c r="J203" s="57">
        <f t="shared" si="40"/>
        <v>30</v>
      </c>
      <c r="K203" s="57">
        <f t="shared" si="41"/>
        <v>2</v>
      </c>
      <c r="L203" s="57">
        <f t="shared" si="42"/>
        <v>1.6</v>
      </c>
      <c r="M203" s="57">
        <f t="shared" si="43"/>
        <v>276.03394589999999</v>
      </c>
      <c r="N203" s="126">
        <f t="shared" si="44"/>
        <v>0.20002314903515192</v>
      </c>
      <c r="O203" s="57">
        <f t="shared" si="45"/>
        <v>276.03394589999999</v>
      </c>
      <c r="P203" s="127">
        <f t="shared" si="46"/>
        <v>6.0492998227287957</v>
      </c>
      <c r="Q203" s="128" t="str">
        <f t="shared" si="47"/>
        <v>NEUTRAL</v>
      </c>
    </row>
    <row r="204" spans="1:17" x14ac:dyDescent="0.2">
      <c r="A204" s="61" t="s">
        <v>467</v>
      </c>
      <c r="B204" s="61" t="s">
        <v>651</v>
      </c>
      <c r="C204" s="61" t="s">
        <v>652</v>
      </c>
      <c r="D204" s="63">
        <v>975.21</v>
      </c>
      <c r="E204" s="63">
        <v>1300.28</v>
      </c>
      <c r="F204" s="63">
        <f t="shared" si="36"/>
        <v>1573.3388</v>
      </c>
      <c r="G204" s="63">
        <f t="shared" si="37"/>
        <v>325.06999999999994</v>
      </c>
      <c r="H204" s="129">
        <f t="shared" si="38"/>
        <v>0.24999999999999994</v>
      </c>
      <c r="I204" s="63">
        <f t="shared" si="39"/>
        <v>33.340114800000002</v>
      </c>
      <c r="J204" s="63">
        <f t="shared" si="40"/>
        <v>30</v>
      </c>
      <c r="K204" s="63">
        <f t="shared" si="41"/>
        <v>2</v>
      </c>
      <c r="L204" s="63">
        <f t="shared" si="42"/>
        <v>1.6</v>
      </c>
      <c r="M204" s="63">
        <f t="shared" si="43"/>
        <v>258.12988519999993</v>
      </c>
      <c r="N204" s="129">
        <f t="shared" si="44"/>
        <v>0.19851869228166236</v>
      </c>
      <c r="O204" s="63">
        <f t="shared" si="45"/>
        <v>258.12988519999993</v>
      </c>
      <c r="P204" s="130">
        <f t="shared" si="46"/>
        <v>6.095143918655415</v>
      </c>
      <c r="Q204" s="131" t="str">
        <f t="shared" si="47"/>
        <v>NEUTRAL</v>
      </c>
    </row>
    <row r="205" spans="1:17" x14ac:dyDescent="0.2">
      <c r="A205" s="55" t="s">
        <v>467</v>
      </c>
      <c r="B205" s="55" t="s">
        <v>654</v>
      </c>
      <c r="C205" s="55" t="s">
        <v>652</v>
      </c>
      <c r="D205" s="57">
        <v>987.56</v>
      </c>
      <c r="E205" s="57">
        <v>1316.74</v>
      </c>
      <c r="F205" s="57">
        <f t="shared" si="36"/>
        <v>1593.2554</v>
      </c>
      <c r="G205" s="57">
        <f t="shared" si="37"/>
        <v>329.18000000000006</v>
      </c>
      <c r="H205" s="126">
        <f t="shared" si="38"/>
        <v>0.24999620274313841</v>
      </c>
      <c r="I205" s="57">
        <f t="shared" si="39"/>
        <v>33.7583634</v>
      </c>
      <c r="J205" s="57">
        <f t="shared" si="40"/>
        <v>30</v>
      </c>
      <c r="K205" s="57">
        <f t="shared" si="41"/>
        <v>2</v>
      </c>
      <c r="L205" s="57">
        <f t="shared" si="42"/>
        <v>1.6</v>
      </c>
      <c r="M205" s="57">
        <f t="shared" si="43"/>
        <v>261.82163660000003</v>
      </c>
      <c r="N205" s="126">
        <f t="shared" si="44"/>
        <v>0.19884080122119782</v>
      </c>
      <c r="O205" s="57">
        <f t="shared" si="45"/>
        <v>261.82163660000003</v>
      </c>
      <c r="P205" s="127">
        <f t="shared" si="46"/>
        <v>6.0852701888580274</v>
      </c>
      <c r="Q205" s="128" t="str">
        <f t="shared" si="47"/>
        <v>NEUTRAL</v>
      </c>
    </row>
    <row r="206" spans="1:17" x14ac:dyDescent="0.2">
      <c r="A206" s="61" t="s">
        <v>467</v>
      </c>
      <c r="B206" s="61" t="s">
        <v>656</v>
      </c>
      <c r="C206" s="61" t="s">
        <v>657</v>
      </c>
      <c r="D206" s="63">
        <v>1250.19</v>
      </c>
      <c r="E206" s="63">
        <v>1666.92</v>
      </c>
      <c r="F206" s="63">
        <f t="shared" si="36"/>
        <v>2016.9732000000001</v>
      </c>
      <c r="G206" s="63">
        <f t="shared" si="37"/>
        <v>416.73</v>
      </c>
      <c r="H206" s="129">
        <f t="shared" si="38"/>
        <v>0.25</v>
      </c>
      <c r="I206" s="63">
        <f t="shared" si="39"/>
        <v>42.656437199999999</v>
      </c>
      <c r="J206" s="63">
        <f t="shared" si="40"/>
        <v>30</v>
      </c>
      <c r="K206" s="63">
        <f t="shared" si="41"/>
        <v>2</v>
      </c>
      <c r="L206" s="63">
        <f t="shared" si="42"/>
        <v>1.6</v>
      </c>
      <c r="M206" s="63">
        <f t="shared" si="43"/>
        <v>340.47356279999997</v>
      </c>
      <c r="N206" s="129">
        <f t="shared" si="44"/>
        <v>0.20425309121013602</v>
      </c>
      <c r="O206" s="63">
        <f t="shared" si="45"/>
        <v>340.47356279999997</v>
      </c>
      <c r="P206" s="130">
        <f t="shared" si="46"/>
        <v>5.9240229503070259</v>
      </c>
      <c r="Q206" s="131" t="str">
        <f t="shared" si="47"/>
        <v>NEUTRAL</v>
      </c>
    </row>
    <row r="207" spans="1:17" x14ac:dyDescent="0.2">
      <c r="A207" s="55" t="s">
        <v>467</v>
      </c>
      <c r="B207" s="55" t="s">
        <v>659</v>
      </c>
      <c r="C207" s="55" t="s">
        <v>657</v>
      </c>
      <c r="D207" s="57">
        <v>1423.37</v>
      </c>
      <c r="E207" s="57">
        <v>1897.82</v>
      </c>
      <c r="F207" s="57">
        <f t="shared" si="36"/>
        <v>2296.3622</v>
      </c>
      <c r="G207" s="57">
        <f t="shared" si="37"/>
        <v>474.45000000000005</v>
      </c>
      <c r="H207" s="126">
        <f t="shared" si="38"/>
        <v>0.24999736539819375</v>
      </c>
      <c r="I207" s="57">
        <f t="shared" si="39"/>
        <v>48.523606200000003</v>
      </c>
      <c r="J207" s="57">
        <f t="shared" si="40"/>
        <v>30</v>
      </c>
      <c r="K207" s="57">
        <f t="shared" si="41"/>
        <v>2</v>
      </c>
      <c r="L207" s="57">
        <f t="shared" si="42"/>
        <v>1.6</v>
      </c>
      <c r="M207" s="57">
        <f t="shared" si="43"/>
        <v>392.32639380000001</v>
      </c>
      <c r="N207" s="126">
        <f t="shared" si="44"/>
        <v>0.20672476515159499</v>
      </c>
      <c r="O207" s="57">
        <f t="shared" si="45"/>
        <v>392.32639380000001</v>
      </c>
      <c r="P207" s="127">
        <f t="shared" si="46"/>
        <v>5.8531932500331312</v>
      </c>
      <c r="Q207" s="128" t="str">
        <f t="shared" si="47"/>
        <v>NEUTRAL</v>
      </c>
    </row>
    <row r="208" spans="1:17" x14ac:dyDescent="0.2">
      <c r="A208" s="61" t="s">
        <v>467</v>
      </c>
      <c r="B208" s="61" t="s">
        <v>661</v>
      </c>
      <c r="C208" s="61" t="s">
        <v>662</v>
      </c>
      <c r="D208" s="63">
        <v>273.99</v>
      </c>
      <c r="E208" s="63">
        <v>421.53</v>
      </c>
      <c r="F208" s="63">
        <f t="shared" si="36"/>
        <v>510.05129999999997</v>
      </c>
      <c r="G208" s="63">
        <f t="shared" si="37"/>
        <v>147.53999999999996</v>
      </c>
      <c r="H208" s="129">
        <f t="shared" si="38"/>
        <v>0.35001067539676883</v>
      </c>
      <c r="I208" s="63">
        <f t="shared" si="39"/>
        <v>11.0110773</v>
      </c>
      <c r="J208" s="63">
        <f t="shared" si="40"/>
        <v>30</v>
      </c>
      <c r="K208" s="63">
        <f t="shared" si="41"/>
        <v>2</v>
      </c>
      <c r="L208" s="63">
        <f t="shared" si="42"/>
        <v>1.6</v>
      </c>
      <c r="M208" s="63">
        <f t="shared" si="43"/>
        <v>102.92892269999996</v>
      </c>
      <c r="N208" s="129">
        <f t="shared" si="44"/>
        <v>0.24417935307095573</v>
      </c>
      <c r="O208" s="63">
        <f t="shared" si="45"/>
        <v>102.92892269999996</v>
      </c>
      <c r="P208" s="130">
        <f t="shared" si="46"/>
        <v>4.9553739281485765</v>
      </c>
      <c r="Q208" s="131" t="str">
        <f t="shared" si="47"/>
        <v>NEUTRAL</v>
      </c>
    </row>
    <row r="209" spans="1:17" x14ac:dyDescent="0.2">
      <c r="A209" s="55" t="s">
        <v>467</v>
      </c>
      <c r="B209" s="55" t="s">
        <v>664</v>
      </c>
      <c r="C209" s="55" t="s">
        <v>662</v>
      </c>
      <c r="D209" s="57">
        <v>279.99</v>
      </c>
      <c r="E209" s="57">
        <v>430.75</v>
      </c>
      <c r="F209" s="57">
        <f t="shared" si="36"/>
        <v>521.20749999999998</v>
      </c>
      <c r="G209" s="57">
        <f t="shared" si="37"/>
        <v>150.76</v>
      </c>
      <c r="H209" s="126">
        <f t="shared" si="38"/>
        <v>0.34999419616947181</v>
      </c>
      <c r="I209" s="57">
        <f t="shared" si="39"/>
        <v>11.245357500000001</v>
      </c>
      <c r="J209" s="57">
        <f t="shared" si="40"/>
        <v>30</v>
      </c>
      <c r="K209" s="57">
        <f t="shared" si="41"/>
        <v>2</v>
      </c>
      <c r="L209" s="57">
        <f t="shared" si="42"/>
        <v>1.6</v>
      </c>
      <c r="M209" s="57">
        <f t="shared" si="43"/>
        <v>105.91464249999999</v>
      </c>
      <c r="N209" s="126">
        <f t="shared" si="44"/>
        <v>0.2458842542077771</v>
      </c>
      <c r="O209" s="57">
        <f t="shared" si="45"/>
        <v>105.91464249999999</v>
      </c>
      <c r="P209" s="127">
        <f t="shared" si="46"/>
        <v>4.9210145802078316</v>
      </c>
      <c r="Q209" s="128" t="str">
        <f t="shared" si="47"/>
        <v>NEUTRAL</v>
      </c>
    </row>
    <row r="210" spans="1:17" x14ac:dyDescent="0.2">
      <c r="A210" s="61" t="s">
        <v>467</v>
      </c>
      <c r="B210" s="61" t="s">
        <v>666</v>
      </c>
      <c r="C210" s="61" t="s">
        <v>667</v>
      </c>
      <c r="D210" s="63">
        <v>187.58</v>
      </c>
      <c r="E210" s="63">
        <v>288.58999999999997</v>
      </c>
      <c r="F210" s="63">
        <f t="shared" si="36"/>
        <v>349.19389999999999</v>
      </c>
      <c r="G210" s="63">
        <f t="shared" si="37"/>
        <v>101.00999999999996</v>
      </c>
      <c r="H210" s="129">
        <f t="shared" si="38"/>
        <v>0.35001212793236069</v>
      </c>
      <c r="I210" s="63">
        <f t="shared" si="39"/>
        <v>7.6330719</v>
      </c>
      <c r="J210" s="63">
        <f t="shared" si="40"/>
        <v>30</v>
      </c>
      <c r="K210" s="63">
        <f t="shared" si="41"/>
        <v>2</v>
      </c>
      <c r="L210" s="63">
        <f t="shared" si="42"/>
        <v>1.6</v>
      </c>
      <c r="M210" s="63">
        <f t="shared" si="43"/>
        <v>59.776928099999957</v>
      </c>
      <c r="N210" s="129">
        <f t="shared" si="44"/>
        <v>0.20713444020929334</v>
      </c>
      <c r="O210" s="63">
        <f t="shared" si="45"/>
        <v>59.776928099999957</v>
      </c>
      <c r="P210" s="130">
        <f t="shared" si="46"/>
        <v>5.8416166755146497</v>
      </c>
      <c r="Q210" s="131" t="str">
        <f t="shared" si="47"/>
        <v>NEUTRAL</v>
      </c>
    </row>
    <row r="211" spans="1:17" x14ac:dyDescent="0.2">
      <c r="A211" s="55" t="s">
        <v>467</v>
      </c>
      <c r="B211" s="55" t="s">
        <v>669</v>
      </c>
      <c r="C211" s="55" t="s">
        <v>667</v>
      </c>
      <c r="D211" s="57">
        <v>208.21</v>
      </c>
      <c r="E211" s="57">
        <v>320.32</v>
      </c>
      <c r="F211" s="57">
        <f t="shared" si="36"/>
        <v>387.5872</v>
      </c>
      <c r="G211" s="57">
        <f t="shared" si="37"/>
        <v>112.10999999999999</v>
      </c>
      <c r="H211" s="126">
        <f t="shared" si="38"/>
        <v>0.34999375624375623</v>
      </c>
      <c r="I211" s="57">
        <f t="shared" si="39"/>
        <v>8.4393312000000016</v>
      </c>
      <c r="J211" s="57">
        <f t="shared" si="40"/>
        <v>30</v>
      </c>
      <c r="K211" s="57">
        <f t="shared" si="41"/>
        <v>2</v>
      </c>
      <c r="L211" s="57">
        <f t="shared" si="42"/>
        <v>1.6</v>
      </c>
      <c r="M211" s="57">
        <f t="shared" si="43"/>
        <v>70.070668799999993</v>
      </c>
      <c r="N211" s="126">
        <f t="shared" si="44"/>
        <v>0.21875208791208789</v>
      </c>
      <c r="O211" s="57">
        <f t="shared" si="45"/>
        <v>70.070668799999993</v>
      </c>
      <c r="P211" s="127">
        <f t="shared" si="46"/>
        <v>5.5313757758795647</v>
      </c>
      <c r="Q211" s="128" t="str">
        <f t="shared" si="47"/>
        <v>NEUTRAL</v>
      </c>
    </row>
    <row r="212" spans="1:17" x14ac:dyDescent="0.2">
      <c r="A212" s="61" t="s">
        <v>467</v>
      </c>
      <c r="B212" s="61" t="s">
        <v>671</v>
      </c>
      <c r="C212" s="61" t="s">
        <v>667</v>
      </c>
      <c r="D212" s="63">
        <v>207.97</v>
      </c>
      <c r="E212" s="63">
        <v>319.95</v>
      </c>
      <c r="F212" s="63">
        <f t="shared" si="36"/>
        <v>387.1395</v>
      </c>
      <c r="G212" s="63">
        <f t="shared" si="37"/>
        <v>111.97999999999999</v>
      </c>
      <c r="H212" s="129">
        <f t="shared" si="38"/>
        <v>0.34999218627910611</v>
      </c>
      <c r="I212" s="63">
        <f t="shared" si="39"/>
        <v>8.4299295000000019</v>
      </c>
      <c r="J212" s="63">
        <f t="shared" si="40"/>
        <v>30</v>
      </c>
      <c r="K212" s="63">
        <f t="shared" si="41"/>
        <v>2</v>
      </c>
      <c r="L212" s="63">
        <f t="shared" si="42"/>
        <v>1.6</v>
      </c>
      <c r="M212" s="63">
        <f t="shared" si="43"/>
        <v>69.950070499999995</v>
      </c>
      <c r="N212" s="129">
        <f t="shared" si="44"/>
        <v>0.21862813095796219</v>
      </c>
      <c r="O212" s="63">
        <f t="shared" si="45"/>
        <v>69.950070499999995</v>
      </c>
      <c r="P212" s="130">
        <f t="shared" si="46"/>
        <v>5.5345119344804665</v>
      </c>
      <c r="Q212" s="131" t="str">
        <f t="shared" si="47"/>
        <v>NEUTRAL</v>
      </c>
    </row>
    <row r="213" spans="1:17" x14ac:dyDescent="0.2">
      <c r="A213" s="55" t="s">
        <v>467</v>
      </c>
      <c r="B213" s="55" t="s">
        <v>673</v>
      </c>
      <c r="C213" s="55" t="s">
        <v>667</v>
      </c>
      <c r="D213" s="57">
        <v>235.95</v>
      </c>
      <c r="E213" s="57">
        <v>363.01</v>
      </c>
      <c r="F213" s="57">
        <f t="shared" si="36"/>
        <v>439.24209999999999</v>
      </c>
      <c r="G213" s="57">
        <f t="shared" si="37"/>
        <v>127.06</v>
      </c>
      <c r="H213" s="126">
        <f t="shared" si="38"/>
        <v>0.35001790584281428</v>
      </c>
      <c r="I213" s="57">
        <f t="shared" si="39"/>
        <v>9.5240841000000014</v>
      </c>
      <c r="J213" s="57">
        <f t="shared" si="40"/>
        <v>30</v>
      </c>
      <c r="K213" s="57">
        <f t="shared" si="41"/>
        <v>2</v>
      </c>
      <c r="L213" s="57">
        <f t="shared" si="42"/>
        <v>1.6</v>
      </c>
      <c r="M213" s="57">
        <f t="shared" si="43"/>
        <v>83.935915900000012</v>
      </c>
      <c r="N213" s="126">
        <f t="shared" si="44"/>
        <v>0.23122204870389249</v>
      </c>
      <c r="O213" s="57">
        <f t="shared" si="45"/>
        <v>83.935915900000012</v>
      </c>
      <c r="P213" s="127">
        <f t="shared" si="46"/>
        <v>5.2330649554513284</v>
      </c>
      <c r="Q213" s="128" t="str">
        <f t="shared" si="47"/>
        <v>NEUTRAL</v>
      </c>
    </row>
    <row r="214" spans="1:17" x14ac:dyDescent="0.2">
      <c r="A214" s="61" t="s">
        <v>467</v>
      </c>
      <c r="B214" s="61" t="s">
        <v>675</v>
      </c>
      <c r="C214" s="61" t="s">
        <v>676</v>
      </c>
      <c r="D214" s="63">
        <v>209.41</v>
      </c>
      <c r="E214" s="63">
        <v>322.18</v>
      </c>
      <c r="F214" s="63">
        <f t="shared" si="36"/>
        <v>389.83780000000002</v>
      </c>
      <c r="G214" s="63">
        <f t="shared" si="37"/>
        <v>112.77000000000001</v>
      </c>
      <c r="H214" s="129">
        <f t="shared" si="38"/>
        <v>0.35002172698491529</v>
      </c>
      <c r="I214" s="63">
        <f t="shared" si="39"/>
        <v>8.4865938000000014</v>
      </c>
      <c r="J214" s="63">
        <f t="shared" si="40"/>
        <v>30</v>
      </c>
      <c r="K214" s="63">
        <f t="shared" si="41"/>
        <v>2</v>
      </c>
      <c r="L214" s="63">
        <f t="shared" si="42"/>
        <v>1.6</v>
      </c>
      <c r="M214" s="63">
        <f t="shared" si="43"/>
        <v>70.683406200000007</v>
      </c>
      <c r="N214" s="129">
        <f t="shared" si="44"/>
        <v>0.21939104289527595</v>
      </c>
      <c r="O214" s="63">
        <f t="shared" si="45"/>
        <v>70.683406200000007</v>
      </c>
      <c r="P214" s="130">
        <f t="shared" si="46"/>
        <v>5.5152661842151005</v>
      </c>
      <c r="Q214" s="131" t="str">
        <f t="shared" si="47"/>
        <v>NEUTRAL</v>
      </c>
    </row>
    <row r="215" spans="1:17" x14ac:dyDescent="0.2">
      <c r="A215" s="55" t="s">
        <v>467</v>
      </c>
      <c r="B215" s="55" t="s">
        <v>677</v>
      </c>
      <c r="C215" s="55" t="s">
        <v>676</v>
      </c>
      <c r="D215" s="57">
        <v>237.88</v>
      </c>
      <c r="E215" s="57">
        <v>365.97</v>
      </c>
      <c r="F215" s="57">
        <f t="shared" si="36"/>
        <v>442.82370000000003</v>
      </c>
      <c r="G215" s="57">
        <f t="shared" si="37"/>
        <v>128.09000000000003</v>
      </c>
      <c r="H215" s="126">
        <f t="shared" si="38"/>
        <v>0.3500013662322049</v>
      </c>
      <c r="I215" s="57">
        <f t="shared" si="39"/>
        <v>9.5992977000000028</v>
      </c>
      <c r="J215" s="57">
        <f t="shared" si="40"/>
        <v>30</v>
      </c>
      <c r="K215" s="57">
        <f t="shared" si="41"/>
        <v>2</v>
      </c>
      <c r="L215" s="57">
        <f t="shared" si="42"/>
        <v>1.6</v>
      </c>
      <c r="M215" s="57">
        <f t="shared" si="43"/>
        <v>84.890702300000029</v>
      </c>
      <c r="N215" s="126">
        <f t="shared" si="44"/>
        <v>0.2319608227450338</v>
      </c>
      <c r="O215" s="57">
        <f t="shared" si="45"/>
        <v>84.890702300000029</v>
      </c>
      <c r="P215" s="127">
        <f t="shared" si="46"/>
        <v>5.2163981213758897</v>
      </c>
      <c r="Q215" s="128" t="str">
        <f t="shared" si="47"/>
        <v>NEUTRAL</v>
      </c>
    </row>
    <row r="216" spans="1:17" x14ac:dyDescent="0.2">
      <c r="A216" s="61" t="s">
        <v>467</v>
      </c>
      <c r="B216" s="61" t="s">
        <v>679</v>
      </c>
      <c r="C216" s="61" t="s">
        <v>680</v>
      </c>
      <c r="D216" s="63">
        <v>203.29</v>
      </c>
      <c r="E216" s="63">
        <v>312.75</v>
      </c>
      <c r="F216" s="63">
        <f t="shared" si="36"/>
        <v>378.42750000000001</v>
      </c>
      <c r="G216" s="63">
        <f t="shared" si="37"/>
        <v>109.46000000000001</v>
      </c>
      <c r="H216" s="129">
        <f t="shared" si="38"/>
        <v>0.34999200639488409</v>
      </c>
      <c r="I216" s="63">
        <f t="shared" si="39"/>
        <v>8.2469775000000016</v>
      </c>
      <c r="J216" s="63">
        <f t="shared" si="40"/>
        <v>30</v>
      </c>
      <c r="K216" s="63">
        <f t="shared" si="41"/>
        <v>2</v>
      </c>
      <c r="L216" s="63">
        <f t="shared" si="42"/>
        <v>1.6</v>
      </c>
      <c r="M216" s="63">
        <f t="shared" si="43"/>
        <v>67.613022500000014</v>
      </c>
      <c r="N216" s="129">
        <f t="shared" si="44"/>
        <v>0.21618872102318151</v>
      </c>
      <c r="O216" s="63">
        <f t="shared" si="45"/>
        <v>67.613022500000014</v>
      </c>
      <c r="P216" s="130">
        <f t="shared" si="46"/>
        <v>5.5969617391383428</v>
      </c>
      <c r="Q216" s="131" t="str">
        <f t="shared" si="47"/>
        <v>NEUTRAL</v>
      </c>
    </row>
    <row r="217" spans="1:17" x14ac:dyDescent="0.2">
      <c r="A217" s="55" t="s">
        <v>467</v>
      </c>
      <c r="B217" s="55" t="s">
        <v>681</v>
      </c>
      <c r="C217" s="55" t="s">
        <v>680</v>
      </c>
      <c r="D217" s="57">
        <v>232.21</v>
      </c>
      <c r="E217" s="57">
        <v>357.25</v>
      </c>
      <c r="F217" s="57">
        <f t="shared" si="36"/>
        <v>432.27249999999998</v>
      </c>
      <c r="G217" s="57">
        <f t="shared" si="37"/>
        <v>125.03999999999999</v>
      </c>
      <c r="H217" s="126">
        <f t="shared" si="38"/>
        <v>0.35000699790062978</v>
      </c>
      <c r="I217" s="57">
        <f t="shared" si="39"/>
        <v>9.3777225000000008</v>
      </c>
      <c r="J217" s="57">
        <f t="shared" si="40"/>
        <v>30</v>
      </c>
      <c r="K217" s="57">
        <f t="shared" si="41"/>
        <v>2</v>
      </c>
      <c r="L217" s="57">
        <f t="shared" si="42"/>
        <v>1.6</v>
      </c>
      <c r="M217" s="57">
        <f t="shared" si="43"/>
        <v>82.062277499999993</v>
      </c>
      <c r="N217" s="126">
        <f t="shared" si="44"/>
        <v>0.22970546536039185</v>
      </c>
      <c r="O217" s="57">
        <f t="shared" si="45"/>
        <v>82.062277499999993</v>
      </c>
      <c r="P217" s="127">
        <f t="shared" si="46"/>
        <v>5.2676151962757798</v>
      </c>
      <c r="Q217" s="128" t="str">
        <f t="shared" si="47"/>
        <v>NEUTRAL</v>
      </c>
    </row>
    <row r="218" spans="1:17" x14ac:dyDescent="0.2">
      <c r="A218" s="61" t="s">
        <v>467</v>
      </c>
      <c r="B218" s="61" t="s">
        <v>682</v>
      </c>
      <c r="C218" s="61" t="s">
        <v>628</v>
      </c>
      <c r="D218" s="63">
        <v>218.28</v>
      </c>
      <c r="E218" s="63">
        <v>335.82</v>
      </c>
      <c r="F218" s="63">
        <f t="shared" si="36"/>
        <v>406.34219999999999</v>
      </c>
      <c r="G218" s="63">
        <f t="shared" si="37"/>
        <v>117.53999999999999</v>
      </c>
      <c r="H218" s="129">
        <f t="shared" si="38"/>
        <v>0.3500089333571556</v>
      </c>
      <c r="I218" s="63">
        <f t="shared" si="39"/>
        <v>8.8331862000000019</v>
      </c>
      <c r="J218" s="63">
        <f t="shared" si="40"/>
        <v>30</v>
      </c>
      <c r="K218" s="63">
        <f t="shared" si="41"/>
        <v>2</v>
      </c>
      <c r="L218" s="63">
        <f t="shared" si="42"/>
        <v>1.6</v>
      </c>
      <c r="M218" s="63">
        <f t="shared" si="43"/>
        <v>75.106813799999998</v>
      </c>
      <c r="N218" s="129">
        <f t="shared" si="44"/>
        <v>0.22365199749865999</v>
      </c>
      <c r="O218" s="63">
        <f t="shared" si="45"/>
        <v>75.106813799999998</v>
      </c>
      <c r="P218" s="130">
        <f t="shared" si="46"/>
        <v>5.4101908926936799</v>
      </c>
      <c r="Q218" s="131" t="str">
        <f t="shared" si="47"/>
        <v>NEUTRAL</v>
      </c>
    </row>
    <row r="219" spans="1:17" x14ac:dyDescent="0.2">
      <c r="A219" s="55" t="s">
        <v>467</v>
      </c>
      <c r="B219" s="55" t="s">
        <v>683</v>
      </c>
      <c r="C219" s="55" t="s">
        <v>628</v>
      </c>
      <c r="D219" s="57">
        <v>228.9</v>
      </c>
      <c r="E219" s="57">
        <v>352.15</v>
      </c>
      <c r="F219" s="57">
        <f t="shared" si="36"/>
        <v>426.10149999999999</v>
      </c>
      <c r="G219" s="57">
        <f t="shared" si="37"/>
        <v>123.24999999999997</v>
      </c>
      <c r="H219" s="126">
        <f t="shared" si="38"/>
        <v>0.34999290075252015</v>
      </c>
      <c r="I219" s="57">
        <f t="shared" si="39"/>
        <v>9.2481315000000013</v>
      </c>
      <c r="J219" s="57">
        <f t="shared" si="40"/>
        <v>30</v>
      </c>
      <c r="K219" s="57">
        <f t="shared" si="41"/>
        <v>2</v>
      </c>
      <c r="L219" s="57">
        <f t="shared" si="42"/>
        <v>1.6</v>
      </c>
      <c r="M219" s="57">
        <f t="shared" si="43"/>
        <v>80.401868499999978</v>
      </c>
      <c r="N219" s="126">
        <f t="shared" si="44"/>
        <v>0.22831710492687771</v>
      </c>
      <c r="O219" s="57">
        <f t="shared" si="45"/>
        <v>80.401868499999978</v>
      </c>
      <c r="P219" s="127">
        <f t="shared" si="46"/>
        <v>5.2996467364436946</v>
      </c>
      <c r="Q219" s="128" t="str">
        <f t="shared" si="47"/>
        <v>NEUTRAL</v>
      </c>
    </row>
    <row r="220" spans="1:17" x14ac:dyDescent="0.2">
      <c r="A220" s="61" t="s">
        <v>467</v>
      </c>
      <c r="B220" s="61" t="s">
        <v>684</v>
      </c>
      <c r="C220" s="61" t="s">
        <v>685</v>
      </c>
      <c r="D220" s="63">
        <v>285.52999999999997</v>
      </c>
      <c r="E220" s="63">
        <v>439.28</v>
      </c>
      <c r="F220" s="63">
        <f t="shared" si="36"/>
        <v>531.52879999999993</v>
      </c>
      <c r="G220" s="63">
        <f t="shared" si="37"/>
        <v>153.75</v>
      </c>
      <c r="H220" s="129">
        <f t="shared" si="38"/>
        <v>0.35000455290475324</v>
      </c>
      <c r="I220" s="63">
        <f t="shared" si="39"/>
        <v>11.462104800000001</v>
      </c>
      <c r="J220" s="63">
        <f t="shared" si="40"/>
        <v>30</v>
      </c>
      <c r="K220" s="63">
        <f t="shared" si="41"/>
        <v>2</v>
      </c>
      <c r="L220" s="63">
        <f t="shared" si="42"/>
        <v>1.6</v>
      </c>
      <c r="M220" s="63">
        <f t="shared" si="43"/>
        <v>108.68789520000001</v>
      </c>
      <c r="N220" s="129">
        <f t="shared" si="44"/>
        <v>0.24742281733746135</v>
      </c>
      <c r="O220" s="63">
        <f t="shared" si="45"/>
        <v>108.68789520000001</v>
      </c>
      <c r="P220" s="130">
        <f t="shared" si="46"/>
        <v>4.8904139602843264</v>
      </c>
      <c r="Q220" s="131" t="str">
        <f t="shared" si="47"/>
        <v>NEUTRAL</v>
      </c>
    </row>
    <row r="221" spans="1:17" x14ac:dyDescent="0.2">
      <c r="A221" s="55" t="s">
        <v>467</v>
      </c>
      <c r="B221" s="55" t="s">
        <v>686</v>
      </c>
      <c r="C221" s="55" t="s">
        <v>685</v>
      </c>
      <c r="D221" s="57">
        <v>334.63</v>
      </c>
      <c r="E221" s="57">
        <v>514.82000000000005</v>
      </c>
      <c r="F221" s="57">
        <f t="shared" si="36"/>
        <v>622.93220000000008</v>
      </c>
      <c r="G221" s="57">
        <f t="shared" si="37"/>
        <v>180.19000000000005</v>
      </c>
      <c r="H221" s="126">
        <f t="shared" si="38"/>
        <v>0.35000582727943752</v>
      </c>
      <c r="I221" s="57">
        <f t="shared" si="39"/>
        <v>13.381576200000003</v>
      </c>
      <c r="J221" s="57">
        <f t="shared" si="40"/>
        <v>30</v>
      </c>
      <c r="K221" s="57">
        <f t="shared" si="41"/>
        <v>2</v>
      </c>
      <c r="L221" s="57">
        <f t="shared" si="42"/>
        <v>1.6</v>
      </c>
      <c r="M221" s="57">
        <f t="shared" si="43"/>
        <v>133.20842380000005</v>
      </c>
      <c r="N221" s="126">
        <f t="shared" si="44"/>
        <v>0.25874756963598933</v>
      </c>
      <c r="O221" s="57">
        <f t="shared" si="45"/>
        <v>133.20842380000005</v>
      </c>
      <c r="P221" s="127">
        <f t="shared" si="46"/>
        <v>4.6763724262308992</v>
      </c>
      <c r="Q221" s="128" t="str">
        <f t="shared" si="47"/>
        <v>NEUTRAL</v>
      </c>
    </row>
    <row r="222" spans="1:17" x14ac:dyDescent="0.2">
      <c r="A222" s="61" t="s">
        <v>467</v>
      </c>
      <c r="B222" s="61" t="s">
        <v>687</v>
      </c>
      <c r="C222" s="61" t="s">
        <v>685</v>
      </c>
      <c r="D222" s="63">
        <v>325.10000000000002</v>
      </c>
      <c r="E222" s="63">
        <v>500.15</v>
      </c>
      <c r="F222" s="63">
        <f t="shared" si="36"/>
        <v>605.18149999999991</v>
      </c>
      <c r="G222" s="63">
        <f t="shared" si="37"/>
        <v>175.04999999999995</v>
      </c>
      <c r="H222" s="129">
        <f t="shared" si="38"/>
        <v>0.34999500149955004</v>
      </c>
      <c r="I222" s="63">
        <f t="shared" si="39"/>
        <v>13.0088115</v>
      </c>
      <c r="J222" s="63">
        <f t="shared" si="40"/>
        <v>30</v>
      </c>
      <c r="K222" s="63">
        <f t="shared" si="41"/>
        <v>2</v>
      </c>
      <c r="L222" s="63">
        <f t="shared" si="42"/>
        <v>1.6</v>
      </c>
      <c r="M222" s="63">
        <f t="shared" si="43"/>
        <v>128.44118849999995</v>
      </c>
      <c r="N222" s="129">
        <f t="shared" si="44"/>
        <v>0.25680533539938011</v>
      </c>
      <c r="O222" s="63">
        <f t="shared" si="45"/>
        <v>128.44118849999995</v>
      </c>
      <c r="P222" s="130">
        <f t="shared" si="46"/>
        <v>4.7117401128688572</v>
      </c>
      <c r="Q222" s="131" t="str">
        <f t="shared" si="47"/>
        <v>NEUTRAL</v>
      </c>
    </row>
    <row r="223" spans="1:17" x14ac:dyDescent="0.2">
      <c r="A223" s="55" t="s">
        <v>467</v>
      </c>
      <c r="B223" s="55" t="s">
        <v>688</v>
      </c>
      <c r="C223" s="55" t="s">
        <v>685</v>
      </c>
      <c r="D223" s="57">
        <v>358.03</v>
      </c>
      <c r="E223" s="57">
        <v>550.82000000000005</v>
      </c>
      <c r="F223" s="57">
        <f t="shared" si="36"/>
        <v>666.49220000000003</v>
      </c>
      <c r="G223" s="57">
        <f t="shared" si="37"/>
        <v>192.79000000000008</v>
      </c>
      <c r="H223" s="126">
        <f t="shared" si="38"/>
        <v>0.3500054464253296</v>
      </c>
      <c r="I223" s="57">
        <f t="shared" si="39"/>
        <v>14.296336200000002</v>
      </c>
      <c r="J223" s="57">
        <f t="shared" si="40"/>
        <v>30</v>
      </c>
      <c r="K223" s="57">
        <f t="shared" si="41"/>
        <v>2</v>
      </c>
      <c r="L223" s="57">
        <f t="shared" si="42"/>
        <v>1.6</v>
      </c>
      <c r="M223" s="57">
        <f t="shared" si="43"/>
        <v>144.89366380000007</v>
      </c>
      <c r="N223" s="126">
        <f t="shared" si="44"/>
        <v>0.26305084020188091</v>
      </c>
      <c r="O223" s="57">
        <f t="shared" si="45"/>
        <v>144.89366380000007</v>
      </c>
      <c r="P223" s="127">
        <f t="shared" si="46"/>
        <v>4.5998712608991239</v>
      </c>
      <c r="Q223" s="128" t="str">
        <f t="shared" si="47"/>
        <v>NEUTRAL</v>
      </c>
    </row>
    <row r="224" spans="1:17" x14ac:dyDescent="0.2">
      <c r="A224" s="61" t="s">
        <v>467</v>
      </c>
      <c r="B224" s="61" t="s">
        <v>690</v>
      </c>
      <c r="C224" s="61" t="s">
        <v>662</v>
      </c>
      <c r="D224" s="63">
        <v>245.33</v>
      </c>
      <c r="E224" s="63">
        <v>377.43</v>
      </c>
      <c r="F224" s="63">
        <f t="shared" si="36"/>
        <v>456.69029999999998</v>
      </c>
      <c r="G224" s="63">
        <f t="shared" si="37"/>
        <v>132.1</v>
      </c>
      <c r="H224" s="129">
        <f t="shared" si="38"/>
        <v>0.34999867525103989</v>
      </c>
      <c r="I224" s="63">
        <f t="shared" si="39"/>
        <v>9.8904963000000006</v>
      </c>
      <c r="J224" s="63">
        <f t="shared" si="40"/>
        <v>30</v>
      </c>
      <c r="K224" s="63">
        <f t="shared" si="41"/>
        <v>2</v>
      </c>
      <c r="L224" s="63">
        <f t="shared" si="42"/>
        <v>1.6</v>
      </c>
      <c r="M224" s="63">
        <f t="shared" si="43"/>
        <v>88.609503700000005</v>
      </c>
      <c r="N224" s="129">
        <f t="shared" si="44"/>
        <v>0.23477069575815385</v>
      </c>
      <c r="O224" s="63">
        <f t="shared" si="45"/>
        <v>88.609503700000005</v>
      </c>
      <c r="P224" s="130">
        <f t="shared" si="46"/>
        <v>5.1539652173901063</v>
      </c>
      <c r="Q224" s="131" t="str">
        <f t="shared" si="47"/>
        <v>NEUTRAL</v>
      </c>
    </row>
    <row r="225" spans="1:17" x14ac:dyDescent="0.2">
      <c r="A225" s="55" t="s">
        <v>467</v>
      </c>
      <c r="B225" s="55" t="s">
        <v>690</v>
      </c>
      <c r="C225" s="55" t="s">
        <v>662</v>
      </c>
      <c r="D225" s="57">
        <v>263.01</v>
      </c>
      <c r="E225" s="57">
        <v>404.63</v>
      </c>
      <c r="F225" s="57">
        <f t="shared" si="36"/>
        <v>489.60229999999996</v>
      </c>
      <c r="G225" s="57">
        <f t="shared" si="37"/>
        <v>141.62</v>
      </c>
      <c r="H225" s="126">
        <f t="shared" si="38"/>
        <v>0.3499987643031906</v>
      </c>
      <c r="I225" s="57">
        <f t="shared" si="39"/>
        <v>10.581648300000001</v>
      </c>
      <c r="J225" s="57">
        <f t="shared" si="40"/>
        <v>30</v>
      </c>
      <c r="K225" s="57">
        <f t="shared" si="41"/>
        <v>2</v>
      </c>
      <c r="L225" s="57">
        <f t="shared" si="42"/>
        <v>1.6</v>
      </c>
      <c r="M225" s="57">
        <f t="shared" si="43"/>
        <v>97.438351699999998</v>
      </c>
      <c r="N225" s="126">
        <f t="shared" si="44"/>
        <v>0.24080852062377975</v>
      </c>
      <c r="O225" s="57">
        <f t="shared" si="45"/>
        <v>97.438351699999998</v>
      </c>
      <c r="P225" s="127">
        <f t="shared" si="46"/>
        <v>5.0247391448843644</v>
      </c>
      <c r="Q225" s="128" t="str">
        <f t="shared" si="47"/>
        <v>NEUTRAL</v>
      </c>
    </row>
    <row r="226" spans="1:17" x14ac:dyDescent="0.2">
      <c r="A226" s="61" t="s">
        <v>467</v>
      </c>
      <c r="B226" s="61" t="s">
        <v>692</v>
      </c>
      <c r="C226" s="61" t="s">
        <v>662</v>
      </c>
      <c r="D226" s="63">
        <v>283.88</v>
      </c>
      <c r="E226" s="63">
        <v>436.74</v>
      </c>
      <c r="F226" s="63">
        <f t="shared" si="36"/>
        <v>528.45539999999994</v>
      </c>
      <c r="G226" s="63">
        <f t="shared" si="37"/>
        <v>152.86000000000001</v>
      </c>
      <c r="H226" s="129">
        <f t="shared" si="38"/>
        <v>0.35000228969180752</v>
      </c>
      <c r="I226" s="63">
        <f t="shared" si="39"/>
        <v>11.397563400000001</v>
      </c>
      <c r="J226" s="63">
        <f t="shared" si="40"/>
        <v>30</v>
      </c>
      <c r="K226" s="63">
        <f t="shared" si="41"/>
        <v>2</v>
      </c>
      <c r="L226" s="63">
        <f t="shared" si="42"/>
        <v>1.6</v>
      </c>
      <c r="M226" s="63">
        <f t="shared" si="43"/>
        <v>107.86243660000002</v>
      </c>
      <c r="N226" s="129">
        <f t="shared" si="44"/>
        <v>0.24697173741814357</v>
      </c>
      <c r="O226" s="63">
        <f t="shared" si="45"/>
        <v>107.86243660000002</v>
      </c>
      <c r="P226" s="130">
        <f t="shared" si="46"/>
        <v>4.8993460249719583</v>
      </c>
      <c r="Q226" s="131" t="str">
        <f t="shared" si="47"/>
        <v>NEUTRAL</v>
      </c>
    </row>
    <row r="227" spans="1:17" x14ac:dyDescent="0.2">
      <c r="A227" s="55" t="s">
        <v>467</v>
      </c>
      <c r="B227" s="55" t="s">
        <v>694</v>
      </c>
      <c r="C227" s="55" t="s">
        <v>662</v>
      </c>
      <c r="D227" s="57">
        <v>317.27999999999997</v>
      </c>
      <c r="E227" s="57">
        <v>488.12</v>
      </c>
      <c r="F227" s="57">
        <f t="shared" si="36"/>
        <v>590.62519999999995</v>
      </c>
      <c r="G227" s="57">
        <f t="shared" si="37"/>
        <v>170.84000000000003</v>
      </c>
      <c r="H227" s="126">
        <f t="shared" si="38"/>
        <v>0.34999590264689018</v>
      </c>
      <c r="I227" s="57">
        <f t="shared" si="39"/>
        <v>12.703129200000001</v>
      </c>
      <c r="J227" s="57">
        <f t="shared" si="40"/>
        <v>30</v>
      </c>
      <c r="K227" s="57">
        <f t="shared" si="41"/>
        <v>2</v>
      </c>
      <c r="L227" s="57">
        <f t="shared" si="42"/>
        <v>1.6</v>
      </c>
      <c r="M227" s="57">
        <f t="shared" si="43"/>
        <v>124.53687080000003</v>
      </c>
      <c r="N227" s="126">
        <f t="shared" si="44"/>
        <v>0.25513576743423755</v>
      </c>
      <c r="O227" s="57">
        <f t="shared" si="45"/>
        <v>124.53687080000003</v>
      </c>
      <c r="P227" s="127">
        <f t="shared" si="46"/>
        <v>4.742572992286874</v>
      </c>
      <c r="Q227" s="128" t="str">
        <f t="shared" si="47"/>
        <v>NEUTRAL</v>
      </c>
    </row>
    <row r="228" spans="1:17" x14ac:dyDescent="0.2">
      <c r="A228" s="61" t="s">
        <v>467</v>
      </c>
      <c r="B228" s="61" t="s">
        <v>696</v>
      </c>
      <c r="C228" s="61" t="s">
        <v>697</v>
      </c>
      <c r="D228" s="63">
        <v>178.35</v>
      </c>
      <c r="E228" s="63">
        <v>274.39</v>
      </c>
      <c r="F228" s="63">
        <f t="shared" si="36"/>
        <v>332.01189999999997</v>
      </c>
      <c r="G228" s="63">
        <f t="shared" si="37"/>
        <v>96.039999999999992</v>
      </c>
      <c r="H228" s="129">
        <f t="shared" si="38"/>
        <v>0.35001275556689382</v>
      </c>
      <c r="I228" s="63">
        <f t="shared" si="39"/>
        <v>7.2722498999999994</v>
      </c>
      <c r="J228" s="63">
        <f t="shared" si="40"/>
        <v>30</v>
      </c>
      <c r="K228" s="63">
        <f t="shared" si="41"/>
        <v>2</v>
      </c>
      <c r="L228" s="63">
        <f t="shared" si="42"/>
        <v>1.6</v>
      </c>
      <c r="M228" s="63">
        <f t="shared" si="43"/>
        <v>55.167750099999985</v>
      </c>
      <c r="N228" s="129">
        <f t="shared" si="44"/>
        <v>0.20105597908087025</v>
      </c>
      <c r="O228" s="63">
        <f t="shared" si="45"/>
        <v>55.167750099999985</v>
      </c>
      <c r="P228" s="130">
        <f t="shared" si="46"/>
        <v>6.0182244046236724</v>
      </c>
      <c r="Q228" s="131" t="str">
        <f t="shared" si="47"/>
        <v>NEUTRAL</v>
      </c>
    </row>
    <row r="229" spans="1:17" x14ac:dyDescent="0.2">
      <c r="A229" s="55" t="s">
        <v>467</v>
      </c>
      <c r="B229" s="55" t="s">
        <v>699</v>
      </c>
      <c r="C229" s="55" t="s">
        <v>697</v>
      </c>
      <c r="D229" s="57">
        <v>177.5</v>
      </c>
      <c r="E229" s="57">
        <v>273.08</v>
      </c>
      <c r="F229" s="57">
        <f t="shared" si="36"/>
        <v>330.42679999999996</v>
      </c>
      <c r="G229" s="57">
        <f t="shared" si="37"/>
        <v>95.579999999999984</v>
      </c>
      <c r="H229" s="126">
        <f t="shared" si="38"/>
        <v>0.35000732386113953</v>
      </c>
      <c r="I229" s="57">
        <f t="shared" si="39"/>
        <v>7.2389627999999995</v>
      </c>
      <c r="J229" s="57">
        <f t="shared" si="40"/>
        <v>30</v>
      </c>
      <c r="K229" s="57">
        <f t="shared" si="41"/>
        <v>2</v>
      </c>
      <c r="L229" s="57">
        <f t="shared" si="42"/>
        <v>1.6</v>
      </c>
      <c r="M229" s="57">
        <f t="shared" si="43"/>
        <v>54.741037199999987</v>
      </c>
      <c r="N229" s="126">
        <f t="shared" si="44"/>
        <v>0.20045787754504171</v>
      </c>
      <c r="O229" s="57">
        <f t="shared" si="45"/>
        <v>54.741037199999987</v>
      </c>
      <c r="P229" s="127">
        <f t="shared" si="46"/>
        <v>6.0361808416739322</v>
      </c>
      <c r="Q229" s="128" t="str">
        <f t="shared" si="47"/>
        <v>NEUTRAL</v>
      </c>
    </row>
    <row r="230" spans="1:17" x14ac:dyDescent="0.2">
      <c r="A230" s="61" t="s">
        <v>467</v>
      </c>
      <c r="B230" s="61" t="s">
        <v>701</v>
      </c>
      <c r="C230" s="61" t="s">
        <v>702</v>
      </c>
      <c r="D230" s="63">
        <v>186.98</v>
      </c>
      <c r="E230" s="63">
        <v>287.66000000000003</v>
      </c>
      <c r="F230" s="63">
        <f t="shared" si="36"/>
        <v>348.0686</v>
      </c>
      <c r="G230" s="63">
        <f t="shared" si="37"/>
        <v>100.68000000000004</v>
      </c>
      <c r="H230" s="129">
        <f t="shared" si="38"/>
        <v>0.34999652367378165</v>
      </c>
      <c r="I230" s="63">
        <f t="shared" si="39"/>
        <v>7.6094406000000001</v>
      </c>
      <c r="J230" s="63">
        <f t="shared" si="40"/>
        <v>30</v>
      </c>
      <c r="K230" s="63">
        <f t="shared" si="41"/>
        <v>2</v>
      </c>
      <c r="L230" s="63">
        <f t="shared" si="42"/>
        <v>1.6</v>
      </c>
      <c r="M230" s="63">
        <f t="shared" si="43"/>
        <v>59.470559400000035</v>
      </c>
      <c r="N230" s="129">
        <f t="shared" si="44"/>
        <v>0.20673906486824734</v>
      </c>
      <c r="O230" s="63">
        <f t="shared" si="45"/>
        <v>59.470559400000035</v>
      </c>
      <c r="P230" s="130">
        <f t="shared" si="46"/>
        <v>5.8527883966734606</v>
      </c>
      <c r="Q230" s="131" t="str">
        <f t="shared" si="47"/>
        <v>NEUTRAL</v>
      </c>
    </row>
    <row r="231" spans="1:17" x14ac:dyDescent="0.2">
      <c r="A231" s="55" t="s">
        <v>467</v>
      </c>
      <c r="B231" s="55" t="s">
        <v>704</v>
      </c>
      <c r="C231" s="55" t="s">
        <v>702</v>
      </c>
      <c r="D231" s="57">
        <v>206.53</v>
      </c>
      <c r="E231" s="57">
        <v>317.75</v>
      </c>
      <c r="F231" s="57">
        <f t="shared" si="36"/>
        <v>384.47749999999996</v>
      </c>
      <c r="G231" s="57">
        <f t="shared" si="37"/>
        <v>111.22</v>
      </c>
      <c r="H231" s="126">
        <f t="shared" si="38"/>
        <v>0.35002360346184108</v>
      </c>
      <c r="I231" s="57">
        <f t="shared" si="39"/>
        <v>8.3740275000000004</v>
      </c>
      <c r="J231" s="57">
        <f t="shared" si="40"/>
        <v>30</v>
      </c>
      <c r="K231" s="57">
        <f t="shared" si="41"/>
        <v>2</v>
      </c>
      <c r="L231" s="57">
        <f t="shared" si="42"/>
        <v>1.6</v>
      </c>
      <c r="M231" s="57">
        <f t="shared" si="43"/>
        <v>69.245972500000008</v>
      </c>
      <c r="N231" s="126">
        <f t="shared" si="44"/>
        <v>0.21792595594020459</v>
      </c>
      <c r="O231" s="57">
        <f t="shared" si="45"/>
        <v>69.245972500000008</v>
      </c>
      <c r="P231" s="127">
        <f t="shared" si="46"/>
        <v>5.5523445785962489</v>
      </c>
      <c r="Q231" s="128" t="str">
        <f t="shared" si="47"/>
        <v>NEUTRAL</v>
      </c>
    </row>
    <row r="232" spans="1:17" x14ac:dyDescent="0.2">
      <c r="A232" s="61" t="s">
        <v>467</v>
      </c>
      <c r="B232" s="61" t="s">
        <v>706</v>
      </c>
      <c r="C232" s="61" t="s">
        <v>697</v>
      </c>
      <c r="D232" s="63">
        <v>226.39</v>
      </c>
      <c r="E232" s="63">
        <v>348.29</v>
      </c>
      <c r="F232" s="63">
        <f t="shared" si="36"/>
        <v>421.43090000000001</v>
      </c>
      <c r="G232" s="63">
        <f t="shared" si="37"/>
        <v>121.90000000000003</v>
      </c>
      <c r="H232" s="129">
        <f t="shared" si="38"/>
        <v>0.34999569324413571</v>
      </c>
      <c r="I232" s="63">
        <f t="shared" si="39"/>
        <v>9.1500489000000016</v>
      </c>
      <c r="J232" s="63">
        <f t="shared" si="40"/>
        <v>30</v>
      </c>
      <c r="K232" s="63">
        <f t="shared" si="41"/>
        <v>2</v>
      </c>
      <c r="L232" s="63">
        <f t="shared" si="42"/>
        <v>1.6</v>
      </c>
      <c r="M232" s="63">
        <f t="shared" si="43"/>
        <v>79.149951100000038</v>
      </c>
      <c r="N232" s="129">
        <f t="shared" si="44"/>
        <v>0.22725301070946635</v>
      </c>
      <c r="O232" s="63">
        <f t="shared" si="45"/>
        <v>79.149951100000038</v>
      </c>
      <c r="P232" s="130">
        <f t="shared" si="46"/>
        <v>5.3244619123965551</v>
      </c>
      <c r="Q232" s="131" t="str">
        <f t="shared" si="47"/>
        <v>NEUTRAL</v>
      </c>
    </row>
    <row r="233" spans="1:17" x14ac:dyDescent="0.2">
      <c r="A233" s="55" t="s">
        <v>467</v>
      </c>
      <c r="B233" s="55" t="s">
        <v>708</v>
      </c>
      <c r="C233" s="55" t="s">
        <v>680</v>
      </c>
      <c r="D233" s="57">
        <v>258.36</v>
      </c>
      <c r="E233" s="57">
        <v>397.47</v>
      </c>
      <c r="F233" s="57">
        <f t="shared" si="36"/>
        <v>480.93870000000004</v>
      </c>
      <c r="G233" s="57">
        <f t="shared" si="37"/>
        <v>139.11000000000001</v>
      </c>
      <c r="H233" s="126">
        <f t="shared" si="38"/>
        <v>0.34998867839082198</v>
      </c>
      <c r="I233" s="57">
        <f t="shared" si="39"/>
        <v>10.399712700000002</v>
      </c>
      <c r="J233" s="57">
        <f t="shared" si="40"/>
        <v>30</v>
      </c>
      <c r="K233" s="57">
        <f t="shared" si="41"/>
        <v>2</v>
      </c>
      <c r="L233" s="57">
        <f t="shared" si="42"/>
        <v>1.6</v>
      </c>
      <c r="M233" s="57">
        <f t="shared" si="43"/>
        <v>95.11028730000001</v>
      </c>
      <c r="N233" s="126">
        <f t="shared" si="44"/>
        <v>0.23928922258283644</v>
      </c>
      <c r="O233" s="57">
        <f t="shared" si="45"/>
        <v>95.11028730000001</v>
      </c>
      <c r="P233" s="127">
        <f t="shared" si="46"/>
        <v>5.0566422797463257</v>
      </c>
      <c r="Q233" s="128" t="str">
        <f t="shared" si="47"/>
        <v>NEUTRAL</v>
      </c>
    </row>
    <row r="234" spans="1:17" x14ac:dyDescent="0.2">
      <c r="A234" s="61" t="s">
        <v>467</v>
      </c>
      <c r="B234" s="61" t="s">
        <v>710</v>
      </c>
      <c r="C234" s="61" t="s">
        <v>628</v>
      </c>
      <c r="D234" s="63">
        <v>226.79</v>
      </c>
      <c r="E234" s="63">
        <v>348.9</v>
      </c>
      <c r="F234" s="63">
        <f t="shared" si="36"/>
        <v>422.16899999999998</v>
      </c>
      <c r="G234" s="63">
        <f t="shared" si="37"/>
        <v>122.10999999999999</v>
      </c>
      <c r="H234" s="129">
        <f t="shared" si="38"/>
        <v>0.34998566924620234</v>
      </c>
      <c r="I234" s="63">
        <f t="shared" si="39"/>
        <v>9.1655490000000004</v>
      </c>
      <c r="J234" s="63">
        <f t="shared" si="40"/>
        <v>30</v>
      </c>
      <c r="K234" s="63">
        <f t="shared" si="41"/>
        <v>2</v>
      </c>
      <c r="L234" s="63">
        <f t="shared" si="42"/>
        <v>1.6</v>
      </c>
      <c r="M234" s="63">
        <f t="shared" si="43"/>
        <v>79.344450999999992</v>
      </c>
      <c r="N234" s="129">
        <f t="shared" si="44"/>
        <v>0.22741315849813701</v>
      </c>
      <c r="O234" s="63">
        <f t="shared" si="45"/>
        <v>79.344450999999992</v>
      </c>
      <c r="P234" s="130">
        <f t="shared" si="46"/>
        <v>5.3207123457190475</v>
      </c>
      <c r="Q234" s="131" t="str">
        <f t="shared" si="47"/>
        <v>NEUTRAL</v>
      </c>
    </row>
    <row r="235" spans="1:17" x14ac:dyDescent="0.2">
      <c r="A235" s="55" t="s">
        <v>467</v>
      </c>
      <c r="B235" s="55" t="s">
        <v>712</v>
      </c>
      <c r="C235" s="55" t="s">
        <v>628</v>
      </c>
      <c r="D235" s="57">
        <v>258.75</v>
      </c>
      <c r="E235" s="57">
        <v>398.08</v>
      </c>
      <c r="F235" s="57">
        <f t="shared" si="36"/>
        <v>481.67679999999996</v>
      </c>
      <c r="G235" s="57">
        <f t="shared" si="37"/>
        <v>139.32999999999998</v>
      </c>
      <c r="H235" s="126">
        <f t="shared" si="38"/>
        <v>0.35000502411575563</v>
      </c>
      <c r="I235" s="57">
        <f t="shared" si="39"/>
        <v>10.415212800000001</v>
      </c>
      <c r="J235" s="57">
        <f t="shared" si="40"/>
        <v>30</v>
      </c>
      <c r="K235" s="57">
        <f t="shared" si="41"/>
        <v>2</v>
      </c>
      <c r="L235" s="57">
        <f t="shared" si="42"/>
        <v>1.6</v>
      </c>
      <c r="M235" s="57">
        <f t="shared" si="43"/>
        <v>95.314787199999984</v>
      </c>
      <c r="N235" s="126">
        <f t="shared" si="44"/>
        <v>0.23943626205787777</v>
      </c>
      <c r="O235" s="57">
        <f t="shared" si="45"/>
        <v>95.314787199999984</v>
      </c>
      <c r="P235" s="127">
        <f t="shared" si="46"/>
        <v>5.0535369605273592</v>
      </c>
      <c r="Q235" s="128" t="str">
        <f t="shared" si="47"/>
        <v>NEUTRAL</v>
      </c>
    </row>
    <row r="236" spans="1:17" x14ac:dyDescent="0.2">
      <c r="A236" s="61" t="s">
        <v>467</v>
      </c>
      <c r="B236" s="61" t="s">
        <v>714</v>
      </c>
      <c r="C236" s="61" t="s">
        <v>715</v>
      </c>
      <c r="D236" s="63">
        <v>205.19</v>
      </c>
      <c r="E236" s="63">
        <v>315.68</v>
      </c>
      <c r="F236" s="63">
        <f t="shared" si="36"/>
        <v>381.97280000000001</v>
      </c>
      <c r="G236" s="63">
        <f t="shared" si="37"/>
        <v>110.49000000000001</v>
      </c>
      <c r="H236" s="129">
        <f t="shared" si="38"/>
        <v>0.35000633552965033</v>
      </c>
      <c r="I236" s="63">
        <f t="shared" si="39"/>
        <v>8.3214288000000014</v>
      </c>
      <c r="J236" s="63">
        <f t="shared" si="40"/>
        <v>30</v>
      </c>
      <c r="K236" s="63">
        <f t="shared" si="41"/>
        <v>2</v>
      </c>
      <c r="L236" s="63">
        <f t="shared" si="42"/>
        <v>1.6</v>
      </c>
      <c r="M236" s="63">
        <f t="shared" si="43"/>
        <v>68.568571200000008</v>
      </c>
      <c r="N236" s="129">
        <f t="shared" si="44"/>
        <v>0.21720910795742526</v>
      </c>
      <c r="O236" s="63">
        <f t="shared" si="45"/>
        <v>68.568571200000008</v>
      </c>
      <c r="P236" s="130">
        <f t="shared" si="46"/>
        <v>5.5706687964354131</v>
      </c>
      <c r="Q236" s="131" t="str">
        <f t="shared" si="47"/>
        <v>NEUTRAL</v>
      </c>
    </row>
    <row r="237" spans="1:17" x14ac:dyDescent="0.2">
      <c r="A237" s="55" t="s">
        <v>467</v>
      </c>
      <c r="B237" s="55" t="s">
        <v>717</v>
      </c>
      <c r="C237" s="55" t="s">
        <v>715</v>
      </c>
      <c r="D237" s="57">
        <v>211.05</v>
      </c>
      <c r="E237" s="57">
        <v>324.68</v>
      </c>
      <c r="F237" s="57">
        <f t="shared" si="36"/>
        <v>392.86279999999999</v>
      </c>
      <c r="G237" s="57">
        <f t="shared" si="37"/>
        <v>113.63</v>
      </c>
      <c r="H237" s="126">
        <f t="shared" si="38"/>
        <v>0.34997536035481086</v>
      </c>
      <c r="I237" s="57">
        <f t="shared" si="39"/>
        <v>8.5501188000000017</v>
      </c>
      <c r="J237" s="57">
        <f t="shared" si="40"/>
        <v>30</v>
      </c>
      <c r="K237" s="57">
        <f t="shared" si="41"/>
        <v>2</v>
      </c>
      <c r="L237" s="57">
        <f t="shared" si="42"/>
        <v>1.6</v>
      </c>
      <c r="M237" s="57">
        <f t="shared" si="43"/>
        <v>71.479881199999994</v>
      </c>
      <c r="N237" s="126">
        <f t="shared" si="44"/>
        <v>0.22015486386596031</v>
      </c>
      <c r="O237" s="57">
        <f t="shared" si="45"/>
        <v>71.479881199999994</v>
      </c>
      <c r="P237" s="127">
        <f t="shared" si="46"/>
        <v>5.4961311267540278</v>
      </c>
      <c r="Q237" s="128" t="str">
        <f t="shared" si="47"/>
        <v>NEUTRAL</v>
      </c>
    </row>
    <row r="238" spans="1:17" x14ac:dyDescent="0.2">
      <c r="A238" s="61" t="s">
        <v>467</v>
      </c>
      <c r="B238" s="61" t="s">
        <v>719</v>
      </c>
      <c r="C238" s="61" t="s">
        <v>685</v>
      </c>
      <c r="D238" s="63">
        <v>361.89</v>
      </c>
      <c r="E238" s="63">
        <v>556.76</v>
      </c>
      <c r="F238" s="63">
        <f t="shared" si="36"/>
        <v>673.67959999999994</v>
      </c>
      <c r="G238" s="63">
        <f t="shared" si="37"/>
        <v>194.87</v>
      </c>
      <c r="H238" s="129">
        <f t="shared" si="38"/>
        <v>0.35000718442416839</v>
      </c>
      <c r="I238" s="63">
        <f t="shared" si="39"/>
        <v>14.447271600000001</v>
      </c>
      <c r="J238" s="63">
        <f t="shared" si="40"/>
        <v>30</v>
      </c>
      <c r="K238" s="63">
        <f t="shared" si="41"/>
        <v>2</v>
      </c>
      <c r="L238" s="63">
        <f t="shared" si="42"/>
        <v>1.6</v>
      </c>
      <c r="M238" s="63">
        <f t="shared" si="43"/>
        <v>146.82272840000002</v>
      </c>
      <c r="N238" s="129">
        <f t="shared" si="44"/>
        <v>0.26370918959695383</v>
      </c>
      <c r="O238" s="63">
        <f t="shared" si="45"/>
        <v>146.82272840000002</v>
      </c>
      <c r="P238" s="130">
        <f t="shared" si="46"/>
        <v>4.5883876927054832</v>
      </c>
      <c r="Q238" s="131" t="str">
        <f t="shared" si="47"/>
        <v>NEUTRAL</v>
      </c>
    </row>
    <row r="239" spans="1:17" x14ac:dyDescent="0.2">
      <c r="A239" s="55" t="s">
        <v>467</v>
      </c>
      <c r="B239" s="55" t="s">
        <v>721</v>
      </c>
      <c r="C239" s="55" t="s">
        <v>722</v>
      </c>
      <c r="D239" s="57">
        <v>368.6</v>
      </c>
      <c r="E239" s="57">
        <v>567.07000000000005</v>
      </c>
      <c r="F239" s="57">
        <f t="shared" si="36"/>
        <v>686.15470000000005</v>
      </c>
      <c r="G239" s="57">
        <f t="shared" si="37"/>
        <v>198.47000000000003</v>
      </c>
      <c r="H239" s="126">
        <f t="shared" si="38"/>
        <v>0.34999206447175835</v>
      </c>
      <c r="I239" s="57">
        <f t="shared" si="39"/>
        <v>14.709248700000003</v>
      </c>
      <c r="J239" s="57">
        <f t="shared" si="40"/>
        <v>30</v>
      </c>
      <c r="K239" s="57">
        <f t="shared" si="41"/>
        <v>2</v>
      </c>
      <c r="L239" s="57">
        <f t="shared" si="42"/>
        <v>1.6</v>
      </c>
      <c r="M239" s="57">
        <f t="shared" si="43"/>
        <v>150.16075130000004</v>
      </c>
      <c r="N239" s="126">
        <f t="shared" si="44"/>
        <v>0.26480108505122829</v>
      </c>
      <c r="O239" s="57">
        <f t="shared" si="45"/>
        <v>150.16075130000004</v>
      </c>
      <c r="P239" s="127">
        <f t="shared" si="46"/>
        <v>4.5694676808666168</v>
      </c>
      <c r="Q239" s="128" t="str">
        <f t="shared" si="47"/>
        <v>NEUTRAL</v>
      </c>
    </row>
    <row r="240" spans="1:17" x14ac:dyDescent="0.2">
      <c r="A240" s="61" t="s">
        <v>467</v>
      </c>
      <c r="B240" s="61" t="s">
        <v>724</v>
      </c>
      <c r="C240" s="61" t="s">
        <v>722</v>
      </c>
      <c r="D240" s="63">
        <v>186.62</v>
      </c>
      <c r="E240" s="63">
        <v>287.10000000000002</v>
      </c>
      <c r="F240" s="63">
        <f t="shared" si="36"/>
        <v>347.39100000000002</v>
      </c>
      <c r="G240" s="63">
        <f t="shared" si="37"/>
        <v>100.48000000000002</v>
      </c>
      <c r="H240" s="129">
        <f t="shared" si="38"/>
        <v>0.34998258446534314</v>
      </c>
      <c r="I240" s="63">
        <f t="shared" si="39"/>
        <v>7.5952110000000008</v>
      </c>
      <c r="J240" s="63">
        <f t="shared" si="40"/>
        <v>30</v>
      </c>
      <c r="K240" s="63">
        <f t="shared" si="41"/>
        <v>2</v>
      </c>
      <c r="L240" s="63">
        <f t="shared" si="42"/>
        <v>1.6</v>
      </c>
      <c r="M240" s="63">
        <f t="shared" si="43"/>
        <v>59.284789000000011</v>
      </c>
      <c r="N240" s="129">
        <f t="shared" si="44"/>
        <v>0.20649525949146641</v>
      </c>
      <c r="O240" s="63">
        <f t="shared" si="45"/>
        <v>59.284789000000011</v>
      </c>
      <c r="P240" s="130">
        <f t="shared" si="46"/>
        <v>5.8596986825743773</v>
      </c>
      <c r="Q240" s="131" t="str">
        <f t="shared" si="47"/>
        <v>NEUTRAL</v>
      </c>
    </row>
    <row r="241" spans="1:17" x14ac:dyDescent="0.2">
      <c r="A241" s="55" t="s">
        <v>467</v>
      </c>
      <c r="B241" s="55" t="s">
        <v>726</v>
      </c>
      <c r="C241" s="55" t="s">
        <v>722</v>
      </c>
      <c r="D241" s="57">
        <v>270.76</v>
      </c>
      <c r="E241" s="57">
        <v>416.55</v>
      </c>
      <c r="F241" s="57">
        <f t="shared" si="36"/>
        <v>504.02550000000002</v>
      </c>
      <c r="G241" s="57">
        <f t="shared" si="37"/>
        <v>145.79000000000002</v>
      </c>
      <c r="H241" s="126">
        <f t="shared" si="38"/>
        <v>0.34999399831952949</v>
      </c>
      <c r="I241" s="57">
        <f t="shared" si="39"/>
        <v>10.884535500000002</v>
      </c>
      <c r="J241" s="57">
        <f t="shared" si="40"/>
        <v>30</v>
      </c>
      <c r="K241" s="57">
        <f t="shared" si="41"/>
        <v>2</v>
      </c>
      <c r="L241" s="57">
        <f t="shared" si="42"/>
        <v>1.6</v>
      </c>
      <c r="M241" s="57">
        <f t="shared" si="43"/>
        <v>101.30546450000003</v>
      </c>
      <c r="N241" s="126">
        <f t="shared" si="44"/>
        <v>0.24320121113911902</v>
      </c>
      <c r="O241" s="57">
        <f t="shared" si="45"/>
        <v>101.30546450000003</v>
      </c>
      <c r="P241" s="127">
        <f t="shared" si="46"/>
        <v>4.9753041702898457</v>
      </c>
      <c r="Q241" s="128" t="str">
        <f t="shared" si="47"/>
        <v>NEUTRAL</v>
      </c>
    </row>
    <row r="242" spans="1:17" x14ac:dyDescent="0.2">
      <c r="A242" s="61" t="s">
        <v>467</v>
      </c>
      <c r="B242" s="61" t="s">
        <v>728</v>
      </c>
      <c r="C242" s="61" t="s">
        <v>729</v>
      </c>
      <c r="D242" s="63">
        <v>120.39</v>
      </c>
      <c r="E242" s="63">
        <v>185.21</v>
      </c>
      <c r="F242" s="63">
        <f t="shared" si="36"/>
        <v>224.10410000000002</v>
      </c>
      <c r="G242" s="63">
        <f t="shared" si="37"/>
        <v>64.820000000000007</v>
      </c>
      <c r="H242" s="129">
        <f t="shared" si="38"/>
        <v>0.34998110253226072</v>
      </c>
      <c r="I242" s="63">
        <f t="shared" si="39"/>
        <v>5.0061861000000007</v>
      </c>
      <c r="J242" s="63">
        <f t="shared" si="40"/>
        <v>30</v>
      </c>
      <c r="K242" s="63">
        <f t="shared" si="41"/>
        <v>2</v>
      </c>
      <c r="L242" s="63">
        <f t="shared" si="42"/>
        <v>1.6</v>
      </c>
      <c r="M242" s="63">
        <f t="shared" si="43"/>
        <v>26.213813900000005</v>
      </c>
      <c r="N242" s="129">
        <f t="shared" si="44"/>
        <v>0.14153562928567573</v>
      </c>
      <c r="O242" s="63">
        <f t="shared" si="45"/>
        <v>26.213813900000005</v>
      </c>
      <c r="P242" s="130">
        <f t="shared" si="46"/>
        <v>8.5490841147689682</v>
      </c>
      <c r="Q242" s="131" t="str">
        <f t="shared" si="47"/>
        <v>WATCH</v>
      </c>
    </row>
    <row r="243" spans="1:17" x14ac:dyDescent="0.2">
      <c r="A243" s="55" t="s">
        <v>467</v>
      </c>
      <c r="B243" s="55" t="s">
        <v>731</v>
      </c>
      <c r="C243" s="55" t="s">
        <v>732</v>
      </c>
      <c r="D243" s="57">
        <v>279.44</v>
      </c>
      <c r="E243" s="57">
        <v>429.91</v>
      </c>
      <c r="F243" s="57">
        <f t="shared" si="36"/>
        <v>520.19110000000001</v>
      </c>
      <c r="G243" s="57">
        <f t="shared" si="37"/>
        <v>150.47000000000003</v>
      </c>
      <c r="H243" s="126">
        <f t="shared" si="38"/>
        <v>0.35000348910237028</v>
      </c>
      <c r="I243" s="57">
        <f t="shared" si="39"/>
        <v>11.224013100000002</v>
      </c>
      <c r="J243" s="57">
        <f t="shared" si="40"/>
        <v>30</v>
      </c>
      <c r="K243" s="57">
        <f t="shared" si="41"/>
        <v>2</v>
      </c>
      <c r="L243" s="57">
        <f t="shared" si="42"/>
        <v>1.6</v>
      </c>
      <c r="M243" s="57">
        <f t="shared" si="43"/>
        <v>105.64598690000003</v>
      </c>
      <c r="N243" s="126">
        <f t="shared" si="44"/>
        <v>0.24573977553441423</v>
      </c>
      <c r="O243" s="57">
        <f t="shared" si="45"/>
        <v>105.64598690000003</v>
      </c>
      <c r="P243" s="127">
        <f t="shared" si="46"/>
        <v>4.9239078100750824</v>
      </c>
      <c r="Q243" s="128" t="str">
        <f t="shared" si="47"/>
        <v>NEUTRAL</v>
      </c>
    </row>
    <row r="244" spans="1:17" x14ac:dyDescent="0.2">
      <c r="A244" s="61" t="s">
        <v>467</v>
      </c>
      <c r="B244" s="61" t="s">
        <v>733</v>
      </c>
      <c r="C244" s="61" t="s">
        <v>732</v>
      </c>
      <c r="D244" s="63">
        <v>356.97</v>
      </c>
      <c r="E244" s="63">
        <v>549.19000000000005</v>
      </c>
      <c r="F244" s="63">
        <f t="shared" si="36"/>
        <v>664.51990000000001</v>
      </c>
      <c r="G244" s="63">
        <f t="shared" si="37"/>
        <v>192.22000000000003</v>
      </c>
      <c r="H244" s="129">
        <f t="shared" si="38"/>
        <v>0.35000637302208709</v>
      </c>
      <c r="I244" s="63">
        <f t="shared" si="39"/>
        <v>14.254917900000002</v>
      </c>
      <c r="J244" s="63">
        <f t="shared" si="40"/>
        <v>30</v>
      </c>
      <c r="K244" s="63">
        <f t="shared" si="41"/>
        <v>2</v>
      </c>
      <c r="L244" s="63">
        <f t="shared" si="42"/>
        <v>1.6</v>
      </c>
      <c r="M244" s="63">
        <f t="shared" si="43"/>
        <v>144.36508210000002</v>
      </c>
      <c r="N244" s="129">
        <f t="shared" si="44"/>
        <v>0.26286910195014479</v>
      </c>
      <c r="O244" s="63">
        <f t="shared" si="45"/>
        <v>144.36508210000002</v>
      </c>
      <c r="P244" s="130">
        <f t="shared" si="46"/>
        <v>4.6030514466073917</v>
      </c>
      <c r="Q244" s="131" t="str">
        <f t="shared" si="47"/>
        <v>NEUTRAL</v>
      </c>
    </row>
    <row r="245" spans="1:17" x14ac:dyDescent="0.2">
      <c r="A245" s="55" t="s">
        <v>467</v>
      </c>
      <c r="B245" s="55" t="s">
        <v>734</v>
      </c>
      <c r="C245" s="55" t="s">
        <v>732</v>
      </c>
      <c r="D245" s="57">
        <v>534.41</v>
      </c>
      <c r="E245" s="57">
        <v>822.16</v>
      </c>
      <c r="F245" s="57">
        <f t="shared" si="36"/>
        <v>994.81359999999995</v>
      </c>
      <c r="G245" s="57">
        <f t="shared" si="37"/>
        <v>287.75</v>
      </c>
      <c r="H245" s="126">
        <f t="shared" si="38"/>
        <v>0.34999270215043304</v>
      </c>
      <c r="I245" s="57">
        <f t="shared" si="39"/>
        <v>21.191085600000001</v>
      </c>
      <c r="J245" s="57">
        <f t="shared" si="40"/>
        <v>30</v>
      </c>
      <c r="K245" s="57">
        <f t="shared" si="41"/>
        <v>2</v>
      </c>
      <c r="L245" s="57">
        <f t="shared" si="42"/>
        <v>1.6</v>
      </c>
      <c r="M245" s="57">
        <f t="shared" si="43"/>
        <v>232.9589144</v>
      </c>
      <c r="N245" s="126">
        <f t="shared" si="44"/>
        <v>0.28334985209691543</v>
      </c>
      <c r="O245" s="57">
        <f t="shared" si="45"/>
        <v>232.9589144</v>
      </c>
      <c r="P245" s="127">
        <f t="shared" si="46"/>
        <v>4.2703392680301739</v>
      </c>
      <c r="Q245" s="128" t="str">
        <f t="shared" si="47"/>
        <v>NEUTRAL</v>
      </c>
    </row>
    <row r="246" spans="1:17" x14ac:dyDescent="0.2">
      <c r="A246" s="61" t="s">
        <v>467</v>
      </c>
      <c r="B246" s="61" t="s">
        <v>736</v>
      </c>
      <c r="C246" s="61" t="s">
        <v>597</v>
      </c>
      <c r="D246" s="63">
        <v>122.04</v>
      </c>
      <c r="E246" s="63">
        <v>187.75</v>
      </c>
      <c r="F246" s="63">
        <f t="shared" si="36"/>
        <v>227.17749999999998</v>
      </c>
      <c r="G246" s="63">
        <f t="shared" si="37"/>
        <v>65.709999999999994</v>
      </c>
      <c r="H246" s="129">
        <f t="shared" si="38"/>
        <v>0.34998668442077224</v>
      </c>
      <c r="I246" s="63">
        <f t="shared" si="39"/>
        <v>5.0707274999999994</v>
      </c>
      <c r="J246" s="63">
        <f t="shared" si="40"/>
        <v>30</v>
      </c>
      <c r="K246" s="63">
        <f t="shared" si="41"/>
        <v>2</v>
      </c>
      <c r="L246" s="63">
        <f t="shared" si="42"/>
        <v>1.6</v>
      </c>
      <c r="M246" s="63">
        <f t="shared" si="43"/>
        <v>27.039272499999996</v>
      </c>
      <c r="N246" s="129">
        <f t="shared" si="44"/>
        <v>0.14401743009320903</v>
      </c>
      <c r="O246" s="63">
        <f t="shared" si="45"/>
        <v>27.039272499999996</v>
      </c>
      <c r="P246" s="130">
        <f t="shared" si="46"/>
        <v>8.401760809208163</v>
      </c>
      <c r="Q246" s="131" t="str">
        <f t="shared" si="47"/>
        <v>WATCH</v>
      </c>
    </row>
    <row r="247" spans="1:17" x14ac:dyDescent="0.2">
      <c r="A247" s="55" t="s">
        <v>467</v>
      </c>
      <c r="B247" s="55" t="s">
        <v>738</v>
      </c>
      <c r="C247" s="55" t="s">
        <v>597</v>
      </c>
      <c r="D247" s="57">
        <v>130.35</v>
      </c>
      <c r="E247" s="57">
        <v>200.54</v>
      </c>
      <c r="F247" s="57">
        <f t="shared" si="36"/>
        <v>242.65339999999998</v>
      </c>
      <c r="G247" s="57">
        <f t="shared" si="37"/>
        <v>70.19</v>
      </c>
      <c r="H247" s="126">
        <f t="shared" si="38"/>
        <v>0.35000498653635187</v>
      </c>
      <c r="I247" s="57">
        <f t="shared" si="39"/>
        <v>5.3957213999999993</v>
      </c>
      <c r="J247" s="57">
        <f t="shared" si="40"/>
        <v>30</v>
      </c>
      <c r="K247" s="57">
        <f t="shared" si="41"/>
        <v>2</v>
      </c>
      <c r="L247" s="57">
        <f t="shared" si="42"/>
        <v>1.6</v>
      </c>
      <c r="M247" s="57">
        <f t="shared" si="43"/>
        <v>31.194278599999997</v>
      </c>
      <c r="N247" s="126">
        <f t="shared" si="44"/>
        <v>0.15555140420863667</v>
      </c>
      <c r="O247" s="57">
        <f t="shared" si="45"/>
        <v>31.194278599999997</v>
      </c>
      <c r="P247" s="127">
        <f t="shared" si="46"/>
        <v>7.7787790226378242</v>
      </c>
      <c r="Q247" s="128" t="str">
        <f t="shared" si="47"/>
        <v>NEUTRAL</v>
      </c>
    </row>
    <row r="248" spans="1:17" x14ac:dyDescent="0.2">
      <c r="A248" s="61" t="s">
        <v>467</v>
      </c>
      <c r="B248" s="61" t="s">
        <v>740</v>
      </c>
      <c r="C248" s="61" t="s">
        <v>597</v>
      </c>
      <c r="D248" s="63">
        <v>123.32</v>
      </c>
      <c r="E248" s="63">
        <v>189.72</v>
      </c>
      <c r="F248" s="63">
        <f t="shared" si="36"/>
        <v>229.56119999999999</v>
      </c>
      <c r="G248" s="63">
        <f t="shared" si="37"/>
        <v>66.400000000000006</v>
      </c>
      <c r="H248" s="129">
        <f t="shared" si="38"/>
        <v>0.34998945814885096</v>
      </c>
      <c r="I248" s="63">
        <f t="shared" si="39"/>
        <v>5.1207851999999994</v>
      </c>
      <c r="J248" s="63">
        <f t="shared" si="40"/>
        <v>30</v>
      </c>
      <c r="K248" s="63">
        <f t="shared" si="41"/>
        <v>2</v>
      </c>
      <c r="L248" s="63">
        <f t="shared" si="42"/>
        <v>1.6</v>
      </c>
      <c r="M248" s="63">
        <f t="shared" si="43"/>
        <v>27.679214800000004</v>
      </c>
      <c r="N248" s="129">
        <f t="shared" si="44"/>
        <v>0.14589508117225386</v>
      </c>
      <c r="O248" s="63">
        <f t="shared" si="45"/>
        <v>27.679214800000004</v>
      </c>
      <c r="P248" s="130">
        <f t="shared" si="46"/>
        <v>8.2936312196254907</v>
      </c>
      <c r="Q248" s="131" t="str">
        <f t="shared" si="47"/>
        <v>WATCH</v>
      </c>
    </row>
    <row r="249" spans="1:17" x14ac:dyDescent="0.2">
      <c r="A249" s="55" t="s">
        <v>467</v>
      </c>
      <c r="B249" s="55" t="s">
        <v>742</v>
      </c>
      <c r="C249" s="55" t="s">
        <v>597</v>
      </c>
      <c r="D249" s="57">
        <v>136.79</v>
      </c>
      <c r="E249" s="57">
        <v>210.45</v>
      </c>
      <c r="F249" s="57">
        <f t="shared" si="36"/>
        <v>254.64449999999997</v>
      </c>
      <c r="G249" s="57">
        <f t="shared" si="37"/>
        <v>73.66</v>
      </c>
      <c r="H249" s="126">
        <f t="shared" si="38"/>
        <v>0.3500118793062485</v>
      </c>
      <c r="I249" s="57">
        <f t="shared" si="39"/>
        <v>5.647534499999999</v>
      </c>
      <c r="J249" s="57">
        <f t="shared" si="40"/>
        <v>30</v>
      </c>
      <c r="K249" s="57">
        <f t="shared" si="41"/>
        <v>2</v>
      </c>
      <c r="L249" s="57">
        <f t="shared" si="42"/>
        <v>1.6</v>
      </c>
      <c r="M249" s="57">
        <f t="shared" si="43"/>
        <v>34.412465499999989</v>
      </c>
      <c r="N249" s="126">
        <f t="shared" si="44"/>
        <v>0.1635184865763839</v>
      </c>
      <c r="O249" s="57">
        <f t="shared" si="45"/>
        <v>34.412465499999989</v>
      </c>
      <c r="P249" s="127">
        <f t="shared" si="46"/>
        <v>7.3997749449251184</v>
      </c>
      <c r="Q249" s="128" t="str">
        <f t="shared" si="47"/>
        <v>NEUTRAL</v>
      </c>
    </row>
    <row r="250" spans="1:17" x14ac:dyDescent="0.2">
      <c r="A250" s="61" t="s">
        <v>467</v>
      </c>
      <c r="B250" s="61" t="s">
        <v>744</v>
      </c>
      <c r="C250" s="61" t="s">
        <v>745</v>
      </c>
      <c r="D250" s="63">
        <v>367.06</v>
      </c>
      <c r="E250" s="63">
        <v>564.71</v>
      </c>
      <c r="F250" s="63">
        <f t="shared" si="36"/>
        <v>683.29910000000007</v>
      </c>
      <c r="G250" s="63">
        <f t="shared" si="37"/>
        <v>197.65000000000003</v>
      </c>
      <c r="H250" s="129">
        <f t="shared" si="38"/>
        <v>0.3500026562306317</v>
      </c>
      <c r="I250" s="63">
        <f t="shared" si="39"/>
        <v>14.649281100000003</v>
      </c>
      <c r="J250" s="63">
        <f t="shared" si="40"/>
        <v>30</v>
      </c>
      <c r="K250" s="63">
        <f t="shared" si="41"/>
        <v>2</v>
      </c>
      <c r="L250" s="63">
        <f t="shared" si="42"/>
        <v>1.6</v>
      </c>
      <c r="M250" s="63">
        <f t="shared" si="43"/>
        <v>149.40071890000004</v>
      </c>
      <c r="N250" s="129">
        <f t="shared" si="44"/>
        <v>0.26456184395530458</v>
      </c>
      <c r="O250" s="63">
        <f t="shared" si="45"/>
        <v>149.40071890000004</v>
      </c>
      <c r="P250" s="130">
        <f t="shared" si="46"/>
        <v>4.5735998128453446</v>
      </c>
      <c r="Q250" s="131" t="str">
        <f t="shared" si="47"/>
        <v>NEUTRAL</v>
      </c>
    </row>
    <row r="251" spans="1:17" x14ac:dyDescent="0.2">
      <c r="A251" s="55" t="s">
        <v>467</v>
      </c>
      <c r="B251" s="55" t="s">
        <v>746</v>
      </c>
      <c r="C251" s="55" t="s">
        <v>745</v>
      </c>
      <c r="D251" s="57">
        <v>611.77</v>
      </c>
      <c r="E251" s="57">
        <v>941.18</v>
      </c>
      <c r="F251" s="57">
        <f t="shared" si="36"/>
        <v>1138.8277999999998</v>
      </c>
      <c r="G251" s="57">
        <f t="shared" si="37"/>
        <v>329.40999999999997</v>
      </c>
      <c r="H251" s="126">
        <f t="shared" si="38"/>
        <v>0.34999681251195308</v>
      </c>
      <c r="I251" s="57">
        <f t="shared" si="39"/>
        <v>24.215383799999998</v>
      </c>
      <c r="J251" s="57">
        <f t="shared" si="40"/>
        <v>30</v>
      </c>
      <c r="K251" s="57">
        <f t="shared" si="41"/>
        <v>2</v>
      </c>
      <c r="L251" s="57">
        <f t="shared" si="42"/>
        <v>1.6</v>
      </c>
      <c r="M251" s="57">
        <f t="shared" si="43"/>
        <v>271.59461619999996</v>
      </c>
      <c r="N251" s="126">
        <f t="shared" si="44"/>
        <v>0.28856819758175906</v>
      </c>
      <c r="O251" s="57">
        <f t="shared" si="45"/>
        <v>271.59461619999996</v>
      </c>
      <c r="P251" s="127">
        <f t="shared" si="46"/>
        <v>4.1931162551520416</v>
      </c>
      <c r="Q251" s="128" t="str">
        <f t="shared" si="47"/>
        <v>NEUTRAL</v>
      </c>
    </row>
    <row r="252" spans="1:17" x14ac:dyDescent="0.2">
      <c r="A252" s="61" t="s">
        <v>467</v>
      </c>
      <c r="B252" s="61" t="s">
        <v>747</v>
      </c>
      <c r="C252" s="61" t="s">
        <v>745</v>
      </c>
      <c r="D252" s="63">
        <v>837.52</v>
      </c>
      <c r="E252" s="63">
        <v>1288.49</v>
      </c>
      <c r="F252" s="63">
        <f t="shared" si="36"/>
        <v>1559.0728999999999</v>
      </c>
      <c r="G252" s="63">
        <f t="shared" si="37"/>
        <v>450.97</v>
      </c>
      <c r="H252" s="129">
        <f t="shared" si="38"/>
        <v>0.34999883584661118</v>
      </c>
      <c r="I252" s="63">
        <f t="shared" si="39"/>
        <v>33.0405309</v>
      </c>
      <c r="J252" s="63">
        <f t="shared" si="40"/>
        <v>30</v>
      </c>
      <c r="K252" s="63">
        <f t="shared" si="41"/>
        <v>2</v>
      </c>
      <c r="L252" s="63">
        <f t="shared" si="42"/>
        <v>1.6</v>
      </c>
      <c r="M252" s="63">
        <f t="shared" si="43"/>
        <v>384.32946909999998</v>
      </c>
      <c r="N252" s="129">
        <f t="shared" si="44"/>
        <v>0.29827896925858949</v>
      </c>
      <c r="O252" s="63">
        <f t="shared" si="45"/>
        <v>384.32946909999998</v>
      </c>
      <c r="P252" s="130">
        <f t="shared" si="46"/>
        <v>4.056605140508597</v>
      </c>
      <c r="Q252" s="131" t="str">
        <f t="shared" si="47"/>
        <v>NEUTRAL</v>
      </c>
    </row>
    <row r="253" spans="1:17" x14ac:dyDescent="0.2">
      <c r="A253" s="55" t="s">
        <v>467</v>
      </c>
      <c r="B253" s="55" t="s">
        <v>749</v>
      </c>
      <c r="C253" s="55" t="s">
        <v>750</v>
      </c>
      <c r="D253" s="57">
        <v>194.7</v>
      </c>
      <c r="E253" s="57">
        <v>299.54000000000002</v>
      </c>
      <c r="F253" s="57">
        <f t="shared" si="36"/>
        <v>362.4434</v>
      </c>
      <c r="G253" s="57">
        <f t="shared" si="37"/>
        <v>104.84000000000003</v>
      </c>
      <c r="H253" s="126">
        <f t="shared" si="38"/>
        <v>0.35000333845229359</v>
      </c>
      <c r="I253" s="57">
        <f t="shared" si="39"/>
        <v>7.9113114000000007</v>
      </c>
      <c r="J253" s="57">
        <f t="shared" si="40"/>
        <v>30</v>
      </c>
      <c r="K253" s="57">
        <f t="shared" si="41"/>
        <v>2</v>
      </c>
      <c r="L253" s="57">
        <f t="shared" si="42"/>
        <v>1.6</v>
      </c>
      <c r="M253" s="57">
        <f t="shared" si="43"/>
        <v>63.328688600000028</v>
      </c>
      <c r="N253" s="126">
        <f t="shared" si="44"/>
        <v>0.21141980570207661</v>
      </c>
      <c r="O253" s="57">
        <f t="shared" si="45"/>
        <v>63.328688600000028</v>
      </c>
      <c r="P253" s="127">
        <f t="shared" si="46"/>
        <v>5.7232102545069887</v>
      </c>
      <c r="Q253" s="128" t="str">
        <f t="shared" si="47"/>
        <v>NEUTRAL</v>
      </c>
    </row>
    <row r="254" spans="1:17" x14ac:dyDescent="0.2">
      <c r="A254" s="61" t="s">
        <v>467</v>
      </c>
      <c r="B254" s="61" t="s">
        <v>751</v>
      </c>
      <c r="C254" s="61" t="s">
        <v>750</v>
      </c>
      <c r="D254" s="63">
        <v>226.66</v>
      </c>
      <c r="E254" s="63">
        <v>348.72</v>
      </c>
      <c r="F254" s="63">
        <f t="shared" si="36"/>
        <v>421.95120000000003</v>
      </c>
      <c r="G254" s="63">
        <f t="shared" si="37"/>
        <v>122.06000000000003</v>
      </c>
      <c r="H254" s="129">
        <f t="shared" si="38"/>
        <v>0.35002294104152337</v>
      </c>
      <c r="I254" s="63">
        <f t="shared" si="39"/>
        <v>9.1609752000000011</v>
      </c>
      <c r="J254" s="63">
        <f t="shared" si="40"/>
        <v>30</v>
      </c>
      <c r="K254" s="63">
        <f t="shared" si="41"/>
        <v>2</v>
      </c>
      <c r="L254" s="63">
        <f t="shared" si="42"/>
        <v>1.6</v>
      </c>
      <c r="M254" s="63">
        <f t="shared" si="43"/>
        <v>79.299024800000041</v>
      </c>
      <c r="N254" s="129">
        <f t="shared" si="44"/>
        <v>0.22740027758660253</v>
      </c>
      <c r="O254" s="63">
        <f t="shared" si="45"/>
        <v>79.299024800000041</v>
      </c>
      <c r="P254" s="130">
        <f t="shared" si="46"/>
        <v>5.3210137333239915</v>
      </c>
      <c r="Q254" s="131" t="str">
        <f t="shared" si="47"/>
        <v>NEUTRAL</v>
      </c>
    </row>
    <row r="255" spans="1:17" x14ac:dyDescent="0.2">
      <c r="A255" s="55" t="s">
        <v>467</v>
      </c>
      <c r="B255" s="55" t="s">
        <v>753</v>
      </c>
      <c r="C255" s="55" t="s">
        <v>754</v>
      </c>
      <c r="D255" s="57">
        <v>221.96</v>
      </c>
      <c r="E255" s="57">
        <v>341.48</v>
      </c>
      <c r="F255" s="57">
        <f t="shared" si="36"/>
        <v>413.19080000000002</v>
      </c>
      <c r="G255" s="57">
        <f t="shared" si="37"/>
        <v>119.52000000000001</v>
      </c>
      <c r="H255" s="126">
        <f t="shared" si="38"/>
        <v>0.35000585685838115</v>
      </c>
      <c r="I255" s="57">
        <f t="shared" si="39"/>
        <v>8.9770068000000016</v>
      </c>
      <c r="J255" s="57">
        <f t="shared" si="40"/>
        <v>30</v>
      </c>
      <c r="K255" s="57">
        <f t="shared" si="41"/>
        <v>2</v>
      </c>
      <c r="L255" s="57">
        <f t="shared" si="42"/>
        <v>1.6</v>
      </c>
      <c r="M255" s="57">
        <f t="shared" si="43"/>
        <v>76.942993200000018</v>
      </c>
      <c r="N255" s="126">
        <f t="shared" si="44"/>
        <v>0.2253221072976456</v>
      </c>
      <c r="O255" s="57">
        <f t="shared" si="45"/>
        <v>76.942993200000018</v>
      </c>
      <c r="P255" s="127">
        <f t="shared" si="46"/>
        <v>5.3700900214004141</v>
      </c>
      <c r="Q255" s="128" t="str">
        <f t="shared" si="47"/>
        <v>NEUTRAL</v>
      </c>
    </row>
    <row r="256" spans="1:17" x14ac:dyDescent="0.2">
      <c r="A256" s="61" t="s">
        <v>467</v>
      </c>
      <c r="B256" s="61" t="s">
        <v>756</v>
      </c>
      <c r="C256" s="61" t="s">
        <v>757</v>
      </c>
      <c r="D256" s="63">
        <v>206.48</v>
      </c>
      <c r="E256" s="63">
        <v>317.66000000000003</v>
      </c>
      <c r="F256" s="63">
        <f t="shared" si="36"/>
        <v>384.36860000000001</v>
      </c>
      <c r="G256" s="63">
        <f t="shared" si="37"/>
        <v>111.18000000000004</v>
      </c>
      <c r="H256" s="129">
        <f t="shared" si="38"/>
        <v>0.34999685198010461</v>
      </c>
      <c r="I256" s="63">
        <f t="shared" si="39"/>
        <v>8.3717406000000008</v>
      </c>
      <c r="J256" s="63">
        <f t="shared" si="40"/>
        <v>30</v>
      </c>
      <c r="K256" s="63">
        <f t="shared" si="41"/>
        <v>2</v>
      </c>
      <c r="L256" s="63">
        <f t="shared" si="42"/>
        <v>1.6</v>
      </c>
      <c r="M256" s="63">
        <f t="shared" si="43"/>
        <v>69.208259400000046</v>
      </c>
      <c r="N256" s="129">
        <f t="shared" si="44"/>
        <v>0.21786897752313808</v>
      </c>
      <c r="O256" s="63">
        <f t="shared" si="45"/>
        <v>69.208259400000046</v>
      </c>
      <c r="P256" s="130">
        <f t="shared" si="46"/>
        <v>5.5537966614429806</v>
      </c>
      <c r="Q256" s="131" t="str">
        <f t="shared" si="47"/>
        <v>NEUTRAL</v>
      </c>
    </row>
    <row r="257" spans="1:17" x14ac:dyDescent="0.2">
      <c r="A257" s="55" t="s">
        <v>467</v>
      </c>
      <c r="B257" s="55" t="s">
        <v>753</v>
      </c>
      <c r="C257" s="55" t="s">
        <v>754</v>
      </c>
      <c r="D257" s="57">
        <v>213.86</v>
      </c>
      <c r="E257" s="57">
        <v>329.01</v>
      </c>
      <c r="F257" s="57">
        <f t="shared" si="36"/>
        <v>398.10209999999995</v>
      </c>
      <c r="G257" s="57">
        <f t="shared" si="37"/>
        <v>115.14999999999998</v>
      </c>
      <c r="H257" s="126">
        <f t="shared" si="38"/>
        <v>0.34998936202547032</v>
      </c>
      <c r="I257" s="57">
        <f t="shared" si="39"/>
        <v>8.6601441000000001</v>
      </c>
      <c r="J257" s="57">
        <f t="shared" si="40"/>
        <v>30</v>
      </c>
      <c r="K257" s="57">
        <f t="shared" si="41"/>
        <v>2</v>
      </c>
      <c r="L257" s="57">
        <f t="shared" si="42"/>
        <v>1.6</v>
      </c>
      <c r="M257" s="57">
        <f t="shared" si="43"/>
        <v>72.889855899999986</v>
      </c>
      <c r="N257" s="126">
        <f t="shared" si="44"/>
        <v>0.22154298015257892</v>
      </c>
      <c r="O257" s="57">
        <f t="shared" si="45"/>
        <v>72.889855899999986</v>
      </c>
      <c r="P257" s="127">
        <f t="shared" si="46"/>
        <v>5.4616941559902301</v>
      </c>
      <c r="Q257" s="128" t="str">
        <f t="shared" si="47"/>
        <v>NEUTRAL</v>
      </c>
    </row>
    <row r="258" spans="1:17" x14ac:dyDescent="0.2">
      <c r="A258" s="61" t="s">
        <v>467</v>
      </c>
      <c r="B258" s="61" t="s">
        <v>756</v>
      </c>
      <c r="C258" s="61" t="s">
        <v>757</v>
      </c>
      <c r="D258" s="63">
        <v>163.38</v>
      </c>
      <c r="E258" s="63">
        <v>251.35</v>
      </c>
      <c r="F258" s="63">
        <f t="shared" si="36"/>
        <v>304.13349999999997</v>
      </c>
      <c r="G258" s="63">
        <f t="shared" si="37"/>
        <v>87.97</v>
      </c>
      <c r="H258" s="129">
        <f t="shared" si="38"/>
        <v>0.34999005370996616</v>
      </c>
      <c r="I258" s="63">
        <f t="shared" si="39"/>
        <v>6.6868034999999999</v>
      </c>
      <c r="J258" s="63">
        <f t="shared" si="40"/>
        <v>30</v>
      </c>
      <c r="K258" s="63">
        <f t="shared" si="41"/>
        <v>2</v>
      </c>
      <c r="L258" s="63">
        <f t="shared" si="42"/>
        <v>1.6</v>
      </c>
      <c r="M258" s="63">
        <f t="shared" si="43"/>
        <v>47.683196500000001</v>
      </c>
      <c r="N258" s="129">
        <f t="shared" si="44"/>
        <v>0.18970836085140244</v>
      </c>
      <c r="O258" s="63">
        <f t="shared" si="45"/>
        <v>47.683196500000001</v>
      </c>
      <c r="P258" s="130">
        <f t="shared" si="46"/>
        <v>6.378211242612478</v>
      </c>
      <c r="Q258" s="131" t="str">
        <f t="shared" si="47"/>
        <v>NEUTRAL</v>
      </c>
    </row>
    <row r="259" spans="1:17" x14ac:dyDescent="0.2">
      <c r="A259" s="55" t="s">
        <v>467</v>
      </c>
      <c r="B259" s="55" t="s">
        <v>759</v>
      </c>
      <c r="C259" s="55" t="s">
        <v>757</v>
      </c>
      <c r="D259" s="57">
        <v>204.95</v>
      </c>
      <c r="E259" s="57">
        <v>315.32</v>
      </c>
      <c r="F259" s="57">
        <f t="shared" si="36"/>
        <v>381.53719999999998</v>
      </c>
      <c r="G259" s="57">
        <f t="shared" si="37"/>
        <v>110.37</v>
      </c>
      <c r="H259" s="126">
        <f t="shared" si="38"/>
        <v>0.35002537105163012</v>
      </c>
      <c r="I259" s="57">
        <f t="shared" si="39"/>
        <v>8.312281200000001</v>
      </c>
      <c r="J259" s="57">
        <f t="shared" si="40"/>
        <v>30</v>
      </c>
      <c r="K259" s="57">
        <f t="shared" si="41"/>
        <v>2</v>
      </c>
      <c r="L259" s="57">
        <f t="shared" si="42"/>
        <v>1.6</v>
      </c>
      <c r="M259" s="57">
        <f t="shared" si="43"/>
        <v>68.457718800000009</v>
      </c>
      <c r="N259" s="126">
        <f t="shared" si="44"/>
        <v>0.21710553976912347</v>
      </c>
      <c r="O259" s="57">
        <f t="shared" si="45"/>
        <v>68.457718800000009</v>
      </c>
      <c r="P259" s="127">
        <f t="shared" si="46"/>
        <v>5.573326232424793</v>
      </c>
      <c r="Q259" s="128" t="str">
        <f t="shared" si="47"/>
        <v>NEUTRAL</v>
      </c>
    </row>
    <row r="260" spans="1:17" x14ac:dyDescent="0.2">
      <c r="A260" s="61" t="s">
        <v>467</v>
      </c>
      <c r="B260" s="61" t="s">
        <v>761</v>
      </c>
      <c r="C260" s="61" t="s">
        <v>754</v>
      </c>
      <c r="D260" s="63">
        <v>222.76</v>
      </c>
      <c r="E260" s="63">
        <v>342.7</v>
      </c>
      <c r="F260" s="63">
        <f t="shared" si="36"/>
        <v>414.66699999999997</v>
      </c>
      <c r="G260" s="63">
        <f t="shared" si="37"/>
        <v>119.94</v>
      </c>
      <c r="H260" s="129">
        <f t="shared" si="38"/>
        <v>0.349985409979574</v>
      </c>
      <c r="I260" s="63">
        <f t="shared" si="39"/>
        <v>9.008007000000001</v>
      </c>
      <c r="J260" s="63">
        <f t="shared" si="40"/>
        <v>30</v>
      </c>
      <c r="K260" s="63">
        <f t="shared" si="41"/>
        <v>2</v>
      </c>
      <c r="L260" s="63">
        <f t="shared" si="42"/>
        <v>1.6</v>
      </c>
      <c r="M260" s="63">
        <f t="shared" si="43"/>
        <v>77.331992999999997</v>
      </c>
      <c r="N260" s="129">
        <f t="shared" si="44"/>
        <v>0.22565507149110009</v>
      </c>
      <c r="O260" s="63">
        <f t="shared" si="45"/>
        <v>77.331992999999997</v>
      </c>
      <c r="P260" s="130">
        <f t="shared" si="46"/>
        <v>5.3621662123721547</v>
      </c>
      <c r="Q260" s="131" t="str">
        <f t="shared" si="47"/>
        <v>NEUTRAL</v>
      </c>
    </row>
    <row r="261" spans="1:17" x14ac:dyDescent="0.2">
      <c r="A261" s="55" t="s">
        <v>467</v>
      </c>
      <c r="B261" s="55" t="s">
        <v>753</v>
      </c>
      <c r="C261" s="55" t="s">
        <v>754</v>
      </c>
      <c r="D261" s="57">
        <v>228.96</v>
      </c>
      <c r="E261" s="57">
        <v>352.25</v>
      </c>
      <c r="F261" s="57">
        <f t="shared" ref="F261:F324" si="48">E261*(1+IVA)</f>
        <v>426.22249999999997</v>
      </c>
      <c r="G261" s="57">
        <f t="shared" ref="G261:G285" si="49">E261-D261</f>
        <v>123.28999999999999</v>
      </c>
      <c r="H261" s="126">
        <f t="shared" ref="H261:H324" si="50">IFERROR(G261/E261,0)</f>
        <v>0.35000709723207946</v>
      </c>
      <c r="I261" s="57">
        <f t="shared" ref="I261:I285" si="51">F261*Comision_pago_pct+Comision_pago_fija</f>
        <v>9.2506725000000003</v>
      </c>
      <c r="J261" s="57">
        <f t="shared" ref="J261:J285" si="52">IF(A261="Hevea",IF(F261&gt;=Hevea_umbral_envio_gratis,0,Hevea_coste_envio_bajo),Balliu_coste_envio)</f>
        <v>30</v>
      </c>
      <c r="K261" s="57">
        <f t="shared" ref="K261:K285" si="53">Tasa_devolucion*Coste_devolucion</f>
        <v>2</v>
      </c>
      <c r="L261" s="57">
        <f t="shared" ref="L261:L285" si="54">Tasa_incidencia*Coste_incidencia</f>
        <v>1.6</v>
      </c>
      <c r="M261" s="57">
        <f t="shared" ref="M261:M324" si="55">G261-I261-J261-K261-L261</f>
        <v>80.43932749999999</v>
      </c>
      <c r="N261" s="126">
        <f t="shared" ref="N261:N324" si="56">IFERROR(M261/E261,0)</f>
        <v>0.22835863023420863</v>
      </c>
      <c r="O261" s="57">
        <f t="shared" ref="O261:O285" si="57">MAX(M261,0)</f>
        <v>80.43932749999999</v>
      </c>
      <c r="P261" s="127">
        <f t="shared" ref="P261:P324" si="58">IFERROR(F261/O261,0)</f>
        <v>5.2986830353597876</v>
      </c>
      <c r="Q261" s="128" t="str">
        <f t="shared" ref="Q261:Q285" si="59">IF(N261&gt;=Umbral_PUSH_pct,IF(M261&gt;=Umbral_PUSH_eur,"PUSH","NEUTRAL"),IF(N261&gt;=Umbral_NEUTRAL_pct,"NEUTRAL",IF(N261&gt;=Umbral_WATCH_pct,"WATCH","NO ANUNCIAR")))</f>
        <v>NEUTRAL</v>
      </c>
    </row>
    <row r="262" spans="1:17" x14ac:dyDescent="0.2">
      <c r="A262" s="61" t="s">
        <v>467</v>
      </c>
      <c r="B262" s="61" t="s">
        <v>756</v>
      </c>
      <c r="C262" s="61" t="s">
        <v>757</v>
      </c>
      <c r="D262" s="63">
        <v>217.14</v>
      </c>
      <c r="E262" s="63">
        <v>334.05</v>
      </c>
      <c r="F262" s="63">
        <f t="shared" si="48"/>
        <v>404.20049999999998</v>
      </c>
      <c r="G262" s="63">
        <f t="shared" si="49"/>
        <v>116.91000000000003</v>
      </c>
      <c r="H262" s="129">
        <f t="shared" si="50"/>
        <v>0.34997754827121696</v>
      </c>
      <c r="I262" s="63">
        <f t="shared" si="51"/>
        <v>8.7882104999999999</v>
      </c>
      <c r="J262" s="63">
        <f t="shared" si="52"/>
        <v>30</v>
      </c>
      <c r="K262" s="63">
        <f t="shared" si="53"/>
        <v>2</v>
      </c>
      <c r="L262" s="63">
        <f t="shared" si="54"/>
        <v>1.6</v>
      </c>
      <c r="M262" s="63">
        <f t="shared" si="55"/>
        <v>74.521789500000025</v>
      </c>
      <c r="N262" s="129">
        <f t="shared" si="56"/>
        <v>0.22308573417153127</v>
      </c>
      <c r="O262" s="63">
        <f t="shared" si="57"/>
        <v>74.521789500000025</v>
      </c>
      <c r="P262" s="130">
        <f t="shared" si="58"/>
        <v>5.4239236968403697</v>
      </c>
      <c r="Q262" s="131" t="str">
        <f t="shared" si="59"/>
        <v>NEUTRAL</v>
      </c>
    </row>
    <row r="263" spans="1:17" x14ac:dyDescent="0.2">
      <c r="A263" s="55" t="s">
        <v>467</v>
      </c>
      <c r="B263" s="55" t="s">
        <v>763</v>
      </c>
      <c r="C263" s="55" t="s">
        <v>764</v>
      </c>
      <c r="D263" s="57">
        <v>561.54</v>
      </c>
      <c r="E263" s="57">
        <v>863.9</v>
      </c>
      <c r="F263" s="57">
        <f t="shared" si="48"/>
        <v>1045.319</v>
      </c>
      <c r="G263" s="57">
        <f t="shared" si="49"/>
        <v>302.36</v>
      </c>
      <c r="H263" s="126">
        <f t="shared" si="50"/>
        <v>0.34999421229308952</v>
      </c>
      <c r="I263" s="57">
        <f t="shared" si="51"/>
        <v>22.251699000000002</v>
      </c>
      <c r="J263" s="57">
        <f t="shared" si="52"/>
        <v>30</v>
      </c>
      <c r="K263" s="57">
        <f t="shared" si="53"/>
        <v>2</v>
      </c>
      <c r="L263" s="57">
        <f t="shared" si="54"/>
        <v>1.6</v>
      </c>
      <c r="M263" s="57">
        <f t="shared" si="55"/>
        <v>246.50830099999999</v>
      </c>
      <c r="N263" s="126">
        <f t="shared" si="56"/>
        <v>0.28534355943974998</v>
      </c>
      <c r="O263" s="57">
        <f t="shared" si="57"/>
        <v>246.50830099999999</v>
      </c>
      <c r="P263" s="127">
        <f t="shared" si="58"/>
        <v>4.2405022295780617</v>
      </c>
      <c r="Q263" s="128" t="str">
        <f t="shared" si="59"/>
        <v>NEUTRAL</v>
      </c>
    </row>
    <row r="264" spans="1:17" x14ac:dyDescent="0.2">
      <c r="A264" s="61" t="s">
        <v>467</v>
      </c>
      <c r="B264" s="61" t="s">
        <v>766</v>
      </c>
      <c r="C264" s="61" t="s">
        <v>767</v>
      </c>
      <c r="D264" s="63">
        <v>561.54</v>
      </c>
      <c r="E264" s="63">
        <v>863.9</v>
      </c>
      <c r="F264" s="63">
        <f t="shared" si="48"/>
        <v>1045.319</v>
      </c>
      <c r="G264" s="63">
        <f t="shared" si="49"/>
        <v>302.36</v>
      </c>
      <c r="H264" s="129">
        <f t="shared" si="50"/>
        <v>0.34999421229308952</v>
      </c>
      <c r="I264" s="63">
        <f t="shared" si="51"/>
        <v>22.251699000000002</v>
      </c>
      <c r="J264" s="63">
        <f t="shared" si="52"/>
        <v>30</v>
      </c>
      <c r="K264" s="63">
        <f t="shared" si="53"/>
        <v>2</v>
      </c>
      <c r="L264" s="63">
        <f t="shared" si="54"/>
        <v>1.6</v>
      </c>
      <c r="M264" s="63">
        <f t="shared" si="55"/>
        <v>246.50830099999999</v>
      </c>
      <c r="N264" s="129">
        <f t="shared" si="56"/>
        <v>0.28534355943974998</v>
      </c>
      <c r="O264" s="63">
        <f t="shared" si="57"/>
        <v>246.50830099999999</v>
      </c>
      <c r="P264" s="130">
        <f t="shared" si="58"/>
        <v>4.2405022295780617</v>
      </c>
      <c r="Q264" s="131" t="str">
        <f t="shared" si="59"/>
        <v>NEUTRAL</v>
      </c>
    </row>
    <row r="265" spans="1:17" x14ac:dyDescent="0.2">
      <c r="A265" s="55" t="s">
        <v>467</v>
      </c>
      <c r="B265" s="55" t="s">
        <v>769</v>
      </c>
      <c r="C265" s="55" t="s">
        <v>767</v>
      </c>
      <c r="D265" s="57">
        <v>1019.5</v>
      </c>
      <c r="E265" s="57">
        <v>1568.47</v>
      </c>
      <c r="F265" s="57">
        <f t="shared" si="48"/>
        <v>1897.8487</v>
      </c>
      <c r="G265" s="57">
        <f t="shared" si="49"/>
        <v>548.97</v>
      </c>
      <c r="H265" s="126">
        <f t="shared" si="50"/>
        <v>0.35000350660197521</v>
      </c>
      <c r="I265" s="57">
        <f t="shared" si="51"/>
        <v>40.154822699999997</v>
      </c>
      <c r="J265" s="57">
        <f t="shared" si="52"/>
        <v>30</v>
      </c>
      <c r="K265" s="57">
        <f t="shared" si="53"/>
        <v>2</v>
      </c>
      <c r="L265" s="57">
        <f t="shared" si="54"/>
        <v>1.6</v>
      </c>
      <c r="M265" s="57">
        <f t="shared" si="55"/>
        <v>475.21517729999999</v>
      </c>
      <c r="N265" s="126">
        <f t="shared" si="56"/>
        <v>0.30298008715499819</v>
      </c>
      <c r="O265" s="57">
        <f t="shared" si="57"/>
        <v>475.21517729999999</v>
      </c>
      <c r="P265" s="127">
        <f t="shared" si="58"/>
        <v>3.9936617992356367</v>
      </c>
      <c r="Q265" s="128" t="str">
        <f t="shared" si="59"/>
        <v>PUSH</v>
      </c>
    </row>
    <row r="266" spans="1:17" x14ac:dyDescent="0.2">
      <c r="A266" s="61" t="s">
        <v>467</v>
      </c>
      <c r="B266" s="61" t="s">
        <v>771</v>
      </c>
      <c r="C266" s="61" t="s">
        <v>772</v>
      </c>
      <c r="D266" s="63">
        <v>48.25</v>
      </c>
      <c r="E266" s="63">
        <v>74.23</v>
      </c>
      <c r="F266" s="63">
        <f t="shared" si="48"/>
        <v>89.818300000000008</v>
      </c>
      <c r="G266" s="63">
        <f t="shared" si="49"/>
        <v>25.980000000000004</v>
      </c>
      <c r="H266" s="129">
        <f t="shared" si="50"/>
        <v>0.34999326417890342</v>
      </c>
      <c r="I266" s="63">
        <f t="shared" si="51"/>
        <v>2.1861843000000003</v>
      </c>
      <c r="J266" s="63">
        <f t="shared" si="52"/>
        <v>30</v>
      </c>
      <c r="K266" s="63">
        <f t="shared" si="53"/>
        <v>2</v>
      </c>
      <c r="L266" s="63">
        <f t="shared" si="54"/>
        <v>1.6</v>
      </c>
      <c r="M266" s="63">
        <f t="shared" si="55"/>
        <v>-9.8061842999999964</v>
      </c>
      <c r="N266" s="129">
        <f t="shared" si="56"/>
        <v>-0.13210540617001207</v>
      </c>
      <c r="O266" s="63">
        <f t="shared" si="57"/>
        <v>0</v>
      </c>
      <c r="P266" s="130">
        <f t="shared" si="58"/>
        <v>0</v>
      </c>
      <c r="Q266" s="131" t="str">
        <f t="shared" si="59"/>
        <v>NO ANUNCIAR</v>
      </c>
    </row>
    <row r="267" spans="1:17" x14ac:dyDescent="0.2">
      <c r="A267" s="55" t="s">
        <v>467</v>
      </c>
      <c r="B267" s="55" t="s">
        <v>774</v>
      </c>
      <c r="C267" s="55" t="s">
        <v>772</v>
      </c>
      <c r="D267" s="57">
        <v>82.22</v>
      </c>
      <c r="E267" s="57">
        <v>126.49</v>
      </c>
      <c r="F267" s="57">
        <f t="shared" si="48"/>
        <v>153.05289999999999</v>
      </c>
      <c r="G267" s="57">
        <f t="shared" si="49"/>
        <v>44.269999999999996</v>
      </c>
      <c r="H267" s="126">
        <f t="shared" si="50"/>
        <v>0.3499881413550478</v>
      </c>
      <c r="I267" s="57">
        <f t="shared" si="51"/>
        <v>3.5141108999999999</v>
      </c>
      <c r="J267" s="57">
        <f t="shared" si="52"/>
        <v>30</v>
      </c>
      <c r="K267" s="57">
        <f t="shared" si="53"/>
        <v>2</v>
      </c>
      <c r="L267" s="57">
        <f t="shared" si="54"/>
        <v>1.6</v>
      </c>
      <c r="M267" s="57">
        <f t="shared" si="55"/>
        <v>7.1558890999999978</v>
      </c>
      <c r="N267" s="126">
        <f t="shared" si="56"/>
        <v>5.6572765436002828E-2</v>
      </c>
      <c r="O267" s="57">
        <f t="shared" si="57"/>
        <v>7.1558890999999978</v>
      </c>
      <c r="P267" s="127">
        <f t="shared" si="58"/>
        <v>21.388383450492551</v>
      </c>
      <c r="Q267" s="128" t="str">
        <f t="shared" si="59"/>
        <v>WATCH</v>
      </c>
    </row>
    <row r="268" spans="1:17" x14ac:dyDescent="0.2">
      <c r="A268" s="61" t="s">
        <v>467</v>
      </c>
      <c r="B268" s="61" t="s">
        <v>776</v>
      </c>
      <c r="C268" s="61" t="s">
        <v>777</v>
      </c>
      <c r="D268" s="63">
        <v>70.569999999999993</v>
      </c>
      <c r="E268" s="63">
        <v>108.57</v>
      </c>
      <c r="F268" s="63">
        <f t="shared" si="48"/>
        <v>131.36969999999999</v>
      </c>
      <c r="G268" s="63">
        <f t="shared" si="49"/>
        <v>38</v>
      </c>
      <c r="H268" s="129">
        <f t="shared" si="50"/>
        <v>0.35000460532375427</v>
      </c>
      <c r="I268" s="63">
        <f t="shared" si="51"/>
        <v>3.0587637000000001</v>
      </c>
      <c r="J268" s="63">
        <f t="shared" si="52"/>
        <v>30</v>
      </c>
      <c r="K268" s="63">
        <f t="shared" si="53"/>
        <v>2</v>
      </c>
      <c r="L268" s="63">
        <f t="shared" si="54"/>
        <v>1.6</v>
      </c>
      <c r="M268" s="63">
        <f t="shared" si="55"/>
        <v>1.3412362999999998</v>
      </c>
      <c r="N268" s="129">
        <f t="shared" si="56"/>
        <v>1.2353654784931381E-2</v>
      </c>
      <c r="O268" s="63">
        <f t="shared" si="57"/>
        <v>1.3412362999999998</v>
      </c>
      <c r="P268" s="130">
        <f t="shared" si="58"/>
        <v>97.946722736329164</v>
      </c>
      <c r="Q268" s="131" t="str">
        <f t="shared" si="59"/>
        <v>NO ANUNCIAR</v>
      </c>
    </row>
    <row r="269" spans="1:17" x14ac:dyDescent="0.2">
      <c r="A269" s="55" t="s">
        <v>467</v>
      </c>
      <c r="B269" s="55" t="s">
        <v>778</v>
      </c>
      <c r="C269" s="55" t="s">
        <v>779</v>
      </c>
      <c r="D269" s="57">
        <v>62.07</v>
      </c>
      <c r="E269" s="57">
        <v>95.5</v>
      </c>
      <c r="F269" s="57">
        <f t="shared" si="48"/>
        <v>115.55499999999999</v>
      </c>
      <c r="G269" s="57">
        <f t="shared" si="49"/>
        <v>33.43</v>
      </c>
      <c r="H269" s="126">
        <f t="shared" si="50"/>
        <v>0.35005235602094242</v>
      </c>
      <c r="I269" s="57">
        <f t="shared" si="51"/>
        <v>2.7266549999999996</v>
      </c>
      <c r="J269" s="57">
        <f t="shared" si="52"/>
        <v>30</v>
      </c>
      <c r="K269" s="57">
        <f t="shared" si="53"/>
        <v>2</v>
      </c>
      <c r="L269" s="57">
        <f t="shared" si="54"/>
        <v>1.6</v>
      </c>
      <c r="M269" s="57">
        <f t="shared" si="55"/>
        <v>-2.8966550000000013</v>
      </c>
      <c r="N269" s="126">
        <f t="shared" si="56"/>
        <v>-3.03314659685864E-2</v>
      </c>
      <c r="O269" s="57">
        <f t="shared" si="57"/>
        <v>0</v>
      </c>
      <c r="P269" s="127">
        <f t="shared" si="58"/>
        <v>0</v>
      </c>
      <c r="Q269" s="128" t="str">
        <f t="shared" si="59"/>
        <v>NO ANUNCIAR</v>
      </c>
    </row>
    <row r="270" spans="1:17" x14ac:dyDescent="0.2">
      <c r="A270" s="61" t="s">
        <v>467</v>
      </c>
      <c r="B270" s="61" t="s">
        <v>780</v>
      </c>
      <c r="C270" s="61" t="s">
        <v>779</v>
      </c>
      <c r="D270" s="63">
        <v>102.54</v>
      </c>
      <c r="E270" s="63">
        <v>157.75</v>
      </c>
      <c r="F270" s="63">
        <f t="shared" si="48"/>
        <v>190.8775</v>
      </c>
      <c r="G270" s="63">
        <f t="shared" si="49"/>
        <v>55.209999999999994</v>
      </c>
      <c r="H270" s="129">
        <f t="shared" si="50"/>
        <v>0.34998415213946116</v>
      </c>
      <c r="I270" s="63">
        <f t="shared" si="51"/>
        <v>4.3084274999999996</v>
      </c>
      <c r="J270" s="63">
        <f t="shared" si="52"/>
        <v>30</v>
      </c>
      <c r="K270" s="63">
        <f t="shared" si="53"/>
        <v>2</v>
      </c>
      <c r="L270" s="63">
        <f t="shared" si="54"/>
        <v>1.6</v>
      </c>
      <c r="M270" s="63">
        <f t="shared" si="55"/>
        <v>17.301572499999992</v>
      </c>
      <c r="N270" s="129">
        <f t="shared" si="56"/>
        <v>0.1096771632329635</v>
      </c>
      <c r="O270" s="63">
        <f t="shared" si="57"/>
        <v>17.301572499999992</v>
      </c>
      <c r="P270" s="130">
        <f t="shared" si="58"/>
        <v>11.032378704305639</v>
      </c>
      <c r="Q270" s="131" t="str">
        <f t="shared" si="59"/>
        <v>WATCH</v>
      </c>
    </row>
    <row r="271" spans="1:17" x14ac:dyDescent="0.2">
      <c r="A271" s="55" t="s">
        <v>467</v>
      </c>
      <c r="B271" s="55" t="s">
        <v>782</v>
      </c>
      <c r="C271" s="55" t="s">
        <v>783</v>
      </c>
      <c r="D271" s="57">
        <v>34.61</v>
      </c>
      <c r="E271" s="57">
        <v>55.82</v>
      </c>
      <c r="F271" s="57">
        <f t="shared" si="48"/>
        <v>67.542199999999994</v>
      </c>
      <c r="G271" s="57">
        <f t="shared" si="49"/>
        <v>21.21</v>
      </c>
      <c r="H271" s="126">
        <f t="shared" si="50"/>
        <v>0.37997133643855252</v>
      </c>
      <c r="I271" s="57">
        <f t="shared" si="51"/>
        <v>1.7183862000000001</v>
      </c>
      <c r="J271" s="57">
        <f t="shared" si="52"/>
        <v>30</v>
      </c>
      <c r="K271" s="57">
        <f t="shared" si="53"/>
        <v>2</v>
      </c>
      <c r="L271" s="57">
        <f t="shared" si="54"/>
        <v>1.6</v>
      </c>
      <c r="M271" s="57">
        <f t="shared" si="55"/>
        <v>-14.1083862</v>
      </c>
      <c r="N271" s="126">
        <f t="shared" si="56"/>
        <v>-0.25274787173056251</v>
      </c>
      <c r="O271" s="57">
        <f t="shared" si="57"/>
        <v>0</v>
      </c>
      <c r="P271" s="127">
        <f t="shared" si="58"/>
        <v>0</v>
      </c>
      <c r="Q271" s="128" t="str">
        <f t="shared" si="59"/>
        <v>NO ANUNCIAR</v>
      </c>
    </row>
    <row r="272" spans="1:17" x14ac:dyDescent="0.2">
      <c r="A272" s="61" t="s">
        <v>467</v>
      </c>
      <c r="B272" s="61" t="s">
        <v>785</v>
      </c>
      <c r="C272" s="61" t="s">
        <v>786</v>
      </c>
      <c r="D272" s="63">
        <v>88.17</v>
      </c>
      <c r="E272" s="63">
        <v>135.65</v>
      </c>
      <c r="F272" s="63">
        <f t="shared" si="48"/>
        <v>164.13650000000001</v>
      </c>
      <c r="G272" s="63">
        <f t="shared" si="49"/>
        <v>47.480000000000004</v>
      </c>
      <c r="H272" s="129">
        <f t="shared" si="50"/>
        <v>0.35001842978252856</v>
      </c>
      <c r="I272" s="63">
        <f t="shared" si="51"/>
        <v>3.7468665000000003</v>
      </c>
      <c r="J272" s="63">
        <f t="shared" si="52"/>
        <v>30</v>
      </c>
      <c r="K272" s="63">
        <f t="shared" si="53"/>
        <v>2</v>
      </c>
      <c r="L272" s="63">
        <f t="shared" si="54"/>
        <v>1.6</v>
      </c>
      <c r="M272" s="63">
        <f t="shared" si="55"/>
        <v>10.133133500000001</v>
      </c>
      <c r="N272" s="129">
        <f t="shared" si="56"/>
        <v>7.470057869517141E-2</v>
      </c>
      <c r="O272" s="63">
        <f t="shared" si="57"/>
        <v>10.133133500000001</v>
      </c>
      <c r="P272" s="130">
        <f t="shared" si="58"/>
        <v>16.198000352013519</v>
      </c>
      <c r="Q272" s="131" t="str">
        <f t="shared" si="59"/>
        <v>WATCH</v>
      </c>
    </row>
    <row r="273" spans="1:17" x14ac:dyDescent="0.2">
      <c r="A273" s="55" t="s">
        <v>467</v>
      </c>
      <c r="B273" s="55" t="s">
        <v>788</v>
      </c>
      <c r="C273" s="55" t="s">
        <v>786</v>
      </c>
      <c r="D273" s="57">
        <v>68.16</v>
      </c>
      <c r="E273" s="57">
        <v>104.86</v>
      </c>
      <c r="F273" s="57">
        <f t="shared" si="48"/>
        <v>126.8806</v>
      </c>
      <c r="G273" s="57">
        <f t="shared" si="49"/>
        <v>36.700000000000003</v>
      </c>
      <c r="H273" s="126">
        <f t="shared" si="50"/>
        <v>0.3499904634751097</v>
      </c>
      <c r="I273" s="57">
        <f t="shared" si="51"/>
        <v>2.9644925999999998</v>
      </c>
      <c r="J273" s="57">
        <f t="shared" si="52"/>
        <v>30</v>
      </c>
      <c r="K273" s="57">
        <f t="shared" si="53"/>
        <v>2</v>
      </c>
      <c r="L273" s="57">
        <f t="shared" si="54"/>
        <v>1.6</v>
      </c>
      <c r="M273" s="57">
        <f t="shared" si="55"/>
        <v>0.13550740000000294</v>
      </c>
      <c r="N273" s="126">
        <f t="shared" si="56"/>
        <v>1.2922696929239265E-3</v>
      </c>
      <c r="O273" s="57">
        <f t="shared" si="57"/>
        <v>0.13550740000000294</v>
      </c>
      <c r="P273" s="127">
        <f t="shared" si="58"/>
        <v>936.33705613123152</v>
      </c>
      <c r="Q273" s="128" t="str">
        <f t="shared" si="59"/>
        <v>NO ANUNCIAR</v>
      </c>
    </row>
    <row r="274" spans="1:17" x14ac:dyDescent="0.2">
      <c r="A274" s="61" t="s">
        <v>467</v>
      </c>
      <c r="B274" s="61" t="s">
        <v>790</v>
      </c>
      <c r="C274" s="61" t="s">
        <v>791</v>
      </c>
      <c r="D274" s="63">
        <v>54.88</v>
      </c>
      <c r="E274" s="63">
        <v>84.43</v>
      </c>
      <c r="F274" s="63">
        <f t="shared" si="48"/>
        <v>102.16030000000001</v>
      </c>
      <c r="G274" s="63">
        <f t="shared" si="49"/>
        <v>29.550000000000004</v>
      </c>
      <c r="H274" s="129">
        <f t="shared" si="50"/>
        <v>0.34999407793438353</v>
      </c>
      <c r="I274" s="63">
        <f t="shared" si="51"/>
        <v>2.4453662999999999</v>
      </c>
      <c r="J274" s="63">
        <f t="shared" si="52"/>
        <v>30</v>
      </c>
      <c r="K274" s="63">
        <f t="shared" si="53"/>
        <v>2</v>
      </c>
      <c r="L274" s="63">
        <f t="shared" si="54"/>
        <v>1.6</v>
      </c>
      <c r="M274" s="63">
        <f t="shared" si="55"/>
        <v>-6.4953662999999953</v>
      </c>
      <c r="N274" s="129">
        <f t="shared" si="56"/>
        <v>-7.6931970863437102E-2</v>
      </c>
      <c r="O274" s="63">
        <f t="shared" si="57"/>
        <v>0</v>
      </c>
      <c r="P274" s="130">
        <f t="shared" si="58"/>
        <v>0</v>
      </c>
      <c r="Q274" s="131" t="str">
        <f t="shared" si="59"/>
        <v>NO ANUNCIAR</v>
      </c>
    </row>
    <row r="275" spans="1:17" x14ac:dyDescent="0.2">
      <c r="A275" s="55" t="s">
        <v>467</v>
      </c>
      <c r="B275" s="55" t="s">
        <v>793</v>
      </c>
      <c r="C275" s="55" t="s">
        <v>791</v>
      </c>
      <c r="D275" s="57">
        <v>27.52</v>
      </c>
      <c r="E275" s="57">
        <v>42.34</v>
      </c>
      <c r="F275" s="57">
        <f t="shared" si="48"/>
        <v>51.231400000000001</v>
      </c>
      <c r="G275" s="57">
        <f t="shared" si="49"/>
        <v>14.820000000000004</v>
      </c>
      <c r="H275" s="126">
        <f t="shared" si="50"/>
        <v>0.35002361832782247</v>
      </c>
      <c r="I275" s="57">
        <f t="shared" si="51"/>
        <v>1.3758594000000002</v>
      </c>
      <c r="J275" s="57">
        <f t="shared" si="52"/>
        <v>30</v>
      </c>
      <c r="K275" s="57">
        <f t="shared" si="53"/>
        <v>2</v>
      </c>
      <c r="L275" s="57">
        <f t="shared" si="54"/>
        <v>1.6</v>
      </c>
      <c r="M275" s="57">
        <f t="shared" si="55"/>
        <v>-20.155859399999997</v>
      </c>
      <c r="N275" s="126">
        <f t="shared" si="56"/>
        <v>-0.47604769485120441</v>
      </c>
      <c r="O275" s="57">
        <f t="shared" si="57"/>
        <v>0</v>
      </c>
      <c r="P275" s="127">
        <f t="shared" si="58"/>
        <v>0</v>
      </c>
      <c r="Q275" s="128" t="str">
        <f t="shared" si="59"/>
        <v>NO ANUNCIAR</v>
      </c>
    </row>
    <row r="276" spans="1:17" x14ac:dyDescent="0.2">
      <c r="A276" s="61" t="s">
        <v>467</v>
      </c>
      <c r="B276" s="61" t="s">
        <v>795</v>
      </c>
      <c r="C276" s="61" t="s">
        <v>796</v>
      </c>
      <c r="D276" s="63">
        <v>137.94</v>
      </c>
      <c r="E276" s="63">
        <v>212.22</v>
      </c>
      <c r="F276" s="63">
        <f t="shared" si="48"/>
        <v>256.78620000000001</v>
      </c>
      <c r="G276" s="63">
        <f t="shared" si="49"/>
        <v>74.28</v>
      </c>
      <c r="H276" s="129">
        <f t="shared" si="50"/>
        <v>0.35001413627367828</v>
      </c>
      <c r="I276" s="63">
        <f t="shared" si="51"/>
        <v>5.6925102000000001</v>
      </c>
      <c r="J276" s="63">
        <f t="shared" si="52"/>
        <v>30</v>
      </c>
      <c r="K276" s="63">
        <f t="shared" si="53"/>
        <v>2</v>
      </c>
      <c r="L276" s="63">
        <f t="shared" si="54"/>
        <v>1.6</v>
      </c>
      <c r="M276" s="63">
        <f t="shared" si="55"/>
        <v>34.987489799999999</v>
      </c>
      <c r="N276" s="129">
        <f t="shared" si="56"/>
        <v>0.1648642437093582</v>
      </c>
      <c r="O276" s="63">
        <f t="shared" si="57"/>
        <v>34.987489799999999</v>
      </c>
      <c r="P276" s="130">
        <f t="shared" si="58"/>
        <v>7.3393719145864535</v>
      </c>
      <c r="Q276" s="131" t="str">
        <f t="shared" si="59"/>
        <v>NEUTRAL</v>
      </c>
    </row>
    <row r="277" spans="1:17" x14ac:dyDescent="0.2">
      <c r="A277" s="55" t="s">
        <v>467</v>
      </c>
      <c r="B277" s="55" t="s">
        <v>797</v>
      </c>
      <c r="C277" s="55" t="s">
        <v>796</v>
      </c>
      <c r="D277" s="57">
        <v>176.97</v>
      </c>
      <c r="E277" s="57">
        <v>272.25</v>
      </c>
      <c r="F277" s="57">
        <f t="shared" si="48"/>
        <v>329.42250000000001</v>
      </c>
      <c r="G277" s="57">
        <f t="shared" si="49"/>
        <v>95.28</v>
      </c>
      <c r="H277" s="126">
        <f t="shared" si="50"/>
        <v>0.34997245179063363</v>
      </c>
      <c r="I277" s="57">
        <f t="shared" si="51"/>
        <v>7.2178725000000004</v>
      </c>
      <c r="J277" s="57">
        <f t="shared" si="52"/>
        <v>30</v>
      </c>
      <c r="K277" s="57">
        <f t="shared" si="53"/>
        <v>2</v>
      </c>
      <c r="L277" s="57">
        <f t="shared" si="54"/>
        <v>1.6</v>
      </c>
      <c r="M277" s="57">
        <f t="shared" si="55"/>
        <v>54.462127500000001</v>
      </c>
      <c r="N277" s="126">
        <f t="shared" si="56"/>
        <v>0.20004454545454545</v>
      </c>
      <c r="O277" s="57">
        <f t="shared" si="57"/>
        <v>54.462127500000001</v>
      </c>
      <c r="P277" s="127">
        <f t="shared" si="58"/>
        <v>6.0486528000581687</v>
      </c>
      <c r="Q277" s="128" t="str">
        <f t="shared" si="59"/>
        <v>NEUTRAL</v>
      </c>
    </row>
    <row r="278" spans="1:17" x14ac:dyDescent="0.2">
      <c r="A278" s="61" t="s">
        <v>467</v>
      </c>
      <c r="B278" s="61" t="s">
        <v>798</v>
      </c>
      <c r="C278" s="61" t="s">
        <v>796</v>
      </c>
      <c r="D278" s="63">
        <v>42.82</v>
      </c>
      <c r="E278" s="63">
        <v>65.88</v>
      </c>
      <c r="F278" s="63">
        <f t="shared" si="48"/>
        <v>79.714799999999997</v>
      </c>
      <c r="G278" s="63">
        <f t="shared" si="49"/>
        <v>23.059999999999995</v>
      </c>
      <c r="H278" s="129">
        <f t="shared" si="50"/>
        <v>0.35003035822707951</v>
      </c>
      <c r="I278" s="63">
        <f t="shared" si="51"/>
        <v>1.9740108000000001</v>
      </c>
      <c r="J278" s="63">
        <f t="shared" si="52"/>
        <v>30</v>
      </c>
      <c r="K278" s="63">
        <f t="shared" si="53"/>
        <v>2</v>
      </c>
      <c r="L278" s="63">
        <f t="shared" si="54"/>
        <v>1.6</v>
      </c>
      <c r="M278" s="63">
        <f t="shared" si="55"/>
        <v>-12.514010800000003</v>
      </c>
      <c r="N278" s="129">
        <f t="shared" si="56"/>
        <v>-0.18995159077109902</v>
      </c>
      <c r="O278" s="63">
        <f t="shared" si="57"/>
        <v>0</v>
      </c>
      <c r="P278" s="130">
        <f t="shared" si="58"/>
        <v>0</v>
      </c>
      <c r="Q278" s="131" t="str">
        <f t="shared" si="59"/>
        <v>NO ANUNCIAR</v>
      </c>
    </row>
    <row r="279" spans="1:17" x14ac:dyDescent="0.2">
      <c r="A279" s="55" t="s">
        <v>467</v>
      </c>
      <c r="B279" s="55" t="s">
        <v>800</v>
      </c>
      <c r="C279" s="55" t="s">
        <v>801</v>
      </c>
      <c r="D279" s="57">
        <v>19.68</v>
      </c>
      <c r="E279" s="57">
        <v>30.27</v>
      </c>
      <c r="F279" s="57">
        <f t="shared" si="48"/>
        <v>36.6267</v>
      </c>
      <c r="G279" s="57">
        <f t="shared" si="49"/>
        <v>10.59</v>
      </c>
      <c r="H279" s="126">
        <f t="shared" si="50"/>
        <v>0.34985133795837464</v>
      </c>
      <c r="I279" s="57">
        <f t="shared" si="51"/>
        <v>1.0691607000000001</v>
      </c>
      <c r="J279" s="57">
        <f t="shared" si="52"/>
        <v>30</v>
      </c>
      <c r="K279" s="57">
        <f t="shared" si="53"/>
        <v>2</v>
      </c>
      <c r="L279" s="57">
        <f t="shared" si="54"/>
        <v>1.6</v>
      </c>
      <c r="M279" s="57">
        <f t="shared" si="55"/>
        <v>-24.079160700000003</v>
      </c>
      <c r="N279" s="126">
        <f t="shared" si="56"/>
        <v>-0.79547937561942528</v>
      </c>
      <c r="O279" s="57">
        <f t="shared" si="57"/>
        <v>0</v>
      </c>
      <c r="P279" s="127">
        <f t="shared" si="58"/>
        <v>0</v>
      </c>
      <c r="Q279" s="128" t="str">
        <f t="shared" si="59"/>
        <v>NO ANUNCIAR</v>
      </c>
    </row>
    <row r="280" spans="1:17" x14ac:dyDescent="0.2">
      <c r="A280" s="61" t="s">
        <v>467</v>
      </c>
      <c r="B280" s="61" t="s">
        <v>803</v>
      </c>
      <c r="C280" s="61" t="s">
        <v>796</v>
      </c>
      <c r="D280" s="63">
        <v>69.709999999999994</v>
      </c>
      <c r="E280" s="63">
        <v>107.24</v>
      </c>
      <c r="F280" s="63">
        <f t="shared" si="48"/>
        <v>129.7604</v>
      </c>
      <c r="G280" s="63">
        <f t="shared" si="49"/>
        <v>37.53</v>
      </c>
      <c r="H280" s="129">
        <f t="shared" si="50"/>
        <v>0.3499627004848937</v>
      </c>
      <c r="I280" s="63">
        <f t="shared" si="51"/>
        <v>3.0249684000000001</v>
      </c>
      <c r="J280" s="63">
        <f t="shared" si="52"/>
        <v>30</v>
      </c>
      <c r="K280" s="63">
        <f t="shared" si="53"/>
        <v>2</v>
      </c>
      <c r="L280" s="63">
        <f t="shared" si="54"/>
        <v>1.6</v>
      </c>
      <c r="M280" s="63">
        <f t="shared" si="55"/>
        <v>0.90503160000000227</v>
      </c>
      <c r="N280" s="129">
        <f t="shared" si="56"/>
        <v>8.4393099589705547E-3</v>
      </c>
      <c r="O280" s="63">
        <f t="shared" si="57"/>
        <v>0.90503160000000227</v>
      </c>
      <c r="P280" s="130">
        <f t="shared" si="58"/>
        <v>143.37665115781556</v>
      </c>
      <c r="Q280" s="131" t="str">
        <f t="shared" si="59"/>
        <v>NO ANUNCIAR</v>
      </c>
    </row>
    <row r="281" spans="1:17" x14ac:dyDescent="0.2">
      <c r="A281" s="55" t="s">
        <v>467</v>
      </c>
      <c r="B281" s="55" t="s">
        <v>804</v>
      </c>
      <c r="C281" s="55" t="s">
        <v>796</v>
      </c>
      <c r="D281" s="57">
        <v>99.95</v>
      </c>
      <c r="E281" s="57">
        <v>153.77000000000001</v>
      </c>
      <c r="F281" s="57">
        <f t="shared" si="48"/>
        <v>186.0617</v>
      </c>
      <c r="G281" s="57">
        <f t="shared" si="49"/>
        <v>53.820000000000007</v>
      </c>
      <c r="H281" s="126">
        <f t="shared" si="50"/>
        <v>0.35000325160954676</v>
      </c>
      <c r="I281" s="57">
        <f t="shared" si="51"/>
        <v>4.2072957000000004</v>
      </c>
      <c r="J281" s="57">
        <f t="shared" si="52"/>
        <v>30</v>
      </c>
      <c r="K281" s="57">
        <f t="shared" si="53"/>
        <v>2</v>
      </c>
      <c r="L281" s="57">
        <f t="shared" si="54"/>
        <v>1.6</v>
      </c>
      <c r="M281" s="57">
        <f t="shared" si="55"/>
        <v>16.012704300000003</v>
      </c>
      <c r="N281" s="126">
        <f t="shared" si="56"/>
        <v>0.10413412434154908</v>
      </c>
      <c r="O281" s="57">
        <f t="shared" si="57"/>
        <v>16.012704300000003</v>
      </c>
      <c r="P281" s="127">
        <f t="shared" si="58"/>
        <v>11.619630045875509</v>
      </c>
      <c r="Q281" s="128" t="str">
        <f t="shared" si="59"/>
        <v>WATCH</v>
      </c>
    </row>
    <row r="282" spans="1:17" x14ac:dyDescent="0.2">
      <c r="A282" s="61" t="s">
        <v>467</v>
      </c>
      <c r="B282" s="61" t="s">
        <v>805</v>
      </c>
      <c r="C282" s="61" t="s">
        <v>796</v>
      </c>
      <c r="D282" s="63">
        <v>122.35</v>
      </c>
      <c r="E282" s="63">
        <v>188.24</v>
      </c>
      <c r="F282" s="63">
        <f t="shared" si="48"/>
        <v>227.7704</v>
      </c>
      <c r="G282" s="63">
        <f t="shared" si="49"/>
        <v>65.890000000000015</v>
      </c>
      <c r="H282" s="129">
        <f t="shared" si="50"/>
        <v>0.35003187420314497</v>
      </c>
      <c r="I282" s="63">
        <f t="shared" si="51"/>
        <v>5.0831784000000004</v>
      </c>
      <c r="J282" s="63">
        <f t="shared" si="52"/>
        <v>30</v>
      </c>
      <c r="K282" s="63">
        <f t="shared" si="53"/>
        <v>2</v>
      </c>
      <c r="L282" s="63">
        <f t="shared" si="54"/>
        <v>1.6</v>
      </c>
      <c r="M282" s="63">
        <f t="shared" si="55"/>
        <v>27.206821600000012</v>
      </c>
      <c r="N282" s="129">
        <f t="shared" si="56"/>
        <v>0.1445326264343392</v>
      </c>
      <c r="O282" s="63">
        <f t="shared" si="57"/>
        <v>27.206821600000012</v>
      </c>
      <c r="P282" s="130">
        <f t="shared" si="58"/>
        <v>8.3718121634612359</v>
      </c>
      <c r="Q282" s="131" t="str">
        <f t="shared" si="59"/>
        <v>WATCH</v>
      </c>
    </row>
    <row r="283" spans="1:17" x14ac:dyDescent="0.2">
      <c r="A283" s="55" t="s">
        <v>467</v>
      </c>
      <c r="B283" s="55" t="s">
        <v>807</v>
      </c>
      <c r="C283" s="55" t="s">
        <v>796</v>
      </c>
      <c r="D283" s="57">
        <v>45.21</v>
      </c>
      <c r="E283" s="57">
        <v>69.55</v>
      </c>
      <c r="F283" s="57">
        <f t="shared" si="48"/>
        <v>84.155499999999989</v>
      </c>
      <c r="G283" s="57">
        <f t="shared" si="49"/>
        <v>24.339999999999996</v>
      </c>
      <c r="H283" s="126">
        <f t="shared" si="50"/>
        <v>0.34996405463695179</v>
      </c>
      <c r="I283" s="57">
        <f t="shared" si="51"/>
        <v>2.0672655</v>
      </c>
      <c r="J283" s="57">
        <f t="shared" si="52"/>
        <v>30</v>
      </c>
      <c r="K283" s="57">
        <f t="shared" si="53"/>
        <v>2</v>
      </c>
      <c r="L283" s="57">
        <f t="shared" si="54"/>
        <v>1.6</v>
      </c>
      <c r="M283" s="57">
        <f t="shared" si="55"/>
        <v>-11.327265500000005</v>
      </c>
      <c r="N283" s="126">
        <f t="shared" si="56"/>
        <v>-0.16286506829618985</v>
      </c>
      <c r="O283" s="57">
        <f t="shared" si="57"/>
        <v>0</v>
      </c>
      <c r="P283" s="127">
        <f t="shared" si="58"/>
        <v>0</v>
      </c>
      <c r="Q283" s="128" t="str">
        <f t="shared" si="59"/>
        <v>NO ANUNCIAR</v>
      </c>
    </row>
    <row r="284" spans="1:17" x14ac:dyDescent="0.2">
      <c r="A284" s="61" t="s">
        <v>467</v>
      </c>
      <c r="B284" s="61" t="s">
        <v>809</v>
      </c>
      <c r="C284" s="61" t="s">
        <v>810</v>
      </c>
      <c r="D284" s="63">
        <v>28.69</v>
      </c>
      <c r="E284" s="63">
        <v>44.14</v>
      </c>
      <c r="F284" s="63">
        <f t="shared" si="48"/>
        <v>53.409399999999998</v>
      </c>
      <c r="G284" s="63">
        <f t="shared" si="49"/>
        <v>15.45</v>
      </c>
      <c r="H284" s="129">
        <f t="shared" si="50"/>
        <v>0.35002265518803805</v>
      </c>
      <c r="I284" s="63">
        <f t="shared" si="51"/>
        <v>1.4215974</v>
      </c>
      <c r="J284" s="63">
        <f t="shared" si="52"/>
        <v>30</v>
      </c>
      <c r="K284" s="63">
        <f t="shared" si="53"/>
        <v>2</v>
      </c>
      <c r="L284" s="63">
        <f t="shared" si="54"/>
        <v>1.6</v>
      </c>
      <c r="M284" s="63">
        <f t="shared" si="55"/>
        <v>-19.571597400000002</v>
      </c>
      <c r="N284" s="129">
        <f t="shared" si="56"/>
        <v>-0.44339821930222023</v>
      </c>
      <c r="O284" s="63">
        <f t="shared" si="57"/>
        <v>0</v>
      </c>
      <c r="P284" s="130">
        <f t="shared" si="58"/>
        <v>0</v>
      </c>
      <c r="Q284" s="131" t="str">
        <f t="shared" si="59"/>
        <v>NO ANUNCIAR</v>
      </c>
    </row>
    <row r="285" spans="1:17" x14ac:dyDescent="0.2">
      <c r="A285" s="55" t="s">
        <v>467</v>
      </c>
      <c r="B285" s="55" t="s">
        <v>812</v>
      </c>
      <c r="C285" s="55" t="s">
        <v>813</v>
      </c>
      <c r="D285" s="57">
        <v>12.41</v>
      </c>
      <c r="E285" s="57">
        <v>19.09</v>
      </c>
      <c r="F285" s="57">
        <f t="shared" si="48"/>
        <v>23.0989</v>
      </c>
      <c r="G285" s="57">
        <f t="shared" si="49"/>
        <v>6.68</v>
      </c>
      <c r="H285" s="126">
        <f t="shared" si="50"/>
        <v>0.3499214248297538</v>
      </c>
      <c r="I285" s="57">
        <f t="shared" si="51"/>
        <v>0.78507689999999997</v>
      </c>
      <c r="J285" s="57">
        <f t="shared" si="52"/>
        <v>30</v>
      </c>
      <c r="K285" s="57">
        <f t="shared" si="53"/>
        <v>2</v>
      </c>
      <c r="L285" s="57">
        <f t="shared" si="54"/>
        <v>1.6</v>
      </c>
      <c r="M285" s="57">
        <f t="shared" si="55"/>
        <v>-27.705076900000002</v>
      </c>
      <c r="N285" s="126">
        <f t="shared" si="56"/>
        <v>-1.4512874227344161</v>
      </c>
      <c r="O285" s="57">
        <f t="shared" si="57"/>
        <v>0</v>
      </c>
      <c r="P285" s="127">
        <f t="shared" si="58"/>
        <v>0</v>
      </c>
      <c r="Q285" s="128" t="str">
        <f t="shared" si="59"/>
        <v>NO ANUNCIAR</v>
      </c>
    </row>
    <row r="286" spans="1:17" x14ac:dyDescent="0.2">
      <c r="C286" s="132" t="s">
        <v>814</v>
      </c>
      <c r="D286" s="133">
        <f>AVERAGE(D5:D285)</f>
        <v>477.63014234875476</v>
      </c>
      <c r="E286" s="133">
        <f>AVERAGE(E5:E285)</f>
        <v>746.44487544483968</v>
      </c>
      <c r="F286" s="133">
        <f>AVERAGE(F5:F285)</f>
        <v>903.19829928825629</v>
      </c>
      <c r="G286" s="133">
        <f>AVERAGE(G5:G285)</f>
        <v>268.81473309608509</v>
      </c>
      <c r="H286" s="134">
        <f>AVERAGE(H5:H285)</f>
        <v>0.3545485211955493</v>
      </c>
      <c r="M286" s="133">
        <f>AVERAGE(M5:M285)</f>
        <v>223.42087841957292</v>
      </c>
      <c r="N286" s="134">
        <f>AVERAGE(N5:N285)</f>
        <v>0.1634101609412279</v>
      </c>
      <c r="O286" s="133">
        <f>AVERAGE(O5:O285)</f>
        <v>225.46761697437714</v>
      </c>
      <c r="P286" s="135">
        <f>AVERAGE(P5:P285)</f>
        <v>9.8319341892369145</v>
      </c>
    </row>
  </sheetData>
  <autoFilter ref="A4:Q285" xr:uid="{00000000-0009-0000-0000-00000A000000}"/>
  <mergeCells count="2">
    <mergeCell ref="A2:Q2"/>
    <mergeCell ref="A1:Q1"/>
  </mergeCells>
  <conditionalFormatting sqref="N5:N285">
    <cfRule type="colorScale" priority="1">
      <colorScale>
        <cfvo type="num" val="0"/>
        <cfvo type="num" val="0.2"/>
        <cfvo type="num" val="0.4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6"/>
  <sheetViews>
    <sheetView workbookViewId="0">
      <pane xSplit="1" ySplit="4" topLeftCell="B5" activePane="bottomRight" state="frozen"/>
      <selection pane="topRight"/>
      <selection pane="bottomLeft"/>
      <selection pane="bottomRight" activeCell="L28" sqref="L28"/>
    </sheetView>
  </sheetViews>
  <sheetFormatPr baseColWidth="10" defaultColWidth="8.83203125" defaultRowHeight="15" x14ac:dyDescent="0.2"/>
  <cols>
    <col min="1" max="1" width="42" customWidth="1"/>
    <col min="2" max="5" width="18" customWidth="1"/>
    <col min="6" max="6" width="50" customWidth="1"/>
  </cols>
  <sheetData>
    <row r="1" spans="1:6" ht="28" customHeight="1" x14ac:dyDescent="0.2">
      <c r="A1" s="158" t="s">
        <v>1196</v>
      </c>
      <c r="B1" s="156"/>
      <c r="C1" s="156"/>
      <c r="D1" s="156"/>
      <c r="E1" s="156"/>
      <c r="F1" s="156"/>
    </row>
    <row r="2" spans="1:6" x14ac:dyDescent="0.2">
      <c r="A2" s="157" t="s">
        <v>1197</v>
      </c>
      <c r="B2" s="156"/>
      <c r="C2" s="156"/>
      <c r="D2" s="156"/>
      <c r="E2" s="156"/>
      <c r="F2" s="156"/>
    </row>
    <row r="4" spans="1:6" x14ac:dyDescent="0.2">
      <c r="A4" s="155" t="s">
        <v>1198</v>
      </c>
      <c r="B4" s="156"/>
      <c r="C4" s="156"/>
      <c r="D4" s="156"/>
      <c r="E4" s="156"/>
      <c r="F4" s="156"/>
    </row>
    <row r="5" spans="1:6" ht="28" customHeight="1" x14ac:dyDescent="0.2">
      <c r="A5" s="42" t="s">
        <v>1126</v>
      </c>
      <c r="B5" s="42" t="s">
        <v>1199</v>
      </c>
      <c r="C5" s="42" t="s">
        <v>1200</v>
      </c>
      <c r="D5" s="42" t="s">
        <v>1201</v>
      </c>
      <c r="E5" s="42" t="s">
        <v>1202</v>
      </c>
      <c r="F5" s="42" t="s">
        <v>1130</v>
      </c>
    </row>
    <row r="6" spans="1:6" x14ac:dyDescent="0.2">
      <c r="A6" s="109" t="s">
        <v>1203</v>
      </c>
      <c r="B6" s="110">
        <v>500</v>
      </c>
      <c r="C6" s="110">
        <v>1500</v>
      </c>
      <c r="D6" s="110">
        <v>3000</v>
      </c>
      <c r="E6" s="110">
        <v>6000</v>
      </c>
      <c r="F6" s="107" t="s">
        <v>1204</v>
      </c>
    </row>
    <row r="7" spans="1:6" x14ac:dyDescent="0.2">
      <c r="A7" s="109" t="s">
        <v>1205</v>
      </c>
      <c r="B7" s="121">
        <f>ROAS_base</f>
        <v>4</v>
      </c>
      <c r="C7" s="121">
        <f>ROAS_base</f>
        <v>4</v>
      </c>
      <c r="D7" s="121">
        <f>ROAS_base</f>
        <v>4</v>
      </c>
      <c r="E7" s="121">
        <f>ROAS_base</f>
        <v>4</v>
      </c>
      <c r="F7" s="107" t="s">
        <v>1206</v>
      </c>
    </row>
    <row r="8" spans="1:6" x14ac:dyDescent="0.2">
      <c r="A8" s="109" t="s">
        <v>1207</v>
      </c>
      <c r="B8" s="116">
        <f>B6*B7</f>
        <v>2000</v>
      </c>
      <c r="C8" s="116">
        <f>C6*C7</f>
        <v>6000</v>
      </c>
      <c r="D8" s="116">
        <f>D6*D7</f>
        <v>12000</v>
      </c>
      <c r="E8" s="116">
        <f>E6*E7</f>
        <v>24000</v>
      </c>
      <c r="F8" s="107" t="s">
        <v>1208</v>
      </c>
    </row>
    <row r="9" spans="1:6" x14ac:dyDescent="0.2">
      <c r="A9" s="109" t="s">
        <v>1209</v>
      </c>
      <c r="B9" s="136">
        <f>B8/AOV</f>
        <v>4</v>
      </c>
      <c r="C9" s="136">
        <f>C8/AOV</f>
        <v>12</v>
      </c>
      <c r="D9" s="136">
        <f>D8/AOV</f>
        <v>24</v>
      </c>
      <c r="E9" s="136">
        <f>E8/AOV</f>
        <v>48</v>
      </c>
      <c r="F9" s="107" t="s">
        <v>1210</v>
      </c>
    </row>
    <row r="10" spans="1:6" x14ac:dyDescent="0.2">
      <c r="A10" s="109" t="s">
        <v>1211</v>
      </c>
      <c r="B10" s="125">
        <f>B9/Tasa_conversion</f>
        <v>500</v>
      </c>
      <c r="C10" s="125">
        <f>C9/Tasa_conversion</f>
        <v>1500</v>
      </c>
      <c r="D10" s="125">
        <f>D9/Tasa_conversion</f>
        <v>3000</v>
      </c>
      <c r="E10" s="125">
        <f>E9/Tasa_conversion</f>
        <v>6000</v>
      </c>
      <c r="F10" s="107" t="s">
        <v>1178</v>
      </c>
    </row>
    <row r="11" spans="1:6" x14ac:dyDescent="0.2">
      <c r="A11" s="109" t="s">
        <v>1212</v>
      </c>
      <c r="B11" s="119">
        <f>B6/B9</f>
        <v>125</v>
      </c>
      <c r="C11" s="119">
        <f>C6/C9</f>
        <v>125</v>
      </c>
      <c r="D11" s="119">
        <f>D6/D9</f>
        <v>125</v>
      </c>
      <c r="E11" s="119">
        <f>E6/E9</f>
        <v>125</v>
      </c>
      <c r="F11" s="107" t="s">
        <v>1213</v>
      </c>
    </row>
    <row r="12" spans="1:6" x14ac:dyDescent="0.2">
      <c r="A12" s="109" t="s">
        <v>1214</v>
      </c>
      <c r="B12" s="119">
        <f>B9*((AOV/(1+IVA))*Margen_bruto_medio-VAR_COST_PER_ORDER)</f>
        <v>440.43099908826196</v>
      </c>
      <c r="C12" s="119">
        <f>C9*((AOV/(1+IVA))*Margen_bruto_medio-VAR_COST_PER_ORDER)</f>
        <v>1321.2929972647858</v>
      </c>
      <c r="D12" s="119">
        <f>D9*((AOV/(1+IVA))*Margen_bruto_medio-VAR_COST_PER_ORDER)</f>
        <v>2642.5859945295715</v>
      </c>
      <c r="E12" s="119">
        <f>E9*((AOV/(1+IVA))*Margen_bruto_medio-VAR_COST_PER_ORDER)</f>
        <v>5285.171989059143</v>
      </c>
      <c r="F12" s="107" t="s">
        <v>1215</v>
      </c>
    </row>
    <row r="13" spans="1:6" x14ac:dyDescent="0.2">
      <c r="A13" s="109" t="s">
        <v>1164</v>
      </c>
      <c r="B13" s="119">
        <f>-B6</f>
        <v>-500</v>
      </c>
      <c r="C13" s="119">
        <f>-C6</f>
        <v>-1500</v>
      </c>
      <c r="D13" s="119">
        <f>-D6</f>
        <v>-3000</v>
      </c>
      <c r="E13" s="119">
        <f>-E6</f>
        <v>-6000</v>
      </c>
    </row>
    <row r="14" spans="1:6" x14ac:dyDescent="0.2">
      <c r="A14" s="109" t="s">
        <v>1169</v>
      </c>
      <c r="B14" s="119">
        <f>-TOTAL_FIJOS_MES</f>
        <v>-63</v>
      </c>
      <c r="C14" s="119">
        <f>-TOTAL_FIJOS_MES</f>
        <v>-63</v>
      </c>
      <c r="D14" s="119">
        <f>-TOTAL_FIJOS_MES</f>
        <v>-63</v>
      </c>
      <c r="E14" s="119">
        <f>-TOTAL_FIJOS_MES</f>
        <v>-63</v>
      </c>
    </row>
    <row r="15" spans="1:6" x14ac:dyDescent="0.2">
      <c r="A15" s="137" t="s">
        <v>1216</v>
      </c>
      <c r="B15" s="138">
        <f>B12-B6-TOTAL_FIJOS_MES</f>
        <v>-122.56900091173804</v>
      </c>
      <c r="C15" s="138">
        <f>C12-C6-TOTAL_FIJOS_MES</f>
        <v>-241.70700273521425</v>
      </c>
      <c r="D15" s="138">
        <f>D12-D6-TOTAL_FIJOS_MES</f>
        <v>-420.41400547042849</v>
      </c>
      <c r="E15" s="138">
        <f>E12-E6-TOTAL_FIJOS_MES</f>
        <v>-777.82801094085698</v>
      </c>
    </row>
    <row r="18" spans="1:6" x14ac:dyDescent="0.2">
      <c r="A18" s="155" t="s">
        <v>1217</v>
      </c>
      <c r="B18" s="156"/>
      <c r="C18" s="156"/>
      <c r="D18" s="156"/>
      <c r="E18" s="156"/>
      <c r="F18" s="156"/>
    </row>
    <row r="19" spans="1:6" ht="28" customHeight="1" x14ac:dyDescent="0.2">
      <c r="A19" s="42" t="s">
        <v>1126</v>
      </c>
      <c r="B19" s="42" t="s">
        <v>1218</v>
      </c>
      <c r="C19" s="42" t="s">
        <v>1219</v>
      </c>
      <c r="D19" s="42" t="s">
        <v>1220</v>
      </c>
      <c r="E19" s="42" t="s">
        <v>1221</v>
      </c>
      <c r="F19" s="42" t="s">
        <v>1130</v>
      </c>
    </row>
    <row r="20" spans="1:6" x14ac:dyDescent="0.2">
      <c r="A20" s="109" t="s">
        <v>1163</v>
      </c>
      <c r="B20" s="114">
        <v>3</v>
      </c>
      <c r="C20" s="114">
        <v>4</v>
      </c>
      <c r="D20" s="114">
        <v>5</v>
      </c>
      <c r="E20" s="114">
        <v>6</v>
      </c>
      <c r="F20" s="107" t="s">
        <v>1222</v>
      </c>
    </row>
    <row r="21" spans="1:6" x14ac:dyDescent="0.2">
      <c r="A21" s="109" t="s">
        <v>1223</v>
      </c>
      <c r="B21" s="119">
        <f>(AOV/(1+IVA))*Margen_bruto_medio-VAR_COST_PER_ORDER</f>
        <v>110.10774977206549</v>
      </c>
      <c r="C21" s="119">
        <f>(AOV/(1+IVA))*Margen_bruto_medio-VAR_COST_PER_ORDER</f>
        <v>110.10774977206549</v>
      </c>
      <c r="D21" s="119">
        <f>(AOV/(1+IVA))*Margen_bruto_medio-VAR_COST_PER_ORDER</f>
        <v>110.10774977206549</v>
      </c>
      <c r="E21" s="119">
        <f>(AOV/(1+IVA))*Margen_bruto_medio-VAR_COST_PER_ORDER</f>
        <v>110.10774977206549</v>
      </c>
      <c r="F21" s="107" t="s">
        <v>1224</v>
      </c>
    </row>
    <row r="22" spans="1:6" x14ac:dyDescent="0.2">
      <c r="A22" s="109" t="s">
        <v>1225</v>
      </c>
      <c r="B22" s="119">
        <f>AOV/B20</f>
        <v>166.66666666666666</v>
      </c>
      <c r="C22" s="119">
        <f>AOV/C20</f>
        <v>125</v>
      </c>
      <c r="D22" s="119">
        <f>AOV/D20</f>
        <v>100</v>
      </c>
      <c r="E22" s="119">
        <f>AOV/E20</f>
        <v>83.333333333333329</v>
      </c>
      <c r="F22" s="107" t="s">
        <v>1226</v>
      </c>
    </row>
    <row r="23" spans="1:6" x14ac:dyDescent="0.2">
      <c r="A23" s="109" t="s">
        <v>1227</v>
      </c>
      <c r="B23" s="139" t="str">
        <f>IF(B21&gt;B22,"SI","NO")</f>
        <v>NO</v>
      </c>
      <c r="C23" s="139" t="str">
        <f>IF(C21&gt;C22,"SI","NO")</f>
        <v>NO</v>
      </c>
      <c r="D23" s="139" t="str">
        <f>IF(D21&gt;D22,"SI","NO")</f>
        <v>SI</v>
      </c>
      <c r="E23" s="139" t="str">
        <f>IF(E21&gt;E22,"SI","NO")</f>
        <v>SI</v>
      </c>
      <c r="F23" s="107" t="s">
        <v>1228</v>
      </c>
    </row>
    <row r="24" spans="1:6" x14ac:dyDescent="0.2">
      <c r="A24" s="109" t="s">
        <v>1229</v>
      </c>
      <c r="B24" s="119">
        <f>IF(B21&gt;B22,TOTAL_FIJOS_MES/(B21-B22)*B22,0)</f>
        <v>0</v>
      </c>
      <c r="C24" s="119">
        <f>IF(C21&gt;C22,TOTAL_FIJOS_MES/(C21-C22)*C22,0)</f>
        <v>0</v>
      </c>
      <c r="D24" s="119">
        <f>IF(D21&gt;D22,TOTAL_FIJOS_MES/(D21-D22)*D22,0)</f>
        <v>623.28412773050013</v>
      </c>
      <c r="E24" s="119">
        <f>IF(E21&gt;E22,TOTAL_FIJOS_MES/(E21-E22)*E22,0)</f>
        <v>196.08270499615045</v>
      </c>
      <c r="F24" s="107" t="s">
        <v>1230</v>
      </c>
    </row>
    <row r="25" spans="1:6" x14ac:dyDescent="0.2">
      <c r="A25" s="109" t="s">
        <v>1231</v>
      </c>
      <c r="B25" s="136">
        <f>IF(B21&gt;B22,TOTAL_FIJOS_MES/(B21-B22),0)</f>
        <v>0</v>
      </c>
      <c r="C25" s="136">
        <f>IF(C21&gt;C22,TOTAL_FIJOS_MES/(C21-C22),0)</f>
        <v>0</v>
      </c>
      <c r="D25" s="136">
        <f>IF(D21&gt;D22,TOTAL_FIJOS_MES/(D21-D22),0)</f>
        <v>6.2328412773050017</v>
      </c>
      <c r="E25" s="136">
        <f>IF(E21&gt;E22,TOTAL_FIJOS_MES/(E21-E22),0)</f>
        <v>2.3529924599538057</v>
      </c>
    </row>
    <row r="26" spans="1:6" x14ac:dyDescent="0.2">
      <c r="A26" s="109" t="s">
        <v>1232</v>
      </c>
      <c r="B26" s="119">
        <f>IF(B21&gt;B22,TOTAL_FIJOS_MES/(B21-B22)*AOV,0)</f>
        <v>0</v>
      </c>
      <c r="C26" s="119">
        <f>IF(C21&gt;C22,TOTAL_FIJOS_MES/(C21-C22)*AOV,0)</f>
        <v>0</v>
      </c>
      <c r="D26" s="119">
        <f>IF(D21&gt;D22,TOTAL_FIJOS_MES/(D21-D22)*AOV,0)</f>
        <v>3116.4206386525007</v>
      </c>
      <c r="E26" s="119">
        <f>IF(E21&gt;E22,TOTAL_FIJOS_MES/(E21-E22)*AOV,0)</f>
        <v>1176.4962299769029</v>
      </c>
    </row>
  </sheetData>
  <mergeCells count="4">
    <mergeCell ref="A2:F2"/>
    <mergeCell ref="A1:F1"/>
    <mergeCell ref="A18:F18"/>
    <mergeCell ref="A4:F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4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5" customWidth="1"/>
    <col min="2" max="2" width="10" customWidth="1"/>
    <col min="3" max="3" width="14" customWidth="1"/>
    <col min="4" max="4" width="38" customWidth="1"/>
    <col min="5" max="5" width="14" customWidth="1"/>
    <col min="6" max="7" width="16" customWidth="1"/>
    <col min="8" max="8" width="14" customWidth="1"/>
  </cols>
  <sheetData>
    <row r="1" spans="1:8" ht="28" customHeight="1" x14ac:dyDescent="0.2">
      <c r="A1" s="158" t="s">
        <v>1233</v>
      </c>
      <c r="B1" s="156"/>
      <c r="C1" s="156"/>
      <c r="D1" s="156"/>
      <c r="E1" s="156"/>
      <c r="F1" s="156"/>
      <c r="G1" s="156"/>
      <c r="H1" s="156"/>
    </row>
    <row r="2" spans="1:8" x14ac:dyDescent="0.2">
      <c r="A2" s="157" t="s">
        <v>1234</v>
      </c>
      <c r="B2" s="156"/>
      <c r="C2" s="156"/>
      <c r="D2" s="156"/>
      <c r="E2" s="156"/>
      <c r="F2" s="156"/>
      <c r="G2" s="156"/>
      <c r="H2" s="156"/>
    </row>
    <row r="4" spans="1:8" ht="28" customHeight="1" x14ac:dyDescent="0.2">
      <c r="A4" s="42" t="s">
        <v>1235</v>
      </c>
      <c r="B4" s="42" t="s">
        <v>111</v>
      </c>
      <c r="C4" s="42" t="s">
        <v>113</v>
      </c>
      <c r="D4" s="42" t="s">
        <v>114</v>
      </c>
      <c r="E4" s="42" t="s">
        <v>1184</v>
      </c>
      <c r="F4" s="42" t="s">
        <v>1191</v>
      </c>
      <c r="G4" s="42" t="s">
        <v>1192</v>
      </c>
      <c r="H4" s="42" t="s">
        <v>1195</v>
      </c>
    </row>
    <row r="5" spans="1:8" x14ac:dyDescent="0.2">
      <c r="A5" s="140">
        <v>1</v>
      </c>
      <c r="B5" s="55" t="str">
        <f>INDEX('02_UNIT_ECONOMICS_SKU'!$A:$A,MATCH(LARGE('02_UNIT_ECONOMICS_SKU'!$M$5:$M$1000,1),'02_UNIT_ECONOMICS_SKU'!$M$5:$M$1000,0)+4)</f>
        <v>Hevea</v>
      </c>
      <c r="C5" s="55" t="str">
        <f>INDEX('02_UNIT_ECONOMICS_SKU'!$B:$B,MATCH(LARGE('02_UNIT_ECONOMICS_SKU'!$M$5:$M$1000,1),'02_UNIT_ECONOMICS_SKU'!$M$5:$M$1000,0)+4)</f>
        <v>557-010885</v>
      </c>
      <c r="D5" s="55" t="str">
        <f>INDEX('02_UNIT_ECONOMICS_SKU'!$C:$C,MATCH(LARGE('02_UNIT_ECONOMICS_SKU'!$M$5:$M$1000,1),'02_UNIT_ECONOMICS_SKU'!$M$5:$M$1000,0)+4)</f>
        <v>BRANDON-8 SET SOFA 3 PLAZAS/SOFA/CANAPÉ</v>
      </c>
      <c r="E5" s="57">
        <f>INDEX('02_UNIT_ECONOMICS_SKU'!$F:$F,MATCH(LARGE('02_UNIT_ECONOMICS_SKU'!$M$5:$M$1000,1),'02_UNIT_ECONOMICS_SKU'!$M$5:$M$1000,0)+4)</f>
        <v>5245.3499999999995</v>
      </c>
      <c r="F5" s="57">
        <f>LARGE('02_UNIT_ECONOMICS_SKU'!$M$5:$M$1000,1)</f>
        <v>1488.9476500000001</v>
      </c>
      <c r="G5" s="126">
        <f>INDEX('02_UNIT_ECONOMICS_SKU'!$N:$N,MATCH(LARGE('02_UNIT_ECONOMICS_SKU'!$M$5:$M$1000,1),'02_UNIT_ECONOMICS_SKU'!$M$5:$M$1000,0)+4)</f>
        <v>0.34347119953863903</v>
      </c>
      <c r="H5" s="55" t="str">
        <f>INDEX('02_UNIT_ECONOMICS_SKU'!$Q:$Q,MATCH(LARGE('02_UNIT_ECONOMICS_SKU'!$M$5:$M$1000,1),'02_UNIT_ECONOMICS_SKU'!$M$5:$M$1000,0)+4)</f>
        <v>PUSH</v>
      </c>
    </row>
    <row r="6" spans="1:8" x14ac:dyDescent="0.2">
      <c r="A6" s="141">
        <v>2</v>
      </c>
      <c r="B6" s="61" t="str">
        <f>INDEX('02_UNIT_ECONOMICS_SKU'!$A:$A,MATCH(LARGE('02_UNIT_ECONOMICS_SKU'!$M$5:$M$1000,2),'02_UNIT_ECONOMICS_SKU'!$M$5:$M$1000,0)+4)</f>
        <v>Hevea</v>
      </c>
      <c r="C6" s="61" t="str">
        <f>INDEX('02_UNIT_ECONOMICS_SKU'!$B:$B,MATCH(LARGE('02_UNIT_ECONOMICS_SKU'!$M$5:$M$1000,2),'02_UNIT_ECONOMICS_SKU'!$M$5:$M$1000,0)+4)</f>
        <v>557-010483</v>
      </c>
      <c r="D6" s="61" t="str">
        <f>INDEX('02_UNIT_ECONOMICS_SKU'!$C:$C,MATCH(LARGE('02_UNIT_ECONOMICS_SKU'!$M$5:$M$1000,2),'02_UNIT_ECONOMICS_SKU'!$M$5:$M$1000,0)+4)</f>
        <v>BOLONIA XL-8 SET SOFA 3 PLAZAS/SOFA/CANAPÉ</v>
      </c>
      <c r="E6" s="63">
        <f>INDEX('02_UNIT_ECONOMICS_SKU'!$F:$F,MATCH(LARGE('02_UNIT_ECONOMICS_SKU'!$M$5:$M$1000,2),'02_UNIT_ECONOMICS_SKU'!$M$5:$M$1000,0)+4)</f>
        <v>4706.8999999999996</v>
      </c>
      <c r="F6" s="63">
        <f>LARGE('02_UNIT_ECONOMICS_SKU'!$M$5:$M$1000,2)</f>
        <v>1336.2551000000001</v>
      </c>
      <c r="G6" s="129">
        <f>INDEX('02_UNIT_ECONOMICS_SKU'!$N:$N,MATCH(LARGE('02_UNIT_ECONOMICS_SKU'!$M$5:$M$1000,2),'02_UNIT_ECONOMICS_SKU'!$M$5:$M$1000,0)+4)</f>
        <v>0.34351030848329051</v>
      </c>
      <c r="H6" s="61" t="str">
        <f>INDEX('02_UNIT_ECONOMICS_SKU'!$Q:$Q,MATCH(LARGE('02_UNIT_ECONOMICS_SKU'!$M$5:$M$1000,2),'02_UNIT_ECONOMICS_SKU'!$M$5:$M$1000,0)+4)</f>
        <v>PUSH</v>
      </c>
    </row>
    <row r="7" spans="1:8" x14ac:dyDescent="0.2">
      <c r="A7" s="140">
        <v>3</v>
      </c>
      <c r="B7" s="55" t="str">
        <f>INDEX('02_UNIT_ECONOMICS_SKU'!$A:$A,MATCH(LARGE('02_UNIT_ECONOMICS_SKU'!$M$5:$M$1000,3),'02_UNIT_ECONOMICS_SKU'!$M$5:$M$1000,0)+4)</f>
        <v>Hevea</v>
      </c>
      <c r="C7" s="55" t="str">
        <f>INDEX('02_UNIT_ECONOMICS_SKU'!$B:$B,MATCH(LARGE('02_UNIT_ECONOMICS_SKU'!$M$5:$M$1000,3),'02_UNIT_ECONOMICS_SKU'!$M$5:$M$1000,0)+4)</f>
        <v>557-010884</v>
      </c>
      <c r="D7" s="55" t="str">
        <f>INDEX('02_UNIT_ECONOMICS_SKU'!$C:$C,MATCH(LARGE('02_UNIT_ECONOMICS_SKU'!$M$5:$M$1000,3),'02_UNIT_ECONOMICS_SKU'!$M$5:$M$1000,0)+4)</f>
        <v>BRANDON-7 SET SOFA 2 PLAZAS/SOFA/CANAPÉ</v>
      </c>
      <c r="E7" s="57">
        <f>INDEX('02_UNIT_ECONOMICS_SKU'!$F:$F,MATCH(LARGE('02_UNIT_ECONOMICS_SKU'!$M$5:$M$1000,3),'02_UNIT_ECONOMICS_SKU'!$M$5:$M$1000,0)+4)</f>
        <v>4676.6499999999996</v>
      </c>
      <c r="F7" s="57">
        <f>LARGE('02_UNIT_ECONOMICS_SKU'!$M$5:$M$1000,3)</f>
        <v>1327.8903500000001</v>
      </c>
      <c r="G7" s="126">
        <f>INDEX('02_UNIT_ECONOMICS_SKU'!$N:$N,MATCH(LARGE('02_UNIT_ECONOMICS_SKU'!$M$5:$M$1000,3),'02_UNIT_ECONOMICS_SKU'!$M$5:$M$1000,0)+4)</f>
        <v>0.34356800776196639</v>
      </c>
      <c r="H7" s="55" t="str">
        <f>INDEX('02_UNIT_ECONOMICS_SKU'!$Q:$Q,MATCH(LARGE('02_UNIT_ECONOMICS_SKU'!$M$5:$M$1000,3),'02_UNIT_ECONOMICS_SKU'!$M$5:$M$1000,0)+4)</f>
        <v>PUSH</v>
      </c>
    </row>
    <row r="8" spans="1:8" x14ac:dyDescent="0.2">
      <c r="A8" s="141">
        <v>4</v>
      </c>
      <c r="B8" s="61" t="str">
        <f>INDEX('02_UNIT_ECONOMICS_SKU'!$A:$A,MATCH(LARGE('02_UNIT_ECONOMICS_SKU'!$M$5:$M$1000,4),'02_UNIT_ECONOMICS_SKU'!$M$5:$M$1000,0)+4)</f>
        <v>Hevea</v>
      </c>
      <c r="C8" s="61" t="str">
        <f>INDEX('02_UNIT_ECONOMICS_SKU'!$B:$B,MATCH(LARGE('02_UNIT_ECONOMICS_SKU'!$M$5:$M$1000,4),'02_UNIT_ECONOMICS_SKU'!$M$5:$M$1000,0)+4)</f>
        <v>558-0050</v>
      </c>
      <c r="D8" s="61" t="str">
        <f>INDEX('02_UNIT_ECONOMICS_SKU'!$C:$C,MATCH(LARGE('02_UNIT_ECONOMICS_SKU'!$M$5:$M$1000,4),'02_UNIT_ECONOMICS_SKU'!$M$5:$M$1000,0)+4)</f>
        <v>DIVA-8 BICOLOR SET SOFA 3 PLAZAS/SOFA/CANAPÉ</v>
      </c>
      <c r="E8" s="63">
        <f>INDEX('02_UNIT_ECONOMICS_SKU'!$F:$F,MATCH(LARGE('02_UNIT_ECONOMICS_SKU'!$M$5:$M$1000,4),'02_UNIT_ECONOMICS_SKU'!$M$5:$M$1000,0)+4)</f>
        <v>4404.3999999999996</v>
      </c>
      <c r="F8" s="63">
        <f>LARGE('02_UNIT_ECONOMICS_SKU'!$M$5:$M$1000,4)</f>
        <v>1249.6076</v>
      </c>
      <c r="G8" s="129">
        <f>INDEX('02_UNIT_ECONOMICS_SKU'!$N:$N,MATCH(LARGE('02_UNIT_ECONOMICS_SKU'!$M$5:$M$1000,4),'02_UNIT_ECONOMICS_SKU'!$M$5:$M$1000,0)+4)</f>
        <v>0.3432987912087912</v>
      </c>
      <c r="H8" s="61" t="str">
        <f>INDEX('02_UNIT_ECONOMICS_SKU'!$Q:$Q,MATCH(LARGE('02_UNIT_ECONOMICS_SKU'!$M$5:$M$1000,4),'02_UNIT_ECONOMICS_SKU'!$M$5:$M$1000,0)+4)</f>
        <v>PUSH</v>
      </c>
    </row>
    <row r="9" spans="1:8" x14ac:dyDescent="0.2">
      <c r="A9" s="140">
        <v>5</v>
      </c>
      <c r="B9" s="55" t="str">
        <f>INDEX('02_UNIT_ECONOMICS_SKU'!$A:$A,MATCH(LARGE('02_UNIT_ECONOMICS_SKU'!$M$5:$M$1000,5),'02_UNIT_ECONOMICS_SKU'!$M$5:$M$1000,0)+4)</f>
        <v>Hevea</v>
      </c>
      <c r="C9" s="55" t="str">
        <f>INDEX('02_UNIT_ECONOMICS_SKU'!$B:$B,MATCH(LARGE('02_UNIT_ECONOMICS_SKU'!$M$5:$M$1000,5),'02_UNIT_ECONOMICS_SKU'!$M$5:$M$1000,0)+4)</f>
        <v>557-010817</v>
      </c>
      <c r="D9" s="55" t="str">
        <f>INDEX('02_UNIT_ECONOMICS_SKU'!$C:$C,MATCH(LARGE('02_UNIT_ECONOMICS_SKU'!$M$5:$M$1000,5),'02_UNIT_ECONOMICS_SKU'!$M$5:$M$1000,0)+4)</f>
        <v>CUPRA-8 SET SOFÁ 3 PLAZAS / 3 SEATER SOFA SET / SET CANAPÉ 3 PLACES</v>
      </c>
      <c r="E9" s="57">
        <f>INDEX('02_UNIT_ECONOMICS_SKU'!$F:$F,MATCH(LARGE('02_UNIT_ECONOMICS_SKU'!$M$5:$M$1000,5),'02_UNIT_ECONOMICS_SKU'!$M$5:$M$1000,0)+4)</f>
        <v>4343.8999999999996</v>
      </c>
      <c r="F9" s="57">
        <f>LARGE('02_UNIT_ECONOMICS_SKU'!$M$5:$M$1000,5)</f>
        <v>1232.8781000000001</v>
      </c>
      <c r="G9" s="126">
        <f>INDEX('02_UNIT_ECONOMICS_SKU'!$N:$N,MATCH(LARGE('02_UNIT_ECONOMICS_SKU'!$M$5:$M$1000,5),'02_UNIT_ECONOMICS_SKU'!$M$5:$M$1000,0)+4)</f>
        <v>0.34342008356545967</v>
      </c>
      <c r="H9" s="55" t="str">
        <f>INDEX('02_UNIT_ECONOMICS_SKU'!$Q:$Q,MATCH(LARGE('02_UNIT_ECONOMICS_SKU'!$M$5:$M$1000,5),'02_UNIT_ECONOMICS_SKU'!$M$5:$M$1000,0)+4)</f>
        <v>PUSH</v>
      </c>
    </row>
    <row r="10" spans="1:8" x14ac:dyDescent="0.2">
      <c r="A10" s="141">
        <v>6</v>
      </c>
      <c r="B10" s="61" t="str">
        <f>INDEX('02_UNIT_ECONOMICS_SKU'!$A:$A,MATCH(LARGE('02_UNIT_ECONOMICS_SKU'!$M$5:$M$1000,6),'02_UNIT_ECONOMICS_SKU'!$M$5:$M$1000,0)+4)</f>
        <v>Hevea</v>
      </c>
      <c r="C10" s="61" t="str">
        <f>INDEX('02_UNIT_ECONOMICS_SKU'!$B:$B,MATCH(LARGE('02_UNIT_ECONOMICS_SKU'!$M$5:$M$1000,6),'02_UNIT_ECONOMICS_SKU'!$M$5:$M$1000,0)+4)</f>
        <v>557-010123</v>
      </c>
      <c r="D10" s="61" t="str">
        <f>INDEX('02_UNIT_ECONOMICS_SKU'!$C:$C,MATCH(LARGE('02_UNIT_ECONOMICS_SKU'!$M$5:$M$1000,6),'02_UNIT_ECONOMICS_SKU'!$M$5:$M$1000,0)+4)</f>
        <v>LOIRA-30 HPL SET SOFÁ RINCONERA / HPL CORNER SOFA SET / SET CANAPÉ D’ANGLE HPL</v>
      </c>
      <c r="E10" s="63">
        <f>INDEX('02_UNIT_ECONOMICS_SKU'!$F:$F,MATCH(LARGE('02_UNIT_ECONOMICS_SKU'!$M$5:$M$1000,6),'02_UNIT_ECONOMICS_SKU'!$M$5:$M$1000,0)+4)</f>
        <v>4222.8999999999996</v>
      </c>
      <c r="F10" s="63">
        <f>LARGE('02_UNIT_ECONOMICS_SKU'!$M$5:$M$1000,6)</f>
        <v>1198.4191000000001</v>
      </c>
      <c r="G10" s="129">
        <f>INDEX('02_UNIT_ECONOMICS_SKU'!$N:$N,MATCH(LARGE('02_UNIT_ECONOMICS_SKU'!$M$5:$M$1000,6),'02_UNIT_ECONOMICS_SKU'!$M$5:$M$1000,0)+4)</f>
        <v>0.34338656160458453</v>
      </c>
      <c r="H10" s="61" t="str">
        <f>INDEX('02_UNIT_ECONOMICS_SKU'!$Q:$Q,MATCH(LARGE('02_UNIT_ECONOMICS_SKU'!$M$5:$M$1000,6),'02_UNIT_ECONOMICS_SKU'!$M$5:$M$1000,0)+4)</f>
        <v>PUSH</v>
      </c>
    </row>
    <row r="11" spans="1:8" x14ac:dyDescent="0.2">
      <c r="A11" s="140">
        <v>7</v>
      </c>
      <c r="B11" s="55" t="str">
        <f>INDEX('02_UNIT_ECONOMICS_SKU'!$A:$A,MATCH(LARGE('02_UNIT_ECONOMICS_SKU'!$M$5:$M$1000,7),'02_UNIT_ECONOMICS_SKU'!$M$5:$M$1000,0)+4)</f>
        <v>Hevea</v>
      </c>
      <c r="C11" s="55" t="str">
        <f>INDEX('02_UNIT_ECONOMICS_SKU'!$B:$B,MATCH(LARGE('02_UNIT_ECONOMICS_SKU'!$M$5:$M$1000,7),'02_UNIT_ECONOMICS_SKU'!$M$5:$M$1000,0)+4)</f>
        <v>600-010027</v>
      </c>
      <c r="D11" s="55" t="str">
        <f>INDEX('02_UNIT_ECONOMICS_SKU'!$C:$C,MATCH(LARGE('02_UNIT_ECONOMICS_SKU'!$M$5:$M$1000,7),'02_UNIT_ECONOMICS_SKU'!$M$5:$M$1000,0)+4)</f>
        <v>YINA-8 SET SOFÁ 3 PLAZAS / 3 SEATER SOFA SET / SET CANAPÉ 3 PLACES</v>
      </c>
      <c r="E11" s="57">
        <f>INDEX('02_UNIT_ECONOMICS_SKU'!$F:$F,MATCH(LARGE('02_UNIT_ECONOMICS_SKU'!$M$5:$M$1000,7),'02_UNIT_ECONOMICS_SKU'!$M$5:$M$1000,0)+4)</f>
        <v>4192.6499999999996</v>
      </c>
      <c r="F11" s="57">
        <f>LARGE('02_UNIT_ECONOMICS_SKU'!$M$5:$M$1000,7)</f>
        <v>1190.0543500000001</v>
      </c>
      <c r="G11" s="126">
        <f>INDEX('02_UNIT_ECONOMICS_SKU'!$N:$N,MATCH(LARGE('02_UNIT_ECONOMICS_SKU'!$M$5:$M$1000,7),'02_UNIT_ECONOMICS_SKU'!$M$5:$M$1000,0)+4)</f>
        <v>0.3434500288600289</v>
      </c>
      <c r="H11" s="55" t="str">
        <f>INDEX('02_UNIT_ECONOMICS_SKU'!$Q:$Q,MATCH(LARGE('02_UNIT_ECONOMICS_SKU'!$M$5:$M$1000,7),'02_UNIT_ECONOMICS_SKU'!$M$5:$M$1000,0)+4)</f>
        <v>PUSH</v>
      </c>
    </row>
    <row r="12" spans="1:8" x14ac:dyDescent="0.2">
      <c r="A12" s="141">
        <v>8</v>
      </c>
      <c r="B12" s="61" t="str">
        <f>INDEX('02_UNIT_ECONOMICS_SKU'!$A:$A,MATCH(LARGE('02_UNIT_ECONOMICS_SKU'!$M$5:$M$1000,8),'02_UNIT_ECONOMICS_SKU'!$M$5:$M$1000,0)+4)</f>
        <v>Hevea</v>
      </c>
      <c r="C12" s="61" t="str">
        <f>INDEX('02_UNIT_ECONOMICS_SKU'!$B:$B,MATCH(LARGE('02_UNIT_ECONOMICS_SKU'!$M$5:$M$1000,8),'02_UNIT_ECONOMICS_SKU'!$M$5:$M$1000,0)+4)</f>
        <v>557-0793</v>
      </c>
      <c r="D12" s="61" t="str">
        <f>INDEX('02_UNIT_ECONOMICS_SKU'!$C:$C,MATCH(LARGE('02_UNIT_ECONOMICS_SKU'!$M$5:$M$1000,8),'02_UNIT_ECONOMICS_SKU'!$M$5:$M$1000,0)+4)</f>
        <v>BOLONIA XL-7 SET SOFA 2 PLAZAS/SOFA/CANAPÉ</v>
      </c>
      <c r="E12" s="63">
        <f>INDEX('02_UNIT_ECONOMICS_SKU'!$F:$F,MATCH(LARGE('02_UNIT_ECONOMICS_SKU'!$M$5:$M$1000,8),'02_UNIT_ECONOMICS_SKU'!$M$5:$M$1000,0)+4)</f>
        <v>4174.5</v>
      </c>
      <c r="F12" s="63">
        <f>LARGE('02_UNIT_ECONOMICS_SKU'!$M$5:$M$1000,8)</f>
        <v>1184.4355</v>
      </c>
      <c r="G12" s="129">
        <f>INDEX('02_UNIT_ECONOMICS_SKU'!$N:$N,MATCH(LARGE('02_UNIT_ECONOMICS_SKU'!$M$5:$M$1000,8),'02_UNIT_ECONOMICS_SKU'!$M$5:$M$1000,0)+4)</f>
        <v>0.34331463768115944</v>
      </c>
      <c r="H12" s="61" t="str">
        <f>INDEX('02_UNIT_ECONOMICS_SKU'!$Q:$Q,MATCH(LARGE('02_UNIT_ECONOMICS_SKU'!$M$5:$M$1000,8),'02_UNIT_ECONOMICS_SKU'!$M$5:$M$1000,0)+4)</f>
        <v>PUSH</v>
      </c>
    </row>
    <row r="13" spans="1:8" x14ac:dyDescent="0.2">
      <c r="A13" s="140">
        <v>9</v>
      </c>
      <c r="B13" s="55" t="str">
        <f>INDEX('02_UNIT_ECONOMICS_SKU'!$A:$A,MATCH(LARGE('02_UNIT_ECONOMICS_SKU'!$M$5:$M$1000,9),'02_UNIT_ECONOMICS_SKU'!$M$5:$M$1000,0)+4)</f>
        <v>Hevea</v>
      </c>
      <c r="C13" s="55" t="str">
        <f>INDEX('02_UNIT_ECONOMICS_SKU'!$B:$B,MATCH(LARGE('02_UNIT_ECONOMICS_SKU'!$M$5:$M$1000,9),'02_UNIT_ECONOMICS_SKU'!$M$5:$M$1000,0)+4)</f>
        <v>558-0066</v>
      </c>
      <c r="D13" s="55" t="str">
        <f>INDEX('02_UNIT_ECONOMICS_SKU'!$C:$C,MATCH(LARGE('02_UNIT_ECONOMICS_SKU'!$M$5:$M$1000,9),'02_UNIT_ECONOMICS_SKU'!$M$5:$M$1000,0)+4)</f>
        <v>DIVA-7 BICOLOR SET SOFA 2 PLAZAS/SOFA/CANAPÉ</v>
      </c>
      <c r="E13" s="57">
        <f>INDEX('02_UNIT_ECONOMICS_SKU'!$F:$F,MATCH(LARGE('02_UNIT_ECONOMICS_SKU'!$M$5:$M$1000,9),'02_UNIT_ECONOMICS_SKU'!$M$5:$M$1000,0)+4)</f>
        <v>3962.75</v>
      </c>
      <c r="F13" s="57">
        <f>LARGE('02_UNIT_ECONOMICS_SKU'!$M$5:$M$1000,9)</f>
        <v>1123.8822500000001</v>
      </c>
      <c r="G13" s="126">
        <f>INDEX('02_UNIT_ECONOMICS_SKU'!$N:$N,MATCH(LARGE('02_UNIT_ECONOMICS_SKU'!$M$5:$M$1000,9),'02_UNIT_ECONOMICS_SKU'!$M$5:$M$1000,0)+4)</f>
        <v>0.34317015267175577</v>
      </c>
      <c r="H13" s="55" t="str">
        <f>INDEX('02_UNIT_ECONOMICS_SKU'!$Q:$Q,MATCH(LARGE('02_UNIT_ECONOMICS_SKU'!$M$5:$M$1000,9),'02_UNIT_ECONOMICS_SKU'!$M$5:$M$1000,0)+4)</f>
        <v>PUSH</v>
      </c>
    </row>
    <row r="14" spans="1:8" x14ac:dyDescent="0.2">
      <c r="A14" s="141">
        <v>10</v>
      </c>
      <c r="B14" s="61" t="str">
        <f>INDEX('02_UNIT_ECONOMICS_SKU'!$A:$A,MATCH(LARGE('02_UNIT_ECONOMICS_SKU'!$M$5:$M$1000,10),'02_UNIT_ECONOMICS_SKU'!$M$5:$M$1000,0)+4)</f>
        <v>Hevea</v>
      </c>
      <c r="C14" s="61" t="str">
        <f>INDEX('02_UNIT_ECONOMICS_SKU'!$B:$B,MATCH(LARGE('02_UNIT_ECONOMICS_SKU'!$M$5:$M$1000,10),'02_UNIT_ECONOMICS_SKU'!$M$5:$M$1000,0)+4)</f>
        <v>557-010816</v>
      </c>
      <c r="D14" s="61" t="str">
        <f>INDEX('02_UNIT_ECONOMICS_SKU'!$C:$C,MATCH(LARGE('02_UNIT_ECONOMICS_SKU'!$M$5:$M$1000,10),'02_UNIT_ECONOMICS_SKU'!$M$5:$M$1000,0)+4)</f>
        <v>CUPRA-7 SET SOFÁ 2 PLAZAS / 2 SEATER SOFA SET / SET CANAPÉ 2 PLACES</v>
      </c>
      <c r="E14" s="63">
        <f>INDEX('02_UNIT_ECONOMICS_SKU'!$F:$F,MATCH(LARGE('02_UNIT_ECONOMICS_SKU'!$M$5:$M$1000,10),'02_UNIT_ECONOMICS_SKU'!$M$5:$M$1000,0)+4)</f>
        <v>3823.6</v>
      </c>
      <c r="F14" s="63">
        <f>LARGE('02_UNIT_ECONOMICS_SKU'!$M$5:$M$1000,10)</f>
        <v>1084.8044</v>
      </c>
      <c r="G14" s="129">
        <f>INDEX('02_UNIT_ECONOMICS_SKU'!$N:$N,MATCH(LARGE('02_UNIT_ECONOMICS_SKU'!$M$5:$M$1000,10),'02_UNIT_ECONOMICS_SKU'!$M$5:$M$1000,0)+4)</f>
        <v>0.34329253164556961</v>
      </c>
      <c r="H14" s="61" t="str">
        <f>INDEX('02_UNIT_ECONOMICS_SKU'!$Q:$Q,MATCH(LARGE('02_UNIT_ECONOMICS_SKU'!$M$5:$M$1000,10),'02_UNIT_ECONOMICS_SKU'!$M$5:$M$1000,0)+4)</f>
        <v>PUSH</v>
      </c>
    </row>
    <row r="15" spans="1:8" x14ac:dyDescent="0.2">
      <c r="A15" s="140">
        <v>11</v>
      </c>
      <c r="B15" s="55" t="str">
        <f>INDEX('02_UNIT_ECONOMICS_SKU'!$A:$A,MATCH(LARGE('02_UNIT_ECONOMICS_SKU'!$M$5:$M$1000,11),'02_UNIT_ECONOMICS_SKU'!$M$5:$M$1000,0)+4)</f>
        <v>Hevea</v>
      </c>
      <c r="C15" s="55" t="str">
        <f>INDEX('02_UNIT_ECONOMICS_SKU'!$B:$B,MATCH(LARGE('02_UNIT_ECONOMICS_SKU'!$M$5:$M$1000,11),'02_UNIT_ECONOMICS_SKU'!$M$5:$M$1000,0)+4)</f>
        <v>600-010026</v>
      </c>
      <c r="D15" s="55" t="str">
        <f>INDEX('02_UNIT_ECONOMICS_SKU'!$C:$C,MATCH(LARGE('02_UNIT_ECONOMICS_SKU'!$M$5:$M$1000,11),'02_UNIT_ECONOMICS_SKU'!$M$5:$M$1000,0)+4)</f>
        <v>YINA-7 SET SOFÁ 2 PLAZAS / 2 SEATER SOFA SET / SET CANAPÉ 2 PLACES</v>
      </c>
      <c r="E15" s="57">
        <f>INDEX('02_UNIT_ECONOMICS_SKU'!$F:$F,MATCH(LARGE('02_UNIT_ECONOMICS_SKU'!$M$5:$M$1000,11),'02_UNIT_ECONOMICS_SKU'!$M$5:$M$1000,0)+4)</f>
        <v>3817.5499999999997</v>
      </c>
      <c r="F15" s="57">
        <f>LARGE('02_UNIT_ECONOMICS_SKU'!$M$5:$M$1000,11)</f>
        <v>1082.93145</v>
      </c>
      <c r="G15" s="126">
        <f>INDEX('02_UNIT_ECONOMICS_SKU'!$N:$N,MATCH(LARGE('02_UNIT_ECONOMICS_SKU'!$M$5:$M$1000,11),'02_UNIT_ECONOMICS_SKU'!$M$5:$M$1000,0)+4)</f>
        <v>0.34324293185419968</v>
      </c>
      <c r="H15" s="55" t="str">
        <f>INDEX('02_UNIT_ECONOMICS_SKU'!$Q:$Q,MATCH(LARGE('02_UNIT_ECONOMICS_SKU'!$M$5:$M$1000,11),'02_UNIT_ECONOMICS_SKU'!$M$5:$M$1000,0)+4)</f>
        <v>PUSH</v>
      </c>
    </row>
    <row r="16" spans="1:8" x14ac:dyDescent="0.2">
      <c r="A16" s="141">
        <v>12</v>
      </c>
      <c r="B16" s="61" t="str">
        <f>INDEX('02_UNIT_ECONOMICS_SKU'!$A:$A,MATCH(LARGE('02_UNIT_ECONOMICS_SKU'!$M$5:$M$1000,12),'02_UNIT_ECONOMICS_SKU'!$M$5:$M$1000,0)+4)</f>
        <v>Hevea</v>
      </c>
      <c r="C16" s="61" t="str">
        <f>INDEX('02_UNIT_ECONOMICS_SKU'!$B:$B,MATCH(LARGE('02_UNIT_ECONOMICS_SKU'!$M$5:$M$1000,12),'02_UNIT_ECONOMICS_SKU'!$M$5:$M$1000,0)+4)</f>
        <v>600-010026</v>
      </c>
      <c r="D16" s="61" t="str">
        <f>INDEX('02_UNIT_ECONOMICS_SKU'!$C:$C,MATCH(LARGE('02_UNIT_ECONOMICS_SKU'!$M$5:$M$1000,12),'02_UNIT_ECONOMICS_SKU'!$M$5:$M$1000,0)+4)</f>
        <v>YINA-7 SET SOFÁ 2 PLAZAS / 2 SEATER SOFA SET / SET CANAPÉ 2 PLACES</v>
      </c>
      <c r="E16" s="63">
        <f>INDEX('02_UNIT_ECONOMICS_SKU'!$F:$F,MATCH(LARGE('02_UNIT_ECONOMICS_SKU'!$M$5:$M$1000,12),'02_UNIT_ECONOMICS_SKU'!$M$5:$M$1000,0)+4)</f>
        <v>3817.5499999999997</v>
      </c>
      <c r="F16" s="63">
        <f>LARGE('02_UNIT_ECONOMICS_SKU'!$M$5:$M$1000,12)</f>
        <v>1082.93145</v>
      </c>
      <c r="G16" s="129">
        <f>INDEX('02_UNIT_ECONOMICS_SKU'!$N:$N,MATCH(LARGE('02_UNIT_ECONOMICS_SKU'!$M$5:$M$1000,12),'02_UNIT_ECONOMICS_SKU'!$M$5:$M$1000,0)+4)</f>
        <v>0.34324293185419968</v>
      </c>
      <c r="H16" s="61" t="str">
        <f>INDEX('02_UNIT_ECONOMICS_SKU'!$Q:$Q,MATCH(LARGE('02_UNIT_ECONOMICS_SKU'!$M$5:$M$1000,12),'02_UNIT_ECONOMICS_SKU'!$M$5:$M$1000,0)+4)</f>
        <v>PUSH</v>
      </c>
    </row>
    <row r="17" spans="1:8" x14ac:dyDescent="0.2">
      <c r="A17" s="140">
        <v>13</v>
      </c>
      <c r="B17" s="55" t="str">
        <f>INDEX('02_UNIT_ECONOMICS_SKU'!$A:$A,MATCH(LARGE('02_UNIT_ECONOMICS_SKU'!$M$5:$M$1000,13),'02_UNIT_ECONOMICS_SKU'!$M$5:$M$1000,0)+4)</f>
        <v>Hevea</v>
      </c>
      <c r="C17" s="55" t="str">
        <f>INDEX('02_UNIT_ECONOMICS_SKU'!$B:$B,MATCH(LARGE('02_UNIT_ECONOMICS_SKU'!$M$5:$M$1000,13),'02_UNIT_ECONOMICS_SKU'!$M$5:$M$1000,0)+4)</f>
        <v>557-010026</v>
      </c>
      <c r="D17" s="55" t="str">
        <f>INDEX('02_UNIT_ECONOMICS_SKU'!$C:$C,MATCH(LARGE('02_UNIT_ECONOMICS_SKU'!$M$5:$M$1000,13),'02_UNIT_ECONOMICS_SKU'!$M$5:$M$1000,0)+4)</f>
        <v>LOIRA-8 HPL SET SOFÁ RINCONERA / HPL CORNER SOFA SET / SET CANAPÉ D’ANGLE HPL</v>
      </c>
      <c r="E17" s="57">
        <f>INDEX('02_UNIT_ECONOMICS_SKU'!$F:$F,MATCH(LARGE('02_UNIT_ECONOMICS_SKU'!$M$5:$M$1000,13),'02_UNIT_ECONOMICS_SKU'!$M$5:$M$1000,0)+4)</f>
        <v>3793.35</v>
      </c>
      <c r="F17" s="57">
        <f>LARGE('02_UNIT_ECONOMICS_SKU'!$M$5:$M$1000,13)</f>
        <v>1075.43965</v>
      </c>
      <c r="G17" s="126">
        <f>INDEX('02_UNIT_ECONOMICS_SKU'!$N:$N,MATCH(LARGE('02_UNIT_ECONOMICS_SKU'!$M$5:$M$1000,13),'02_UNIT_ECONOMICS_SKU'!$M$5:$M$1000,0)+4)</f>
        <v>0.34304295055821371</v>
      </c>
      <c r="H17" s="55" t="str">
        <f>INDEX('02_UNIT_ECONOMICS_SKU'!$Q:$Q,MATCH(LARGE('02_UNIT_ECONOMICS_SKU'!$M$5:$M$1000,13),'02_UNIT_ECONOMICS_SKU'!$M$5:$M$1000,0)+4)</f>
        <v>PUSH</v>
      </c>
    </row>
    <row r="18" spans="1:8" x14ac:dyDescent="0.2">
      <c r="A18" s="141">
        <v>14</v>
      </c>
      <c r="B18" s="61" t="str">
        <f>INDEX('02_UNIT_ECONOMICS_SKU'!$A:$A,MATCH(LARGE('02_UNIT_ECONOMICS_SKU'!$M$5:$M$1000,14),'02_UNIT_ECONOMICS_SKU'!$M$5:$M$1000,0)+4)</f>
        <v>Hevea</v>
      </c>
      <c r="C18" s="61" t="str">
        <f>INDEX('02_UNIT_ECONOMICS_SKU'!$B:$B,MATCH(LARGE('02_UNIT_ECONOMICS_SKU'!$M$5:$M$1000,14),'02_UNIT_ECONOMICS_SKU'!$M$5:$M$1000,0)+4)</f>
        <v>557-010939</v>
      </c>
      <c r="D18" s="61" t="str">
        <f>INDEX('02_UNIT_ECONOMICS_SKU'!$C:$C,MATCH(LARGE('02_UNIT_ECONOMICS_SKU'!$M$5:$M$1000,14),'02_UNIT_ECONOMICS_SKU'!$M$5:$M$1000,0)+4)</f>
        <v>SET DAMASCO 8 / 3 SEATER SOFA SET / SET CANAPÉ 3 PLACES</v>
      </c>
      <c r="E18" s="63">
        <f>INDEX('02_UNIT_ECONOMICS_SKU'!$F:$F,MATCH(LARGE('02_UNIT_ECONOMICS_SKU'!$M$5:$M$1000,14),'02_UNIT_ECONOMICS_SKU'!$M$5:$M$1000,0)+4)</f>
        <v>3539.25</v>
      </c>
      <c r="F18" s="63">
        <f>LARGE('02_UNIT_ECONOMICS_SKU'!$M$5:$M$1000,14)</f>
        <v>1003.77575</v>
      </c>
      <c r="G18" s="129">
        <f>INDEX('02_UNIT_ECONOMICS_SKU'!$N:$N,MATCH(LARGE('02_UNIT_ECONOMICS_SKU'!$M$5:$M$1000,14),'02_UNIT_ECONOMICS_SKU'!$M$5:$M$1000,0)+4)</f>
        <v>0.3431711965811966</v>
      </c>
      <c r="H18" s="61" t="str">
        <f>INDEX('02_UNIT_ECONOMICS_SKU'!$Q:$Q,MATCH(LARGE('02_UNIT_ECONOMICS_SKU'!$M$5:$M$1000,14),'02_UNIT_ECONOMICS_SKU'!$M$5:$M$1000,0)+4)</f>
        <v>PUSH</v>
      </c>
    </row>
    <row r="19" spans="1:8" x14ac:dyDescent="0.2">
      <c r="A19" s="140">
        <v>15</v>
      </c>
      <c r="B19" s="55" t="str">
        <f>INDEX('02_UNIT_ECONOMICS_SKU'!$A:$A,MATCH(LARGE('02_UNIT_ECONOMICS_SKU'!$M$5:$M$1000,15),'02_UNIT_ECONOMICS_SKU'!$M$5:$M$1000,0)+4)</f>
        <v>Hevea</v>
      </c>
      <c r="C19" s="55" t="str">
        <f>INDEX('02_UNIT_ECONOMICS_SKU'!$B:$B,MATCH(LARGE('02_UNIT_ECONOMICS_SKU'!$M$5:$M$1000,15),'02_UNIT_ECONOMICS_SKU'!$M$5:$M$1000,0)+4)</f>
        <v>557-1095</v>
      </c>
      <c r="D19" s="55" t="str">
        <f>INDEX('02_UNIT_ECONOMICS_SKU'!$C:$C,MATCH(LARGE('02_UNIT_ECONOMICS_SKU'!$M$5:$M$1000,15),'02_UNIT_ECONOMICS_SKU'!$M$5:$M$1000,0)+4)</f>
        <v>BELLAGIO-8 SET SOFÁ 3 PLAZAS / 3 SEATER SOFA SET / SET CANAPÉ 3 PLACES</v>
      </c>
      <c r="E19" s="57">
        <f>INDEX('02_UNIT_ECONOMICS_SKU'!$F:$F,MATCH(LARGE('02_UNIT_ECONOMICS_SKU'!$M$5:$M$1000,15),'02_UNIT_ECONOMICS_SKU'!$M$5:$M$1000,0)+4)</f>
        <v>3448.5</v>
      </c>
      <c r="F19" s="57">
        <f>LARGE('02_UNIT_ECONOMICS_SKU'!$M$5:$M$1000,15)</f>
        <v>977.68150000000003</v>
      </c>
      <c r="G19" s="126">
        <f>INDEX('02_UNIT_ECONOMICS_SKU'!$N:$N,MATCH(LARGE('02_UNIT_ECONOMICS_SKU'!$M$5:$M$1000,15),'02_UNIT_ECONOMICS_SKU'!$M$5:$M$1000,0)+4)</f>
        <v>0.34304614035087722</v>
      </c>
      <c r="H19" s="55" t="str">
        <f>INDEX('02_UNIT_ECONOMICS_SKU'!$Q:$Q,MATCH(LARGE('02_UNIT_ECONOMICS_SKU'!$M$5:$M$1000,15),'02_UNIT_ECONOMICS_SKU'!$M$5:$M$1000,0)+4)</f>
        <v>PUSH</v>
      </c>
    </row>
    <row r="20" spans="1:8" x14ac:dyDescent="0.2">
      <c r="A20" s="141">
        <v>16</v>
      </c>
      <c r="B20" s="61" t="str">
        <f>INDEX('02_UNIT_ECONOMICS_SKU'!$A:$A,MATCH(LARGE('02_UNIT_ECONOMICS_SKU'!$M$5:$M$1000,16),'02_UNIT_ECONOMICS_SKU'!$M$5:$M$1000,0)+4)</f>
        <v>Hevea</v>
      </c>
      <c r="C20" s="61" t="str">
        <f>INDEX('02_UNIT_ECONOMICS_SKU'!$B:$B,MATCH(LARGE('02_UNIT_ECONOMICS_SKU'!$M$5:$M$1000,16),'02_UNIT_ECONOMICS_SKU'!$M$5:$M$1000,0)+4)</f>
        <v>557-010730</v>
      </c>
      <c r="D20" s="61" t="str">
        <f>INDEX('02_UNIT_ECONOMICS_SKU'!$C:$C,MATCH(LARGE('02_UNIT_ECONOMICS_SKU'!$M$5:$M$1000,16),'02_UNIT_ECONOMICS_SKU'!$M$5:$M$1000,0)+4)</f>
        <v>ALBANIA-8 SET SOFÁ 3 PLAZAS / 3 SEATER SOFA SET / SET CANAPÉ 3 PLACES</v>
      </c>
      <c r="E20" s="63">
        <f>INDEX('02_UNIT_ECONOMICS_SKU'!$F:$F,MATCH(LARGE('02_UNIT_ECONOMICS_SKU'!$M$5:$M$1000,16),'02_UNIT_ECONOMICS_SKU'!$M$5:$M$1000,0)+4)</f>
        <v>3139.95</v>
      </c>
      <c r="F20" s="63">
        <f>LARGE('02_UNIT_ECONOMICS_SKU'!$M$5:$M$1000,16)</f>
        <v>890.16104999999993</v>
      </c>
      <c r="G20" s="129">
        <f>INDEX('02_UNIT_ECONOMICS_SKU'!$N:$N,MATCH(LARGE('02_UNIT_ECONOMICS_SKU'!$M$5:$M$1000,16),'02_UNIT_ECONOMICS_SKU'!$M$5:$M$1000,0)+4)</f>
        <v>0.34302930635838147</v>
      </c>
      <c r="H20" s="61" t="str">
        <f>INDEX('02_UNIT_ECONOMICS_SKU'!$Q:$Q,MATCH(LARGE('02_UNIT_ECONOMICS_SKU'!$M$5:$M$1000,16),'02_UNIT_ECONOMICS_SKU'!$M$5:$M$1000,0)+4)</f>
        <v>PUSH</v>
      </c>
    </row>
    <row r="21" spans="1:8" x14ac:dyDescent="0.2">
      <c r="A21" s="140">
        <v>17</v>
      </c>
      <c r="B21" s="55" t="str">
        <f>INDEX('02_UNIT_ECONOMICS_SKU'!$A:$A,MATCH(LARGE('02_UNIT_ECONOMICS_SKU'!$M$5:$M$1000,17),'02_UNIT_ECONOMICS_SKU'!$M$5:$M$1000,0)+4)</f>
        <v>Hevea</v>
      </c>
      <c r="C21" s="55" t="str">
        <f>INDEX('02_UNIT_ECONOMICS_SKU'!$B:$B,MATCH(LARGE('02_UNIT_ECONOMICS_SKU'!$M$5:$M$1000,17),'02_UNIT_ECONOMICS_SKU'!$M$5:$M$1000,0)+4)</f>
        <v>557-010938</v>
      </c>
      <c r="D21" s="55" t="str">
        <f>INDEX('02_UNIT_ECONOMICS_SKU'!$C:$C,MATCH(LARGE('02_UNIT_ECONOMICS_SKU'!$M$5:$M$1000,17),'02_UNIT_ECONOMICS_SKU'!$M$5:$M$1000,0)+4)</f>
        <v>SET DAMASCO 7 / 2 SEATER SOFA SET / SET CANAPÉ 2 PLACES</v>
      </c>
      <c r="E21" s="57">
        <f>INDEX('02_UNIT_ECONOMICS_SKU'!$F:$F,MATCH(LARGE('02_UNIT_ECONOMICS_SKU'!$M$5:$M$1000,17),'02_UNIT_ECONOMICS_SKU'!$M$5:$M$1000,0)+4)</f>
        <v>3091.5499999999997</v>
      </c>
      <c r="F21" s="57">
        <f>LARGE('02_UNIT_ECONOMICS_SKU'!$M$5:$M$1000,17)</f>
        <v>876.17745000000002</v>
      </c>
      <c r="G21" s="126">
        <f>INDEX('02_UNIT_ECONOMICS_SKU'!$N:$N,MATCH(LARGE('02_UNIT_ECONOMICS_SKU'!$M$5:$M$1000,17),'02_UNIT_ECONOMICS_SKU'!$M$5:$M$1000,0)+4)</f>
        <v>0.34292659491193739</v>
      </c>
      <c r="H21" s="55" t="str">
        <f>INDEX('02_UNIT_ECONOMICS_SKU'!$Q:$Q,MATCH(LARGE('02_UNIT_ECONOMICS_SKU'!$M$5:$M$1000,17),'02_UNIT_ECONOMICS_SKU'!$M$5:$M$1000,0)+4)</f>
        <v>PUSH</v>
      </c>
    </row>
    <row r="22" spans="1:8" x14ac:dyDescent="0.2">
      <c r="A22" s="141">
        <v>18</v>
      </c>
      <c r="B22" s="61" t="str">
        <f>INDEX('02_UNIT_ECONOMICS_SKU'!$A:$A,MATCH(LARGE('02_UNIT_ECONOMICS_SKU'!$M$5:$M$1000,18),'02_UNIT_ECONOMICS_SKU'!$M$5:$M$1000,0)+4)</f>
        <v>Hevea</v>
      </c>
      <c r="C22" s="61" t="str">
        <f>INDEX('02_UNIT_ECONOMICS_SKU'!$B:$B,MATCH(LARGE('02_UNIT_ECONOMICS_SKU'!$M$5:$M$1000,18),'02_UNIT_ECONOMICS_SKU'!$M$5:$M$1000,0)+4)</f>
        <v>557-1094</v>
      </c>
      <c r="D22" s="61" t="str">
        <f>INDEX('02_UNIT_ECONOMICS_SKU'!$C:$C,MATCH(LARGE('02_UNIT_ECONOMICS_SKU'!$M$5:$M$1000,18),'02_UNIT_ECONOMICS_SKU'!$M$5:$M$1000,0)+4)</f>
        <v>BELLAGIO-7 SET SOFÁ 2 PLAZAS / 2 SEATER SOFA SET / SET CANAPÉ 2 PLACES</v>
      </c>
      <c r="E22" s="63">
        <f>INDEX('02_UNIT_ECONOMICS_SKU'!$F:$F,MATCH(LARGE('02_UNIT_ECONOMICS_SKU'!$M$5:$M$1000,18),'02_UNIT_ECONOMICS_SKU'!$M$5:$M$1000,0)+4)</f>
        <v>3012.9</v>
      </c>
      <c r="F22" s="63">
        <f>LARGE('02_UNIT_ECONOMICS_SKU'!$M$5:$M$1000,18)</f>
        <v>853.82909999999993</v>
      </c>
      <c r="G22" s="129">
        <f>INDEX('02_UNIT_ECONOMICS_SKU'!$N:$N,MATCH(LARGE('02_UNIT_ECONOMICS_SKU'!$M$5:$M$1000,18),'02_UNIT_ECONOMICS_SKU'!$M$5:$M$1000,0)+4)</f>
        <v>0.34290325301204816</v>
      </c>
      <c r="H22" s="61" t="str">
        <f>INDEX('02_UNIT_ECONOMICS_SKU'!$Q:$Q,MATCH(LARGE('02_UNIT_ECONOMICS_SKU'!$M$5:$M$1000,18),'02_UNIT_ECONOMICS_SKU'!$M$5:$M$1000,0)+4)</f>
        <v>PUSH</v>
      </c>
    </row>
    <row r="23" spans="1:8" x14ac:dyDescent="0.2">
      <c r="A23" s="140">
        <v>19</v>
      </c>
      <c r="B23" s="55" t="str">
        <f>INDEX('02_UNIT_ECONOMICS_SKU'!$A:$A,MATCH(LARGE('02_UNIT_ECONOMICS_SKU'!$M$5:$M$1000,19),'02_UNIT_ECONOMICS_SKU'!$M$5:$M$1000,0)+4)</f>
        <v>Hevea</v>
      </c>
      <c r="C23" s="55" t="str">
        <f>INDEX('02_UNIT_ECONOMICS_SKU'!$B:$B,MATCH(LARGE('02_UNIT_ECONOMICS_SKU'!$M$5:$M$1000,19),'02_UNIT_ECONOMICS_SKU'!$M$5:$M$1000,0)+4)</f>
        <v>557-010720</v>
      </c>
      <c r="D23" s="55" t="str">
        <f>INDEX('02_UNIT_ECONOMICS_SKU'!$C:$C,MATCH(LARGE('02_UNIT_ECONOMICS_SKU'!$M$5:$M$1000,19),'02_UNIT_ECONOMICS_SKU'!$M$5:$M$1000,0)+4)</f>
        <v>LEISA-8 SET SOFA 3 PLAZAS/SOFA/CANAPÉ</v>
      </c>
      <c r="E23" s="57">
        <f>INDEX('02_UNIT_ECONOMICS_SKU'!$F:$F,MATCH(LARGE('02_UNIT_ECONOMICS_SKU'!$M$5:$M$1000,19),'02_UNIT_ECONOMICS_SKU'!$M$5:$M$1000,0)+4)</f>
        <v>2897.95</v>
      </c>
      <c r="F23" s="57">
        <f>LARGE('02_UNIT_ECONOMICS_SKU'!$M$5:$M$1000,19)</f>
        <v>821.24304999999993</v>
      </c>
      <c r="G23" s="126">
        <f>INDEX('02_UNIT_ECONOMICS_SKU'!$N:$N,MATCH(LARGE('02_UNIT_ECONOMICS_SKU'!$M$5:$M$1000,19),'02_UNIT_ECONOMICS_SKU'!$M$5:$M$1000,0)+4)</f>
        <v>0.34289897703549055</v>
      </c>
      <c r="H23" s="55" t="str">
        <f>INDEX('02_UNIT_ECONOMICS_SKU'!$Q:$Q,MATCH(LARGE('02_UNIT_ECONOMICS_SKU'!$M$5:$M$1000,19),'02_UNIT_ECONOMICS_SKU'!$M$5:$M$1000,0)+4)</f>
        <v>PUSH</v>
      </c>
    </row>
    <row r="24" spans="1:8" x14ac:dyDescent="0.2">
      <c r="A24" s="141">
        <v>20</v>
      </c>
      <c r="B24" s="61" t="str">
        <f>INDEX('02_UNIT_ECONOMICS_SKU'!$A:$A,MATCH(LARGE('02_UNIT_ECONOMICS_SKU'!$M$5:$M$1000,20),'02_UNIT_ECONOMICS_SKU'!$M$5:$M$1000,0)+4)</f>
        <v>Hevea</v>
      </c>
      <c r="C24" s="61" t="str">
        <f>INDEX('02_UNIT_ECONOMICS_SKU'!$B:$B,MATCH(LARGE('02_UNIT_ECONOMICS_SKU'!$M$5:$M$1000,20),'02_UNIT_ECONOMICS_SKU'!$M$5:$M$1000,0)+4)</f>
        <v>557-010720</v>
      </c>
      <c r="D24" s="61" t="str">
        <f>INDEX('02_UNIT_ECONOMICS_SKU'!$C:$C,MATCH(LARGE('02_UNIT_ECONOMICS_SKU'!$M$5:$M$1000,20),'02_UNIT_ECONOMICS_SKU'!$M$5:$M$1000,0)+4)</f>
        <v>LEISA-8 SET SOFA 3 PLAZAS/SOFA/CANAPÉ</v>
      </c>
      <c r="E24" s="63">
        <f>INDEX('02_UNIT_ECONOMICS_SKU'!$F:$F,MATCH(LARGE('02_UNIT_ECONOMICS_SKU'!$M$5:$M$1000,20),'02_UNIT_ECONOMICS_SKU'!$M$5:$M$1000,0)+4)</f>
        <v>2897.95</v>
      </c>
      <c r="F24" s="63">
        <f>LARGE('02_UNIT_ECONOMICS_SKU'!$M$5:$M$1000,20)</f>
        <v>821.24304999999993</v>
      </c>
      <c r="G24" s="129">
        <f>INDEX('02_UNIT_ECONOMICS_SKU'!$N:$N,MATCH(LARGE('02_UNIT_ECONOMICS_SKU'!$M$5:$M$1000,20),'02_UNIT_ECONOMICS_SKU'!$M$5:$M$1000,0)+4)</f>
        <v>0.34289897703549055</v>
      </c>
      <c r="H24" s="61" t="str">
        <f>INDEX('02_UNIT_ECONOMICS_SKU'!$Q:$Q,MATCH(LARGE('02_UNIT_ECONOMICS_SKU'!$M$5:$M$1000,20),'02_UNIT_ECONOMICS_SKU'!$M$5:$M$1000,0)+4)</f>
        <v>PUSH</v>
      </c>
    </row>
    <row r="25" spans="1:8" x14ac:dyDescent="0.2">
      <c r="A25" s="140">
        <v>21</v>
      </c>
      <c r="B25" s="55" t="str">
        <f>INDEX('02_UNIT_ECONOMICS_SKU'!$A:$A,MATCH(LARGE('02_UNIT_ECONOMICS_SKU'!$M$5:$M$1000,21),'02_UNIT_ECONOMICS_SKU'!$M$5:$M$1000,0)+4)</f>
        <v>Hevea</v>
      </c>
      <c r="C25" s="55" t="str">
        <f>INDEX('02_UNIT_ECONOMICS_SKU'!$B:$B,MATCH(LARGE('02_UNIT_ECONOMICS_SKU'!$M$5:$M$1000,21),'02_UNIT_ECONOMICS_SKU'!$M$5:$M$1000,0)+4)</f>
        <v>557-010720</v>
      </c>
      <c r="D25" s="55" t="str">
        <f>INDEX('02_UNIT_ECONOMICS_SKU'!$C:$C,MATCH(LARGE('02_UNIT_ECONOMICS_SKU'!$M$5:$M$1000,21),'02_UNIT_ECONOMICS_SKU'!$M$5:$M$1000,0)+4)</f>
        <v>LEISA-8 SET SOFA 3 PLAZAS/SOFA/CANAPÉ</v>
      </c>
      <c r="E25" s="57">
        <f>INDEX('02_UNIT_ECONOMICS_SKU'!$F:$F,MATCH(LARGE('02_UNIT_ECONOMICS_SKU'!$M$5:$M$1000,21),'02_UNIT_ECONOMICS_SKU'!$M$5:$M$1000,0)+4)</f>
        <v>2897.95</v>
      </c>
      <c r="F25" s="57">
        <f>LARGE('02_UNIT_ECONOMICS_SKU'!$M$5:$M$1000,21)</f>
        <v>821.24304999999993</v>
      </c>
      <c r="G25" s="126">
        <f>INDEX('02_UNIT_ECONOMICS_SKU'!$N:$N,MATCH(LARGE('02_UNIT_ECONOMICS_SKU'!$M$5:$M$1000,21),'02_UNIT_ECONOMICS_SKU'!$M$5:$M$1000,0)+4)</f>
        <v>0.34289897703549055</v>
      </c>
      <c r="H25" s="55" t="str">
        <f>INDEX('02_UNIT_ECONOMICS_SKU'!$Q:$Q,MATCH(LARGE('02_UNIT_ECONOMICS_SKU'!$M$5:$M$1000,21),'02_UNIT_ECONOMICS_SKU'!$M$5:$M$1000,0)+4)</f>
        <v>PUSH</v>
      </c>
    </row>
    <row r="26" spans="1:8" x14ac:dyDescent="0.2">
      <c r="A26" s="141">
        <v>22</v>
      </c>
      <c r="B26" s="61" t="str">
        <f>INDEX('02_UNIT_ECONOMICS_SKU'!$A:$A,MATCH(LARGE('02_UNIT_ECONOMICS_SKU'!$M$5:$M$1000,22),'02_UNIT_ECONOMICS_SKU'!$M$5:$M$1000,0)+4)</f>
        <v>Hevea</v>
      </c>
      <c r="C26" s="61" t="str">
        <f>INDEX('02_UNIT_ECONOMICS_SKU'!$B:$B,MATCH(LARGE('02_UNIT_ECONOMICS_SKU'!$M$5:$M$1000,22),'02_UNIT_ECONOMICS_SKU'!$M$5:$M$1000,0)+4)</f>
        <v>557-010729</v>
      </c>
      <c r="D26" s="61" t="str">
        <f>INDEX('02_UNIT_ECONOMICS_SKU'!$C:$C,MATCH(LARGE('02_UNIT_ECONOMICS_SKU'!$M$5:$M$1000,22),'02_UNIT_ECONOMICS_SKU'!$M$5:$M$1000,0)+4)</f>
        <v>ALBANIA-7 SET SOFÁ 2 PLAZAS / 2 SEATER SOFA SET / SET CANAPÉ 2 PLACES</v>
      </c>
      <c r="E26" s="63">
        <f>INDEX('02_UNIT_ECONOMICS_SKU'!$F:$F,MATCH(LARGE('02_UNIT_ECONOMICS_SKU'!$M$5:$M$1000,22),'02_UNIT_ECONOMICS_SKU'!$M$5:$M$1000,0)+4)</f>
        <v>2813.25</v>
      </c>
      <c r="F26" s="63">
        <f>LARGE('02_UNIT_ECONOMICS_SKU'!$M$5:$M$1000,22)</f>
        <v>797.02175</v>
      </c>
      <c r="G26" s="129">
        <f>INDEX('02_UNIT_ECONOMICS_SKU'!$N:$N,MATCH(LARGE('02_UNIT_ECONOMICS_SKU'!$M$5:$M$1000,22),'02_UNIT_ECONOMICS_SKU'!$M$5:$M$1000,0)+4)</f>
        <v>0.34280505376344084</v>
      </c>
      <c r="H26" s="61" t="str">
        <f>INDEX('02_UNIT_ECONOMICS_SKU'!$Q:$Q,MATCH(LARGE('02_UNIT_ECONOMICS_SKU'!$M$5:$M$1000,22),'02_UNIT_ECONOMICS_SKU'!$M$5:$M$1000,0)+4)</f>
        <v>PUSH</v>
      </c>
    </row>
    <row r="27" spans="1:8" x14ac:dyDescent="0.2">
      <c r="A27" s="140">
        <v>23</v>
      </c>
      <c r="B27" s="55" t="str">
        <f>INDEX('02_UNIT_ECONOMICS_SKU'!$A:$A,MATCH(LARGE('02_UNIT_ECONOMICS_SKU'!$M$5:$M$1000,23),'02_UNIT_ECONOMICS_SKU'!$M$5:$M$1000,0)+4)</f>
        <v>Hevea</v>
      </c>
      <c r="C27" s="55" t="str">
        <f>INDEX('02_UNIT_ECONOMICS_SKU'!$B:$B,MATCH(LARGE('02_UNIT_ECONOMICS_SKU'!$M$5:$M$1000,23),'02_UNIT_ECONOMICS_SKU'!$M$5:$M$1000,0)+4)</f>
        <v>557-010107</v>
      </c>
      <c r="D27" s="55" t="str">
        <f>INDEX('02_UNIT_ECONOMICS_SKU'!$C:$C,MATCH(LARGE('02_UNIT_ECONOMICS_SKU'!$M$5:$M$1000,23),'02_UNIT_ECONOMICS_SKU'!$M$5:$M$1000,0)+4)</f>
        <v>DOUNVIL-8 SET SOFA 3 PLAZAS</v>
      </c>
      <c r="E27" s="57">
        <f>INDEX('02_UNIT_ECONOMICS_SKU'!$F:$F,MATCH(LARGE('02_UNIT_ECONOMICS_SKU'!$M$5:$M$1000,23),'02_UNIT_ECONOMICS_SKU'!$M$5:$M$1000,0)+4)</f>
        <v>2776.95</v>
      </c>
      <c r="F27" s="57">
        <f>LARGE('02_UNIT_ECONOMICS_SKU'!$M$5:$M$1000,23)</f>
        <v>786.78404999999998</v>
      </c>
      <c r="G27" s="126">
        <f>INDEX('02_UNIT_ECONOMICS_SKU'!$N:$N,MATCH(LARGE('02_UNIT_ECONOMICS_SKU'!$M$5:$M$1000,23),'02_UNIT_ECONOMICS_SKU'!$M$5:$M$1000,0)+4)</f>
        <v>0.34282529411764706</v>
      </c>
      <c r="H27" s="55" t="str">
        <f>INDEX('02_UNIT_ECONOMICS_SKU'!$Q:$Q,MATCH(LARGE('02_UNIT_ECONOMICS_SKU'!$M$5:$M$1000,23),'02_UNIT_ECONOMICS_SKU'!$M$5:$M$1000,0)+4)</f>
        <v>PUSH</v>
      </c>
    </row>
    <row r="28" spans="1:8" x14ac:dyDescent="0.2">
      <c r="A28" s="141">
        <v>24</v>
      </c>
      <c r="B28" s="61" t="str">
        <f>INDEX('02_UNIT_ECONOMICS_SKU'!$A:$A,MATCH(LARGE('02_UNIT_ECONOMICS_SKU'!$M$5:$M$1000,24),'02_UNIT_ECONOMICS_SKU'!$M$5:$M$1000,0)+4)</f>
        <v>Hevea</v>
      </c>
      <c r="C28" s="61" t="str">
        <f>INDEX('02_UNIT_ECONOMICS_SKU'!$B:$B,MATCH(LARGE('02_UNIT_ECONOMICS_SKU'!$M$5:$M$1000,24),'02_UNIT_ECONOMICS_SKU'!$M$5:$M$1000,0)+4)</f>
        <v>557-010147</v>
      </c>
      <c r="D28" s="61" t="str">
        <f>INDEX('02_UNIT_ECONOMICS_SKU'!$C:$C,MATCH(LARGE('02_UNIT_ECONOMICS_SKU'!$M$5:$M$1000,24),'02_UNIT_ECONOMICS_SKU'!$M$5:$M$1000,0)+4)</f>
        <v>ACAPULCO-8 SET SOFÁ 3 PLAZAS / 3 SEATER SOFA SET / SET CANAPÉ 3 PLACES</v>
      </c>
      <c r="E28" s="63">
        <f>INDEX('02_UNIT_ECONOMICS_SKU'!$F:$F,MATCH(LARGE('02_UNIT_ECONOMICS_SKU'!$M$5:$M$1000,24),'02_UNIT_ECONOMICS_SKU'!$M$5:$M$1000,0)+4)</f>
        <v>2764.85</v>
      </c>
      <c r="F28" s="63">
        <f>LARGE('02_UNIT_ECONOMICS_SKU'!$M$5:$M$1000,24)</f>
        <v>783.03814999999997</v>
      </c>
      <c r="G28" s="129">
        <f>INDEX('02_UNIT_ECONOMICS_SKU'!$N:$N,MATCH(LARGE('02_UNIT_ECONOMICS_SKU'!$M$5:$M$1000,24),'02_UNIT_ECONOMICS_SKU'!$M$5:$M$1000,0)+4)</f>
        <v>0.34268628008752733</v>
      </c>
      <c r="H28" s="61" t="str">
        <f>INDEX('02_UNIT_ECONOMICS_SKU'!$Q:$Q,MATCH(LARGE('02_UNIT_ECONOMICS_SKU'!$M$5:$M$1000,24),'02_UNIT_ECONOMICS_SKU'!$M$5:$M$1000,0)+4)</f>
        <v>PUSH</v>
      </c>
    </row>
    <row r="29" spans="1:8" x14ac:dyDescent="0.2">
      <c r="A29" s="140">
        <v>25</v>
      </c>
      <c r="B29" s="55" t="str">
        <f>INDEX('02_UNIT_ECONOMICS_SKU'!$A:$A,MATCH(LARGE('02_UNIT_ECONOMICS_SKU'!$M$5:$M$1000,25),'02_UNIT_ECONOMICS_SKU'!$M$5:$M$1000,0)+4)</f>
        <v>Hevea</v>
      </c>
      <c r="C29" s="55" t="str">
        <f>INDEX('02_UNIT_ECONOMICS_SKU'!$B:$B,MATCH(LARGE('02_UNIT_ECONOMICS_SKU'!$M$5:$M$1000,25),'02_UNIT_ECONOMICS_SKU'!$M$5:$M$1000,0)+4)</f>
        <v>557-0799</v>
      </c>
      <c r="D29" s="55" t="str">
        <f>INDEX('02_UNIT_ECONOMICS_SKU'!$C:$C,MATCH(LARGE('02_UNIT_ECONOMICS_SKU'!$M$5:$M$1000,25),'02_UNIT_ECONOMICS_SKU'!$M$5:$M$1000,0)+4)</f>
        <v>HASTON-8 SET SOFÁ 3 PLAZAS / 3 SEATER SOFA SET / SET CANAPÉ 3 PLACES</v>
      </c>
      <c r="E29" s="57">
        <f>INDEX('02_UNIT_ECONOMICS_SKU'!$F:$F,MATCH(LARGE('02_UNIT_ECONOMICS_SKU'!$M$5:$M$1000,25),'02_UNIT_ECONOMICS_SKU'!$M$5:$M$1000,0)+4)</f>
        <v>2752.75</v>
      </c>
      <c r="F29" s="57">
        <f>LARGE('02_UNIT_ECONOMICS_SKU'!$M$5:$M$1000,25)</f>
        <v>779.29224999999997</v>
      </c>
      <c r="G29" s="126">
        <f>INDEX('02_UNIT_ECONOMICS_SKU'!$N:$N,MATCH(LARGE('02_UNIT_ECONOMICS_SKU'!$M$5:$M$1000,25),'02_UNIT_ECONOMICS_SKU'!$M$5:$M$1000,0)+4)</f>
        <v>0.34254604395604393</v>
      </c>
      <c r="H29" s="55" t="str">
        <f>INDEX('02_UNIT_ECONOMICS_SKU'!$Q:$Q,MATCH(LARGE('02_UNIT_ECONOMICS_SKU'!$M$5:$M$1000,25),'02_UNIT_ECONOMICS_SKU'!$M$5:$M$1000,0)+4)</f>
        <v>PUSH</v>
      </c>
    </row>
    <row r="30" spans="1:8" x14ac:dyDescent="0.2">
      <c r="A30" s="141">
        <v>26</v>
      </c>
      <c r="B30" s="61" t="str">
        <f>INDEX('02_UNIT_ECONOMICS_SKU'!$A:$A,MATCH(LARGE('02_UNIT_ECONOMICS_SKU'!$M$5:$M$1000,26),'02_UNIT_ECONOMICS_SKU'!$M$5:$M$1000,0)+4)</f>
        <v>Hevea</v>
      </c>
      <c r="C30" s="61" t="str">
        <f>INDEX('02_UNIT_ECONOMICS_SKU'!$B:$B,MATCH(LARGE('02_UNIT_ECONOMICS_SKU'!$M$5:$M$1000,26),'02_UNIT_ECONOMICS_SKU'!$M$5:$M$1000,0)+4)</f>
        <v>557-011095</v>
      </c>
      <c r="D30" s="61" t="str">
        <f>INDEX('02_UNIT_ECONOMICS_SKU'!$C:$C,MATCH(LARGE('02_UNIT_ECONOMICS_SKU'!$M$5:$M$1000,26),'02_UNIT_ECONOMICS_SKU'!$M$5:$M$1000,0)+4)</f>
        <v>ODIN-8 SET SOFÁ 3 PLAZAS / 3 SEATER SOFA SET / SET CANAPÉ 3 PLACES</v>
      </c>
      <c r="E30" s="63">
        <f>INDEX('02_UNIT_ECONOMICS_SKU'!$F:$F,MATCH(LARGE('02_UNIT_ECONOMICS_SKU'!$M$5:$M$1000,26),'02_UNIT_ECONOMICS_SKU'!$M$5:$M$1000,0)+4)</f>
        <v>2643.85</v>
      </c>
      <c r="F30" s="63">
        <f>LARGE('02_UNIT_ECONOMICS_SKU'!$M$5:$M$1000,26)</f>
        <v>748.57915000000003</v>
      </c>
      <c r="G30" s="129">
        <f>INDEX('02_UNIT_ECONOMICS_SKU'!$N:$N,MATCH(LARGE('02_UNIT_ECONOMICS_SKU'!$M$5:$M$1000,26),'02_UNIT_ECONOMICS_SKU'!$M$5:$M$1000,0)+4)</f>
        <v>0.34259915331807783</v>
      </c>
      <c r="H30" s="61" t="str">
        <f>INDEX('02_UNIT_ECONOMICS_SKU'!$Q:$Q,MATCH(LARGE('02_UNIT_ECONOMICS_SKU'!$M$5:$M$1000,26),'02_UNIT_ECONOMICS_SKU'!$M$5:$M$1000,0)+4)</f>
        <v>PUSH</v>
      </c>
    </row>
    <row r="31" spans="1:8" x14ac:dyDescent="0.2">
      <c r="A31" s="140">
        <v>27</v>
      </c>
      <c r="B31" s="55" t="str">
        <f>INDEX('02_UNIT_ECONOMICS_SKU'!$A:$A,MATCH(LARGE('02_UNIT_ECONOMICS_SKU'!$M$5:$M$1000,27),'02_UNIT_ECONOMICS_SKU'!$M$5:$M$1000,0)+4)</f>
        <v>Hevea</v>
      </c>
      <c r="C31" s="55" t="str">
        <f>INDEX('02_UNIT_ECONOMICS_SKU'!$B:$B,MATCH(LARGE('02_UNIT_ECONOMICS_SKU'!$M$5:$M$1000,27),'02_UNIT_ECONOMICS_SKU'!$M$5:$M$1000,0)+4)</f>
        <v>557-1164</v>
      </c>
      <c r="D31" s="55" t="str">
        <f>INDEX('02_UNIT_ECONOMICS_SKU'!$C:$C,MATCH(LARGE('02_UNIT_ECONOMICS_SKU'!$M$5:$M$1000,27),'02_UNIT_ECONOMICS_SKU'!$M$5:$M$1000,0)+4)</f>
        <v>ADEL-7 SET SOFÁ RINCONERA / CORNER SOFA SET / SET CANAPÉ D’ANGLE</v>
      </c>
      <c r="E31" s="57">
        <f>INDEX('02_UNIT_ECONOMICS_SKU'!$F:$F,MATCH(LARGE('02_UNIT_ECONOMICS_SKU'!$M$5:$M$1000,27),'02_UNIT_ECONOMICS_SKU'!$M$5:$M$1000,0)+4)</f>
        <v>2577.2999999999997</v>
      </c>
      <c r="F31" s="57">
        <f>LARGE('02_UNIT_ECONOMICS_SKU'!$M$5:$M$1000,27)</f>
        <v>729.97669999999994</v>
      </c>
      <c r="G31" s="126">
        <f>INDEX('02_UNIT_ECONOMICS_SKU'!$N:$N,MATCH(LARGE('02_UNIT_ECONOMICS_SKU'!$M$5:$M$1000,27),'02_UNIT_ECONOMICS_SKU'!$M$5:$M$1000,0)+4)</f>
        <v>0.34271206572769952</v>
      </c>
      <c r="H31" s="55" t="str">
        <f>INDEX('02_UNIT_ECONOMICS_SKU'!$Q:$Q,MATCH(LARGE('02_UNIT_ECONOMICS_SKU'!$M$5:$M$1000,27),'02_UNIT_ECONOMICS_SKU'!$M$5:$M$1000,0)+4)</f>
        <v>PUSH</v>
      </c>
    </row>
    <row r="32" spans="1:8" x14ac:dyDescent="0.2">
      <c r="A32" s="141">
        <v>28</v>
      </c>
      <c r="B32" s="61" t="str">
        <f>INDEX('02_UNIT_ECONOMICS_SKU'!$A:$A,MATCH(LARGE('02_UNIT_ECONOMICS_SKU'!$M$5:$M$1000,28),'02_UNIT_ECONOMICS_SKU'!$M$5:$M$1000,0)+4)</f>
        <v>Balliu</v>
      </c>
      <c r="C32" s="61" t="str">
        <f>INDEX('02_UNIT_ECONOMICS_SKU'!$B:$B,MATCH(LARGE('02_UNIT_ECONOMICS_SKU'!$M$5:$M$1000,28),'02_UNIT_ECONOMICS_SKU'!$M$5:$M$1000,0)+4)</f>
        <v>BALLIU_ALMA_CAMA_BALINESA_TELA_NAUTICA_DCAF71D8</v>
      </c>
      <c r="D32" s="61" t="str">
        <f>INDEX('02_UNIT_ECONOMICS_SKU'!$C:$C,MATCH(LARGE('02_UNIT_ECONOMICS_SKU'!$M$5:$M$1000,28),'02_UNIT_ECONOMICS_SKU'!$M$5:$M$1000,0)+4)</f>
        <v>Cama balinesa exterior aluminio · estilo minimalista | 198 cm</v>
      </c>
      <c r="E32" s="63">
        <f>INDEX('02_UNIT_ECONOMICS_SKU'!$F:$F,MATCH(LARGE('02_UNIT_ECONOMICS_SKU'!$M$5:$M$1000,28),'02_UNIT_ECONOMICS_SKU'!$M$5:$M$1000,0)+4)</f>
        <v>2812.4272000000001</v>
      </c>
      <c r="F32" s="63">
        <f>LARGE('02_UNIT_ECONOMICS_SKU'!$M$5:$M$1000,28)</f>
        <v>720.5490288000002</v>
      </c>
      <c r="G32" s="129">
        <f>INDEX('02_UNIT_ECONOMICS_SKU'!$N:$N,MATCH(LARGE('02_UNIT_ECONOMICS_SKU'!$M$5:$M$1000,28),'02_UNIT_ECONOMICS_SKU'!$M$5:$M$1000,0)+4)</f>
        <v>0.31000422867763483</v>
      </c>
      <c r="H32" s="61" t="str">
        <f>INDEX('02_UNIT_ECONOMICS_SKU'!$Q:$Q,MATCH(LARGE('02_UNIT_ECONOMICS_SKU'!$M$5:$M$1000,28),'02_UNIT_ECONOMICS_SKU'!$M$5:$M$1000,0)+4)</f>
        <v>PUSH</v>
      </c>
    </row>
    <row r="33" spans="1:8" x14ac:dyDescent="0.2">
      <c r="A33" s="140">
        <v>29</v>
      </c>
      <c r="B33" s="55" t="str">
        <f>INDEX('02_UNIT_ECONOMICS_SKU'!$A:$A,MATCH(LARGE('02_UNIT_ECONOMICS_SKU'!$M$5:$M$1000,29),'02_UNIT_ECONOMICS_SKU'!$M$5:$M$1000,0)+4)</f>
        <v>Hevea</v>
      </c>
      <c r="C33" s="55" t="str">
        <f>INDEX('02_UNIT_ECONOMICS_SKU'!$B:$B,MATCH(LARGE('02_UNIT_ECONOMICS_SKU'!$M$5:$M$1000,29),'02_UNIT_ECONOMICS_SKU'!$M$5:$M$1000,0)+4)</f>
        <v>557-010719</v>
      </c>
      <c r="D33" s="55" t="str">
        <f>INDEX('02_UNIT_ECONOMICS_SKU'!$C:$C,MATCH(LARGE('02_UNIT_ECONOMICS_SKU'!$M$5:$M$1000,29),'02_UNIT_ECONOMICS_SKU'!$M$5:$M$1000,0)+4)</f>
        <v>LEISA-7 SET SOFA 2 PLAZAS/SOFA/CANAPÉ</v>
      </c>
      <c r="E33" s="57">
        <f>INDEX('02_UNIT_ECONOMICS_SKU'!$F:$F,MATCH(LARGE('02_UNIT_ECONOMICS_SKU'!$M$5:$M$1000,29),'02_UNIT_ECONOMICS_SKU'!$M$5:$M$1000,0)+4)</f>
        <v>2534.9499999999998</v>
      </c>
      <c r="F33" s="57">
        <f>LARGE('02_UNIT_ECONOMICS_SKU'!$M$5:$M$1000,29)</f>
        <v>717.86604999999997</v>
      </c>
      <c r="G33" s="126">
        <f>INDEX('02_UNIT_ECONOMICS_SKU'!$N:$N,MATCH(LARGE('02_UNIT_ECONOMICS_SKU'!$M$5:$M$1000,29),'02_UNIT_ECONOMICS_SKU'!$M$5:$M$1000,0)+4)</f>
        <v>0.34265682577565632</v>
      </c>
      <c r="H33" s="55" t="str">
        <f>INDEX('02_UNIT_ECONOMICS_SKU'!$Q:$Q,MATCH(LARGE('02_UNIT_ECONOMICS_SKU'!$M$5:$M$1000,29),'02_UNIT_ECONOMICS_SKU'!$M$5:$M$1000,0)+4)</f>
        <v>PUSH</v>
      </c>
    </row>
    <row r="34" spans="1:8" x14ac:dyDescent="0.2">
      <c r="A34" s="141">
        <v>30</v>
      </c>
      <c r="B34" s="61" t="str">
        <f>INDEX('02_UNIT_ECONOMICS_SKU'!$A:$A,MATCH(LARGE('02_UNIT_ECONOMICS_SKU'!$M$5:$M$1000,30),'02_UNIT_ECONOMICS_SKU'!$M$5:$M$1000,0)+4)</f>
        <v>Hevea</v>
      </c>
      <c r="C34" s="61" t="str">
        <f>INDEX('02_UNIT_ECONOMICS_SKU'!$B:$B,MATCH(LARGE('02_UNIT_ECONOMICS_SKU'!$M$5:$M$1000,30),'02_UNIT_ECONOMICS_SKU'!$M$5:$M$1000,0)+4)</f>
        <v>557-010106</v>
      </c>
      <c r="D34" s="61" t="str">
        <f>INDEX('02_UNIT_ECONOMICS_SKU'!$C:$C,MATCH(LARGE('02_UNIT_ECONOMICS_SKU'!$M$5:$M$1000,30),'02_UNIT_ECONOMICS_SKU'!$M$5:$M$1000,0)+4)</f>
        <v>DOUNVIL-7 SET SOFA 2 PLAZAS</v>
      </c>
      <c r="E34" s="63">
        <f>INDEX('02_UNIT_ECONOMICS_SKU'!$F:$F,MATCH(LARGE('02_UNIT_ECONOMICS_SKU'!$M$5:$M$1000,30),'02_UNIT_ECONOMICS_SKU'!$M$5:$M$1000,0)+4)</f>
        <v>2401.85</v>
      </c>
      <c r="F34" s="63">
        <f>LARGE('02_UNIT_ECONOMICS_SKU'!$M$5:$M$1000,30)</f>
        <v>679.66115000000002</v>
      </c>
      <c r="G34" s="129">
        <f>INDEX('02_UNIT_ECONOMICS_SKU'!$N:$N,MATCH(LARGE('02_UNIT_ECONOMICS_SKU'!$M$5:$M$1000,30),'02_UNIT_ECONOMICS_SKU'!$M$5:$M$1000,0)+4)</f>
        <v>0.34239856423173803</v>
      </c>
      <c r="H34" s="61" t="str">
        <f>INDEX('02_UNIT_ECONOMICS_SKU'!$Q:$Q,MATCH(LARGE('02_UNIT_ECONOMICS_SKU'!$M$5:$M$1000,30),'02_UNIT_ECONOMICS_SKU'!$M$5:$M$1000,0)+4)</f>
        <v>PUSH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3"/>
  <sheetViews>
    <sheetView workbookViewId="0"/>
  </sheetViews>
  <sheetFormatPr baseColWidth="10" defaultColWidth="8.83203125" defaultRowHeight="15" x14ac:dyDescent="0.2"/>
  <cols>
    <col min="1" max="1" width="5" customWidth="1"/>
    <col min="2" max="2" width="38" customWidth="1"/>
    <col min="3" max="3" width="18" customWidth="1"/>
    <col min="4" max="4" width="5" customWidth="1"/>
    <col min="5" max="5" width="38" customWidth="1"/>
    <col min="6" max="6" width="18" customWidth="1"/>
  </cols>
  <sheetData>
    <row r="1" spans="1:6" ht="28" customHeight="1" x14ac:dyDescent="0.2">
      <c r="A1" s="161" t="s">
        <v>1236</v>
      </c>
      <c r="B1" s="156"/>
      <c r="C1" s="156"/>
      <c r="D1" s="156"/>
      <c r="E1" s="156"/>
      <c r="F1" s="156"/>
    </row>
    <row r="2" spans="1:6" x14ac:dyDescent="0.2">
      <c r="A2" s="157" t="s">
        <v>1237</v>
      </c>
      <c r="B2" s="156"/>
      <c r="C2" s="156"/>
      <c r="D2" s="156"/>
      <c r="E2" s="156"/>
      <c r="F2" s="156"/>
    </row>
    <row r="4" spans="1:6" x14ac:dyDescent="0.2">
      <c r="B4" s="155" t="s">
        <v>1238</v>
      </c>
      <c r="C4" s="156"/>
      <c r="E4" s="155" t="s">
        <v>1239</v>
      </c>
      <c r="F4" s="156"/>
    </row>
    <row r="5" spans="1:6" x14ac:dyDescent="0.2">
      <c r="B5" s="142" t="s">
        <v>1240</v>
      </c>
      <c r="C5" s="143">
        <f>COUNTA('02_UNIT_ECONOMICS_SKU'!$B$5:$B$1000)</f>
        <v>281</v>
      </c>
      <c r="E5" s="142" t="s">
        <v>1241</v>
      </c>
      <c r="F5" s="144">
        <f>INDEX('01_PNL_SANTAVILA'!$C:$C,MATCH("Ingresos brutos (con IVA)",'01_PNL_SANTAVILA'!$A:$A,0))</f>
        <v>15000</v>
      </c>
    </row>
    <row r="6" spans="1:6" x14ac:dyDescent="0.2">
      <c r="B6" s="142" t="s">
        <v>1242</v>
      </c>
      <c r="C6" s="144">
        <f>AVERAGE('02_UNIT_ECONOMICS_SKU'!$M$5:$M$1000)</f>
        <v>223.42087841957292</v>
      </c>
      <c r="E6" s="142" t="s">
        <v>1243</v>
      </c>
      <c r="F6" s="144" t="e">
        <f>INDEX('01_PNL_SANTAVILA'!$C:$C,MATCH("= Margen contributivo (antes de marketing)",'01_PNL_SANTAVILA'!$A:$A,0))</f>
        <v>#N/A</v>
      </c>
    </row>
    <row r="7" spans="1:6" x14ac:dyDescent="0.2">
      <c r="B7" s="142" t="s">
        <v>1244</v>
      </c>
      <c r="C7" s="145">
        <f>AVERAGE('02_UNIT_ECONOMICS_SKU'!$N$5:$N$1000)</f>
        <v>0.16341016094122787</v>
      </c>
      <c r="E7" s="142" t="s">
        <v>1203</v>
      </c>
      <c r="F7" s="144">
        <f>INDEX('01_PNL_SANTAVILA'!$C:$C,MATCH("(-) Inversión marketing",'01_PNL_SANTAVILA'!$A:$A,0))</f>
        <v>-3750</v>
      </c>
    </row>
    <row r="8" spans="1:6" x14ac:dyDescent="0.2">
      <c r="B8" s="142" t="s">
        <v>1245</v>
      </c>
      <c r="C8" s="145">
        <f>COUNTIF('02_UNIT_ECONOMICS_SKU'!$Q$5:$Q$1000,"*PUSH*")/COUNTA('02_UNIT_ECONOMICS_SKU'!$B$5:$B$1000)</f>
        <v>0.2597864768683274</v>
      </c>
      <c r="E8" s="142" t="s">
        <v>1246</v>
      </c>
      <c r="F8" s="138">
        <f>INDEX('01_PNL_SANTAVILA'!$C:$C,MATCH("BENEFICIO OPERATIVO MENSUAL",'01_PNL_SANTAVILA'!$A:$A,0))</f>
        <v>-509.76750683803493</v>
      </c>
    </row>
    <row r="10" spans="1:6" x14ac:dyDescent="0.2">
      <c r="B10" s="155" t="s">
        <v>1247</v>
      </c>
      <c r="C10" s="156"/>
      <c r="E10" s="155" t="s">
        <v>1248</v>
      </c>
      <c r="F10" s="156"/>
    </row>
    <row r="11" spans="1:6" x14ac:dyDescent="0.2">
      <c r="B11" s="142" t="s">
        <v>1249</v>
      </c>
      <c r="C11" s="146">
        <f>COUNTIF('02_UNIT_ECONOMICS_SKU'!$Q$5:$Q$1000,"PUSH")</f>
        <v>73</v>
      </c>
      <c r="E11" s="142" t="s">
        <v>1250</v>
      </c>
      <c r="F11" s="124">
        <f>INDEX('01_PNL_SANTAVILA'!$C:$C,MATCH("Pedidos break-even mensual (cubre fijos)",'01_PNL_SANTAVILA'!$A:$A,0))</f>
        <v>6300</v>
      </c>
    </row>
    <row r="12" spans="1:6" x14ac:dyDescent="0.2">
      <c r="B12" s="142" t="s">
        <v>1251</v>
      </c>
      <c r="C12" s="147">
        <f>COUNTIF('02_UNIT_ECONOMICS_SKU'!$Q$5:$Q$1000,"NEUTRAL")</f>
        <v>133</v>
      </c>
      <c r="E12" s="142" t="s">
        <v>1177</v>
      </c>
      <c r="F12" s="143">
        <f>INDEX('01_PNL_SANTAVILA'!$C:$C,MATCH("Sesiones web necesarias / mes",'01_PNL_SANTAVILA'!$A:$A,0))</f>
        <v>3750</v>
      </c>
    </row>
    <row r="13" spans="1:6" x14ac:dyDescent="0.2">
      <c r="B13" s="142" t="s">
        <v>1252</v>
      </c>
      <c r="C13" s="148">
        <f>COUNTIF('02_UNIT_ECONOMICS_SKU'!$Q$5:$Q$1000,"WATCH")</f>
        <v>34</v>
      </c>
      <c r="E13" s="142" t="s">
        <v>1253</v>
      </c>
      <c r="F13" s="144">
        <f>INDEX('01_PNL_SANTAVILA'!$C:$C,MATCH("CPA medio (coste por adquisición de cliente)",'01_PNL_SANTAVILA'!$A:$A,0))</f>
        <v>125</v>
      </c>
    </row>
    <row r="14" spans="1:6" x14ac:dyDescent="0.2">
      <c r="B14" s="142" t="s">
        <v>1254</v>
      </c>
      <c r="C14" s="149">
        <f>COUNTIF('02_UNIT_ECONOMICS_SKU'!$Q$5:$Q$1000,"NO ANUNCIAR")</f>
        <v>41</v>
      </c>
      <c r="E14" s="142" t="s">
        <v>1255</v>
      </c>
      <c r="F14" s="150">
        <f>ROAS_base</f>
        <v>4</v>
      </c>
    </row>
    <row r="17" spans="2:7" x14ac:dyDescent="0.2">
      <c r="B17" s="155" t="s">
        <v>1256</v>
      </c>
      <c r="C17" s="156"/>
      <c r="D17" s="156"/>
      <c r="E17" s="156"/>
      <c r="F17" s="156"/>
    </row>
    <row r="18" spans="2:7" ht="30" x14ac:dyDescent="0.2">
      <c r="B18" s="42" t="s">
        <v>1235</v>
      </c>
      <c r="C18" s="42" t="s">
        <v>113</v>
      </c>
      <c r="D18" s="42" t="s">
        <v>114</v>
      </c>
      <c r="E18" s="42" t="s">
        <v>1257</v>
      </c>
      <c r="F18" s="42" t="s">
        <v>1258</v>
      </c>
      <c r="G18" s="42" t="s">
        <v>1259</v>
      </c>
    </row>
    <row r="19" spans="2:7" x14ac:dyDescent="0.2">
      <c r="B19" s="151">
        <v>1</v>
      </c>
      <c r="C19" s="152" t="str">
        <f>INDEX('02_UNIT_ECONOMICS_SKU'!$B:$B,MATCH(LARGE('02_UNIT_ECONOMICS_SKU'!$M$5:$M$1000,1),'02_UNIT_ECONOMICS_SKU'!$M$5:$M$1000,0)+4)</f>
        <v>557-010885</v>
      </c>
      <c r="D19" s="152" t="str">
        <f>INDEX('02_UNIT_ECONOMICS_SKU'!$C:$C,MATCH(LARGE('02_UNIT_ECONOMICS_SKU'!$M$5:$M$1000,1),'02_UNIT_ECONOMICS_SKU'!$M$5:$M$1000,0)+4)</f>
        <v>BRANDON-8 SET SOFA 3 PLAZAS/SOFA/CANAPÉ</v>
      </c>
      <c r="E19" s="153">
        <f>INDEX('02_UNIT_ECONOMICS_SKU'!$F:$F,MATCH(LARGE('02_UNIT_ECONOMICS_SKU'!$M$5:$M$1000,1),'02_UNIT_ECONOMICS_SKU'!$M$5:$M$1000,0)+4)</f>
        <v>5245.3499999999995</v>
      </c>
      <c r="F19" s="153">
        <f>LARGE('02_UNIT_ECONOMICS_SKU'!$M$5:$M$1000,1)</f>
        <v>1488.9476500000001</v>
      </c>
      <c r="G19" s="154">
        <f>INDEX('02_UNIT_ECONOMICS_SKU'!$N:$N,MATCH(LARGE('02_UNIT_ECONOMICS_SKU'!$M$5:$M$1000,1),'02_UNIT_ECONOMICS_SKU'!$M$5:$M$1000,0)+4)</f>
        <v>0.34347119953863903</v>
      </c>
    </row>
    <row r="20" spans="2:7" x14ac:dyDescent="0.2">
      <c r="B20" s="151">
        <v>2</v>
      </c>
      <c r="C20" s="152" t="str">
        <f>INDEX('02_UNIT_ECONOMICS_SKU'!$B:$B,MATCH(LARGE('02_UNIT_ECONOMICS_SKU'!$M$5:$M$1000,2),'02_UNIT_ECONOMICS_SKU'!$M$5:$M$1000,0)+4)</f>
        <v>557-010483</v>
      </c>
      <c r="D20" s="152" t="str">
        <f>INDEX('02_UNIT_ECONOMICS_SKU'!$C:$C,MATCH(LARGE('02_UNIT_ECONOMICS_SKU'!$M$5:$M$1000,2),'02_UNIT_ECONOMICS_SKU'!$M$5:$M$1000,0)+4)</f>
        <v>BOLONIA XL-8 SET SOFA 3 PLAZAS/SOFA/CANAPÉ</v>
      </c>
      <c r="E20" s="153">
        <f>INDEX('02_UNIT_ECONOMICS_SKU'!$F:$F,MATCH(LARGE('02_UNIT_ECONOMICS_SKU'!$M$5:$M$1000,2),'02_UNIT_ECONOMICS_SKU'!$M$5:$M$1000,0)+4)</f>
        <v>4706.8999999999996</v>
      </c>
      <c r="F20" s="153">
        <f>LARGE('02_UNIT_ECONOMICS_SKU'!$M$5:$M$1000,2)</f>
        <v>1336.2551000000001</v>
      </c>
      <c r="G20" s="154">
        <f>INDEX('02_UNIT_ECONOMICS_SKU'!$N:$N,MATCH(LARGE('02_UNIT_ECONOMICS_SKU'!$M$5:$M$1000,2),'02_UNIT_ECONOMICS_SKU'!$M$5:$M$1000,0)+4)</f>
        <v>0.34351030848329051</v>
      </c>
    </row>
    <row r="21" spans="2:7" x14ac:dyDescent="0.2">
      <c r="B21" s="151">
        <v>3</v>
      </c>
      <c r="C21" s="152" t="str">
        <f>INDEX('02_UNIT_ECONOMICS_SKU'!$B:$B,MATCH(LARGE('02_UNIT_ECONOMICS_SKU'!$M$5:$M$1000,3),'02_UNIT_ECONOMICS_SKU'!$M$5:$M$1000,0)+4)</f>
        <v>557-010884</v>
      </c>
      <c r="D21" s="152" t="str">
        <f>INDEX('02_UNIT_ECONOMICS_SKU'!$C:$C,MATCH(LARGE('02_UNIT_ECONOMICS_SKU'!$M$5:$M$1000,3),'02_UNIT_ECONOMICS_SKU'!$M$5:$M$1000,0)+4)</f>
        <v>BRANDON-7 SET SOFA 2 PLAZAS/SOFA/CANAPÉ</v>
      </c>
      <c r="E21" s="153">
        <f>INDEX('02_UNIT_ECONOMICS_SKU'!$F:$F,MATCH(LARGE('02_UNIT_ECONOMICS_SKU'!$M$5:$M$1000,3),'02_UNIT_ECONOMICS_SKU'!$M$5:$M$1000,0)+4)</f>
        <v>4676.6499999999996</v>
      </c>
      <c r="F21" s="153">
        <f>LARGE('02_UNIT_ECONOMICS_SKU'!$M$5:$M$1000,3)</f>
        <v>1327.8903500000001</v>
      </c>
      <c r="G21" s="154">
        <f>INDEX('02_UNIT_ECONOMICS_SKU'!$N:$N,MATCH(LARGE('02_UNIT_ECONOMICS_SKU'!$M$5:$M$1000,3),'02_UNIT_ECONOMICS_SKU'!$M$5:$M$1000,0)+4)</f>
        <v>0.34356800776196639</v>
      </c>
    </row>
    <row r="22" spans="2:7" x14ac:dyDescent="0.2">
      <c r="B22" s="151">
        <v>4</v>
      </c>
      <c r="C22" s="152" t="str">
        <f>INDEX('02_UNIT_ECONOMICS_SKU'!$B:$B,MATCH(LARGE('02_UNIT_ECONOMICS_SKU'!$M$5:$M$1000,4),'02_UNIT_ECONOMICS_SKU'!$M$5:$M$1000,0)+4)</f>
        <v>558-0050</v>
      </c>
      <c r="D22" s="152" t="str">
        <f>INDEX('02_UNIT_ECONOMICS_SKU'!$C:$C,MATCH(LARGE('02_UNIT_ECONOMICS_SKU'!$M$5:$M$1000,4),'02_UNIT_ECONOMICS_SKU'!$M$5:$M$1000,0)+4)</f>
        <v>DIVA-8 BICOLOR SET SOFA 3 PLAZAS/SOFA/CANAPÉ</v>
      </c>
      <c r="E22" s="153">
        <f>INDEX('02_UNIT_ECONOMICS_SKU'!$F:$F,MATCH(LARGE('02_UNIT_ECONOMICS_SKU'!$M$5:$M$1000,4),'02_UNIT_ECONOMICS_SKU'!$M$5:$M$1000,0)+4)</f>
        <v>4404.3999999999996</v>
      </c>
      <c r="F22" s="153">
        <f>LARGE('02_UNIT_ECONOMICS_SKU'!$M$5:$M$1000,4)</f>
        <v>1249.6076</v>
      </c>
      <c r="G22" s="154">
        <f>INDEX('02_UNIT_ECONOMICS_SKU'!$N:$N,MATCH(LARGE('02_UNIT_ECONOMICS_SKU'!$M$5:$M$1000,4),'02_UNIT_ECONOMICS_SKU'!$M$5:$M$1000,0)+4)</f>
        <v>0.3432987912087912</v>
      </c>
    </row>
    <row r="23" spans="2:7" x14ac:dyDescent="0.2">
      <c r="B23" s="151">
        <v>5</v>
      </c>
      <c r="C23" s="152" t="str">
        <f>INDEX('02_UNIT_ECONOMICS_SKU'!$B:$B,MATCH(LARGE('02_UNIT_ECONOMICS_SKU'!$M$5:$M$1000,5),'02_UNIT_ECONOMICS_SKU'!$M$5:$M$1000,0)+4)</f>
        <v>557-010817</v>
      </c>
      <c r="D23" s="152" t="str">
        <f>INDEX('02_UNIT_ECONOMICS_SKU'!$C:$C,MATCH(LARGE('02_UNIT_ECONOMICS_SKU'!$M$5:$M$1000,5),'02_UNIT_ECONOMICS_SKU'!$M$5:$M$1000,0)+4)</f>
        <v>CUPRA-8 SET SOFÁ 3 PLAZAS / 3 SEATER SOFA SET / SET CANAPÉ 3 PLACES</v>
      </c>
      <c r="E23" s="153">
        <f>INDEX('02_UNIT_ECONOMICS_SKU'!$F:$F,MATCH(LARGE('02_UNIT_ECONOMICS_SKU'!$M$5:$M$1000,5),'02_UNIT_ECONOMICS_SKU'!$M$5:$M$1000,0)+4)</f>
        <v>4343.8999999999996</v>
      </c>
      <c r="F23" s="153">
        <f>LARGE('02_UNIT_ECONOMICS_SKU'!$M$5:$M$1000,5)</f>
        <v>1232.8781000000001</v>
      </c>
      <c r="G23" s="154">
        <f>INDEX('02_UNIT_ECONOMICS_SKU'!$N:$N,MATCH(LARGE('02_UNIT_ECONOMICS_SKU'!$M$5:$M$1000,5),'02_UNIT_ECONOMICS_SKU'!$M$5:$M$1000,0)+4)</f>
        <v>0.34342008356545967</v>
      </c>
    </row>
  </sheetData>
  <mergeCells count="7">
    <mergeCell ref="B17:F17"/>
    <mergeCell ref="B4:C4"/>
    <mergeCell ref="A2:F2"/>
    <mergeCell ref="E4:F4"/>
    <mergeCell ref="E10:F10"/>
    <mergeCell ref="A1:F1"/>
    <mergeCell ref="B10:C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30</vt:i4>
      </vt:variant>
    </vt:vector>
  </HeadingPairs>
  <TitlesOfParts>
    <vt:vector size="44" baseType="lpstr">
      <vt:lpstr>00_SUPUESTOS</vt:lpstr>
      <vt:lpstr>20260508 -Todos </vt:lpstr>
      <vt:lpstr>Todos</vt:lpstr>
      <vt:lpstr>Hevea</vt:lpstr>
      <vt:lpstr>Balliu</vt:lpstr>
      <vt:lpstr>Hevea Histórico</vt:lpstr>
      <vt:lpstr>Hevea Seguimiento</vt:lpstr>
      <vt:lpstr>Balliu Histórico</vt:lpstr>
      <vt:lpstr>Balliu Seguimiento</vt:lpstr>
      <vt:lpstr>01_PNL_SANTAVILA</vt:lpstr>
      <vt:lpstr>02_UNIT_ECONOMICS_SKU</vt:lpstr>
      <vt:lpstr>03_ESCENARIOS_MARKETING</vt:lpstr>
      <vt:lpstr>04_PRODUCTOS_PRIORIDAD</vt:lpstr>
      <vt:lpstr>05_DASHBOARD</vt:lpstr>
      <vt:lpstr>AOV</vt:lpstr>
      <vt:lpstr>Apps</vt:lpstr>
      <vt:lpstr>Balliu_coste_envio</vt:lpstr>
      <vt:lpstr>Comision_pago_fija</vt:lpstr>
      <vt:lpstr>Comision_pago_pct</vt:lpstr>
      <vt:lpstr>Coste_devolucion</vt:lpstr>
      <vt:lpstr>Coste_incidencia</vt:lpstr>
      <vt:lpstr>Coste_medio_envio_pedido</vt:lpstr>
      <vt:lpstr>Dominio</vt:lpstr>
      <vt:lpstr>Hevea_coste_envio_bajo</vt:lpstr>
      <vt:lpstr>Hevea_umbral_envio_gratis</vt:lpstr>
      <vt:lpstr>IVA</vt:lpstr>
      <vt:lpstr>Margen_bruto_medio</vt:lpstr>
      <vt:lpstr>Pedidos_mes_base</vt:lpstr>
      <vt:lpstr>Pedidos_mes_conservador</vt:lpstr>
      <vt:lpstr>Pedidos_mes_optimista</vt:lpstr>
      <vt:lpstr>Personal_fijo</vt:lpstr>
      <vt:lpstr>ROAS_base</vt:lpstr>
      <vt:lpstr>ROAS_conservador</vt:lpstr>
      <vt:lpstr>ROAS_optimista</vt:lpstr>
      <vt:lpstr>Shopify_plan</vt:lpstr>
      <vt:lpstr>Tasa_conversion</vt:lpstr>
      <vt:lpstr>Tasa_devolucion</vt:lpstr>
      <vt:lpstr>Tasa_incidencia</vt:lpstr>
      <vt:lpstr>TOTAL_FIJOS_MES</vt:lpstr>
      <vt:lpstr>Umbral_NEUTRAL_pct</vt:lpstr>
      <vt:lpstr>Umbral_PUSH_eur</vt:lpstr>
      <vt:lpstr>Umbral_PUSH_pct</vt:lpstr>
      <vt:lpstr>Umbral_WATCH_pct</vt:lpstr>
      <vt:lpstr>VAR_COST_PER_ORDER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davilaquintana@gmail.com</cp:lastModifiedBy>
  <dcterms:created xsi:type="dcterms:W3CDTF">2026-05-01T05:18:09Z</dcterms:created>
  <dcterms:modified xsi:type="dcterms:W3CDTF">2026-05-08T16:43:57Z</dcterms:modified>
</cp:coreProperties>
</file>