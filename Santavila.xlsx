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5260" yWindow="1840" windowWidth="32060" windowHeight="19060" tabRatio="600" firstSheet="0" activeTab="0" autoFilterDateGrouping="1"/>
  </bookViews>
  <sheets>
    <sheet xmlns:r="http://schemas.openxmlformats.org/officeDocument/2006/relationships" name="00_SUPUESTOS" sheetId="1" state="visible" r:id="rId1"/>
    <sheet xmlns:r="http://schemas.openxmlformats.org/officeDocument/2006/relationships" name="20260508 -Todos " sheetId="2" state="visible" r:id="rId2"/>
    <sheet xmlns:r="http://schemas.openxmlformats.org/officeDocument/2006/relationships" name="Todos" sheetId="3" state="visible" r:id="rId3"/>
    <sheet xmlns:r="http://schemas.openxmlformats.org/officeDocument/2006/relationships" name="Hevea" sheetId="4" state="visible" r:id="rId4"/>
    <sheet xmlns:r="http://schemas.openxmlformats.org/officeDocument/2006/relationships" name="Balliu" sheetId="5" state="visible" r:id="rId5"/>
    <sheet xmlns:r="http://schemas.openxmlformats.org/officeDocument/2006/relationships" name="Hevea Histórico" sheetId="6" state="visible" r:id="rId6"/>
    <sheet xmlns:r="http://schemas.openxmlformats.org/officeDocument/2006/relationships" name="Hevea Seguimiento" sheetId="7" state="visible" r:id="rId7"/>
    <sheet xmlns:r="http://schemas.openxmlformats.org/officeDocument/2006/relationships" name="Balliu Histórico" sheetId="8" state="visible" r:id="rId8"/>
    <sheet xmlns:r="http://schemas.openxmlformats.org/officeDocument/2006/relationships" name="Balliu Seguimiento" sheetId="9" state="visible" r:id="rId9"/>
    <sheet xmlns:r="http://schemas.openxmlformats.org/officeDocument/2006/relationships" name="01_PNL_SANTAVILA" sheetId="10" state="visible" r:id="rId10"/>
    <sheet xmlns:r="http://schemas.openxmlformats.org/officeDocument/2006/relationships" name="02_UNIT_ECONOMICS_SKU" sheetId="11" state="visible" r:id="rId11"/>
    <sheet xmlns:r="http://schemas.openxmlformats.org/officeDocument/2006/relationships" name="03_ESCENARIOS_MARKETING" sheetId="12" state="visible" r:id="rId12"/>
    <sheet xmlns:r="http://schemas.openxmlformats.org/officeDocument/2006/relationships" name="04_PRODUCTOS_PRIORIDAD" sheetId="13" state="visible" r:id="rId13"/>
    <sheet xmlns:r="http://schemas.openxmlformats.org/officeDocument/2006/relationships" name="05_DASHBOARD" sheetId="14" state="visible" r:id="rId14"/>
  </sheets>
  <definedNames>
    <definedName name="Shopify_plan">'00_SUPUESTOS'!$C$6</definedName>
    <definedName name="Dominio">'00_SUPUESTOS'!$C$7</definedName>
    <definedName name="Apps">'00_SUPUESTOS'!$C$8</definedName>
    <definedName name="Personal_fijo">'00_SUPUESTOS'!$C$9</definedName>
    <definedName name="Comision_pago_pct">'00_SUPUESTOS'!$C$11</definedName>
    <definedName name="Comision_pago_fija">'00_SUPUESTOS'!$C$12</definedName>
    <definedName name="Hevea_umbral_envio_gratis">'00_SUPUESTOS'!$C$14</definedName>
    <definedName name="Hevea_coste_envio_bajo">'00_SUPUESTOS'!$C$15</definedName>
    <definedName name="Balliu_coste_envio">'00_SUPUESTOS'!$C$16</definedName>
    <definedName name="Coste_medio_envio_pedido">'00_SUPUESTOS'!$C$17</definedName>
    <definedName name="Tasa_devolucion">'00_SUPUESTOS'!$C$19</definedName>
    <definedName name="Coste_devolucion">'00_SUPUESTOS'!$C$20</definedName>
    <definedName name="Tasa_incidencia">'00_SUPUESTOS'!$C$21</definedName>
    <definedName name="Coste_incidencia">'00_SUPUESTOS'!$C$22</definedName>
    <definedName name="ROAS_conservador">'00_SUPUESTOS'!$C$24</definedName>
    <definedName name="ROAS_base">'00_SUPUESTOS'!$C$25</definedName>
    <definedName name="ROAS_optimista">'00_SUPUESTOS'!$C$26</definedName>
    <definedName name="Tasa_conversion">'00_SUPUESTOS'!$C$28</definedName>
    <definedName name="AOV">'00_SUPUESTOS'!$C$29</definedName>
    <definedName name="Pedidos_mes_conservador">'00_SUPUESTOS'!$C$31</definedName>
    <definedName name="Pedidos_mes_base">'00_SUPUESTOS'!$C$32</definedName>
    <definedName name="Pedidos_mes_optimista">'00_SUPUESTOS'!$C$33</definedName>
    <definedName name="IVA">'00_SUPUESTOS'!$C$35</definedName>
    <definedName name="Umbral_PUSH_pct">'00_SUPUESTOS'!$C$39</definedName>
    <definedName name="Umbral_PUSH_eur">'00_SUPUESTOS'!$C$40</definedName>
    <definedName name="Umbral_NEUTRAL_pct">'00_SUPUESTOS'!$C$41</definedName>
    <definedName name="Umbral_WATCH_pct">'00_SUPUESTOS'!$C$42</definedName>
    <definedName name="TOTAL_FIJOS_MES">'00_SUPUESTOS'!$C$45</definedName>
    <definedName name="VAR_COST_PER_ORDER">'00_SUPUESTOS'!$C$46</definedName>
    <definedName name="Margen_bruto_medio">'00_SUPUESTOS'!$C$37</definedName>
    <definedName name="_xlnm._FilterDatabase" localSheetId="5" hidden="1">'Hevea Histórico'!$A$1:$N$349</definedName>
    <definedName name="_xlnm._FilterDatabase" localSheetId="6" hidden="1">'Hevea Seguimiento'!$A$5:$Q$151</definedName>
    <definedName name="_xlnm._FilterDatabase" localSheetId="7" hidden="1">'Balliu Histórico'!$A$1:$J$331</definedName>
    <definedName name="_xlnm._FilterDatabase" localSheetId="8" hidden="1">'Balliu Seguimiento'!$A$5:$Q$170</definedName>
    <definedName name="_xlnm._FilterDatabase" localSheetId="10" hidden="1">'02_UNIT_ECONOMICS_SKU'!$A$4:$Q$285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\€\ #,##0.00"/>
    <numFmt numFmtId="165" formatCode="0.0&quot;%&quot;"/>
    <numFmt numFmtId="166" formatCode="\+\€\ #,##0.00;\-\€\ #,##0.00;&quot;—&quot;"/>
    <numFmt numFmtId="167" formatCode="\+0.0&quot;%&quot;;\-0.0&quot;%&quot;;&quot;—&quot;"/>
    <numFmt numFmtId="168" formatCode="€ #,##0.00"/>
    <numFmt numFmtId="169" formatCode="+€ #,##0.00;-€ #,##0.00;&quot;—&quot;"/>
    <numFmt numFmtId="170" formatCode="+0.0&quot;%&quot;;-0.0&quot;%&quot;;&quot;—&quot;"/>
    <numFmt numFmtId="171" formatCode="0.0%"/>
    <numFmt numFmtId="172" formatCode="0.0&quot;x&quot;"/>
    <numFmt numFmtId="173" formatCode="€ #,##0.00;[Red]-€ #,##0.00"/>
  </numFmts>
  <fonts count="51">
    <font>
      <name val="Calibri"/>
      <color theme="1"/>
      <sz val="11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1A6B2A"/>
      <sz val="9"/>
      <scheme val="minor"/>
    </font>
    <font>
      <name val="Calibri"/>
      <family val="2"/>
      <color rgb="FF7B6000"/>
      <sz val="9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FFFFFF"/>
      <sz val="10"/>
    </font>
    <font>
      <name val="Calibri"/>
      <family val="2"/>
      <sz val="9"/>
    </font>
    <font>
      <name val="Calibri"/>
      <family val="2"/>
      <b val="1"/>
      <color rgb="FFFFFFFF"/>
      <sz val="14"/>
    </font>
    <font>
      <name val="Calibri"/>
      <family val="2"/>
      <i val="1"/>
      <color rgb="FF666666"/>
      <sz val="10"/>
    </font>
    <font>
      <name val="Calibri"/>
      <family val="2"/>
      <b val="1"/>
      <color rgb="FF9C0006"/>
      <sz val="9"/>
    </font>
    <font>
      <name val="Menlo"/>
      <family val="2"/>
      <color rgb="FF1F4E79"/>
      <sz val="12"/>
    </font>
    <font>
      <name val="Calibri"/>
      <family val="2"/>
      <color rgb="FF2E7D32"/>
      <sz val="9"/>
    </font>
    <font>
      <name val="Calibri"/>
      <family val="2"/>
      <i val="1"/>
      <color rgb="FF9C0006"/>
      <sz val="9"/>
    </font>
    <font>
      <name val="Calibri"/>
      <family val="2"/>
      <b val="1"/>
      <sz val="10"/>
    </font>
    <font>
      <name val="Calibri"/>
      <family val="2"/>
      <b val="1"/>
      <i val="1"/>
      <color rgb="FF9C0006"/>
      <sz val="9"/>
    </font>
    <font>
      <name val="Calibri"/>
      <family val="2"/>
      <b val="1"/>
      <color rgb="FF1F4E79"/>
      <sz val="9"/>
    </font>
    <font>
      <name val="Calibri"/>
      <family val="2"/>
      <b val="1"/>
      <color rgb="FF0B5394"/>
      <sz val="9"/>
    </font>
    <font>
      <name val="Menlo"/>
      <family val="2"/>
      <color rgb="FF0B5394"/>
      <sz val="12"/>
    </font>
    <font>
      <b val="1"/>
      <color rgb="00FFFFFF"/>
      <sz val="10"/>
    </font>
    <font>
      <b val="1"/>
      <color rgb="001F4E79"/>
      <sz val="9"/>
    </font>
    <font>
      <sz val="9"/>
    </font>
    <font>
      <b val="1"/>
      <color rgb="00FFFFFF"/>
      <sz val="14"/>
    </font>
    <font>
      <i val="1"/>
      <color rgb="00666666"/>
      <sz val="10"/>
    </font>
    <font>
      <i val="1"/>
      <color rgb="009C0006"/>
      <sz val="9"/>
    </font>
    <font>
      <i val="1"/>
      <color rgb="00666666"/>
      <sz val="9"/>
    </font>
    <font>
      <b val="1"/>
      <i val="1"/>
      <color rgb="009C0006"/>
      <sz val="9"/>
    </font>
    <font>
      <name val="Menlo"/>
      <color rgb="001F4E79"/>
      <sz val="12"/>
    </font>
    <font>
      <color rgb="002E7D32"/>
      <sz val="9"/>
    </font>
    <font>
      <b val="1"/>
      <color rgb="009C0006"/>
      <sz val="9"/>
    </font>
    <font>
      <b val="1"/>
      <sz val="10"/>
    </font>
    <font>
      <b val="1"/>
      <color rgb="000B5394"/>
      <sz val="9"/>
    </font>
    <font>
      <b val="1"/>
      <color rgb="000F6B7A"/>
      <sz val="9"/>
    </font>
    <font>
      <b val="1"/>
      <color rgb="002E7D32"/>
      <sz val="9"/>
    </font>
    <font>
      <name val="Menlo"/>
      <color rgb="000B5394"/>
      <sz val="12"/>
    </font>
    <font>
      <name val="Menlo"/>
      <color rgb="000F6B7A"/>
      <sz val="12"/>
    </font>
    <font>
      <b val="1"/>
      <color rgb="00FFFFFF"/>
      <sz val="11"/>
    </font>
    <font>
      <name val="Menlo"/>
      <color rgb="00666666"/>
      <sz val="9"/>
    </font>
    <font>
      <sz val="10"/>
    </font>
    <font>
      <b val="1"/>
      <color rgb="009C5700"/>
      <sz val="10"/>
    </font>
    <font>
      <color rgb="00666666"/>
      <sz val="9"/>
    </font>
    <font>
      <b val="1"/>
      <color rgb="00375623"/>
      <sz val="10"/>
    </font>
    <font>
      <b val="1"/>
      <color rgb="00FFFFFF"/>
    </font>
    <font>
      <color rgb="00375623"/>
      <sz val="10"/>
    </font>
    <font>
      <b val="1"/>
      <sz val="12"/>
    </font>
    <font>
      <b val="1"/>
      <color rgb="00C65911"/>
      <sz val="12"/>
    </font>
    <font>
      <b val="1"/>
      <color rgb="00C65911"/>
      <sz val="11"/>
    </font>
    <font>
      <b val="1"/>
    </font>
    <font>
      <b val="1"/>
      <sz val="11"/>
    </font>
    <font>
      <b val="1"/>
      <color rgb="00FFFFFF"/>
      <sz val="16"/>
    </font>
  </fonts>
  <fills count="32">
    <fill>
      <patternFill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3A3A3A"/>
        <bgColor rgb="FF3A3A3A"/>
      </patternFill>
    </fill>
    <fill>
      <patternFill patternType="solid">
        <fgColor rgb="FF1155CC"/>
        <bgColor rgb="FF1155CC"/>
      </patternFill>
    </fill>
    <fill>
      <patternFill patternType="solid">
        <fgColor rgb="FFF2F2F2"/>
        <bgColor rgb="FFF2F2F2"/>
      </patternFill>
    </fill>
    <fill>
      <patternFill patternType="solid">
        <fgColor rgb="FFFAFAFA"/>
        <bgColor rgb="FFFAFAFA"/>
      </patternFill>
    </fill>
    <fill>
      <patternFill patternType="solid">
        <fgColor rgb="FFF5F5DC"/>
        <bgColor rgb="FFF5F5DC"/>
      </patternFill>
    </fill>
    <fill>
      <patternFill patternType="solid">
        <fgColor rgb="FF1F4E79"/>
        <bgColor rgb="FF1F4E79"/>
      </patternFill>
    </fill>
    <fill>
      <patternFill patternType="solid">
        <fgColor rgb="FFDDEEFF"/>
        <bgColor rgb="FFDDEEFF"/>
      </patternFill>
    </fill>
    <fill>
      <patternFill patternType="solid">
        <fgColor rgb="FFEEF5FF"/>
        <bgColor rgb="FFEEF5FF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F0F7EB"/>
        <bgColor rgb="FFF0F7EB"/>
      </patternFill>
    </fill>
    <fill>
      <patternFill patternType="solid">
        <fgColor rgb="FF1F4E79"/>
      </patternFill>
    </fill>
    <fill>
      <patternFill patternType="solid">
        <fgColor rgb="FFDDEEFF"/>
      </patternFill>
    </fill>
    <fill>
      <patternFill patternType="solid">
        <fgColor rgb="FFEEF5FF"/>
      </patternFill>
    </fill>
    <fill>
      <patternFill patternType="solid">
        <fgColor rgb="FFF5F5DC"/>
      </patternFill>
    </fill>
    <fill>
      <patternFill patternType="solid">
        <fgColor rgb="FF0B5394"/>
      </patternFill>
    </fill>
    <fill>
      <patternFill patternType="solid">
        <fgColor rgb="001F4E79"/>
      </patternFill>
    </fill>
    <fill>
      <patternFill patternType="solid">
        <fgColor rgb="00EEF5FF"/>
      </patternFill>
    </fill>
    <fill>
      <patternFill patternType="solid">
        <fgColor rgb="00DDEEFF"/>
      </patternFill>
    </fill>
    <fill>
      <patternFill patternType="solid">
        <fgColor rgb="00F5F5DC"/>
      </patternFill>
    </fill>
    <fill>
      <patternFill patternType="solid">
        <fgColor rgb="000B539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1F4E79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B5394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1F4E79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medium">
        <color rgb="000B5394"/>
      </top>
      <bottom style="thin">
        <color rgb="00CCCCCC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2"/>
  </cellStyleXfs>
  <cellXfs count="2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vertical="center"/>
    </xf>
    <xf numFmtId="164" fontId="3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vertical="center"/>
    </xf>
    <xf numFmtId="4" fontId="3" fillId="5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vertical="center"/>
    </xf>
    <xf numFmtId="164" fontId="3" fillId="6" borderId="1" applyAlignment="1" pivotButton="0" quotePrefix="0" xfId="0">
      <alignment horizontal="right" vertical="center"/>
    </xf>
    <xf numFmtId="165" fontId="4" fillId="6" borderId="1" applyAlignment="1" pivotButton="0" quotePrefix="0" xfId="0">
      <alignment vertical="center"/>
    </xf>
    <xf numFmtId="4" fontId="3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vertical="center"/>
    </xf>
    <xf numFmtId="165" fontId="5" fillId="5" borderId="1" applyAlignment="1" pivotButton="0" quotePrefix="0" xfId="0">
      <alignment vertical="center"/>
    </xf>
    <xf numFmtId="0" fontId="6" fillId="7" borderId="2" pivotButton="0" quotePrefix="0" xfId="0"/>
    <xf numFmtId="164" fontId="6" fillId="7" borderId="1" applyAlignment="1" pivotButton="0" quotePrefix="0" xfId="0">
      <alignment horizontal="right" vertical="center"/>
    </xf>
    <xf numFmtId="165" fontId="6" fillId="7" borderId="1" applyAlignment="1" pivotButton="0" quotePrefix="0" xfId="0">
      <alignment horizontal="center" vertical="center"/>
    </xf>
    <xf numFmtId="4" fontId="6" fillId="7" borderId="1" applyAlignment="1" pivotButton="0" quotePrefix="0" xfId="0">
      <alignment horizontal="right" vertical="center"/>
    </xf>
    <xf numFmtId="0" fontId="1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64" fontId="3" fillId="9" borderId="1" applyAlignment="1" pivotButton="0" quotePrefix="0" xfId="0">
      <alignment horizontal="right" vertical="center"/>
    </xf>
    <xf numFmtId="165" fontId="4" fillId="9" borderId="1" applyAlignment="1" pivotButton="0" quotePrefix="0" xfId="0">
      <alignment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vertical="center"/>
    </xf>
    <xf numFmtId="164" fontId="3" fillId="10" borderId="1" applyAlignment="1" pivotButton="0" quotePrefix="0" xfId="0">
      <alignment horizontal="right" vertical="center"/>
    </xf>
    <xf numFmtId="165" fontId="4" fillId="10" borderId="1" applyAlignment="1" pivotButton="0" quotePrefix="0" xfId="0">
      <alignment vertical="center"/>
    </xf>
    <xf numFmtId="165" fontId="5" fillId="10" borderId="1" applyAlignment="1" pivotButton="0" quotePrefix="0" xfId="0">
      <alignment vertical="center"/>
    </xf>
    <xf numFmtId="165" fontId="5" fillId="9" borderId="1" applyAlignment="1" pivotButton="0" quotePrefix="0" xfId="0">
      <alignment vertical="center"/>
    </xf>
    <xf numFmtId="0" fontId="1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vertical="center"/>
    </xf>
    <xf numFmtId="164" fontId="3" fillId="12" borderId="1" applyAlignment="1" pivotButton="0" quotePrefix="0" xfId="0">
      <alignment horizontal="right" vertical="center"/>
    </xf>
    <xf numFmtId="165" fontId="4" fillId="12" borderId="1" applyAlignment="1" pivotButton="0" quotePrefix="0" xfId="0">
      <alignment vertical="center"/>
    </xf>
    <xf numFmtId="0" fontId="3" fillId="13" borderId="1" applyAlignment="1" pivotButton="0" quotePrefix="0" xfId="0">
      <alignment horizontal="left" vertical="center"/>
    </xf>
    <xf numFmtId="0" fontId="3" fillId="13" borderId="1" applyAlignment="1" pivotButton="0" quotePrefix="0" xfId="0">
      <alignment vertical="center"/>
    </xf>
    <xf numFmtId="164" fontId="3" fillId="13" borderId="1" applyAlignment="1" pivotButton="0" quotePrefix="0" xfId="0">
      <alignment horizontal="right" vertical="center"/>
    </xf>
    <xf numFmtId="165" fontId="4" fillId="13" borderId="1" applyAlignment="1" pivotButton="0" quotePrefix="0" xfId="0">
      <alignment vertical="center"/>
    </xf>
    <xf numFmtId="0" fontId="7" fillId="14" borderId="3" applyAlignment="1" pivotButton="0" quotePrefix="0" xfId="0">
      <alignment horizontal="center" vertical="center" wrapText="1"/>
    </xf>
    <xf numFmtId="0" fontId="8" fillId="15" borderId="3" applyAlignment="1" pivotButton="0" quotePrefix="0" xfId="0">
      <alignment horizontal="left" vertical="center"/>
    </xf>
    <xf numFmtId="0" fontId="8" fillId="15" borderId="3" applyAlignment="1" pivotButton="0" quotePrefix="0" xfId="0">
      <alignment horizontal="center" vertical="center"/>
    </xf>
    <xf numFmtId="164" fontId="8" fillId="15" borderId="3" applyAlignment="1" pivotButton="0" quotePrefix="0" xfId="0">
      <alignment horizontal="right" vertical="center"/>
    </xf>
    <xf numFmtId="166" fontId="8" fillId="15" borderId="3" applyAlignment="1" pivotButton="0" quotePrefix="0" xfId="0">
      <alignment horizontal="right" vertical="center"/>
    </xf>
    <xf numFmtId="167" fontId="8" fillId="15" borderId="3" applyAlignment="1" pivotButton="0" quotePrefix="0" xfId="0">
      <alignment horizontal="right" vertical="center"/>
    </xf>
    <xf numFmtId="0" fontId="8" fillId="16" borderId="3" applyAlignment="1" pivotButton="0" quotePrefix="0" xfId="0">
      <alignment horizontal="left" vertical="center"/>
    </xf>
    <xf numFmtId="0" fontId="8" fillId="16" borderId="3" applyAlignment="1" pivotButton="0" quotePrefix="0" xfId="0">
      <alignment horizontal="center" vertical="center"/>
    </xf>
    <xf numFmtId="164" fontId="8" fillId="16" borderId="3" applyAlignment="1" pivotButton="0" quotePrefix="0" xfId="0">
      <alignment horizontal="right" vertical="center"/>
    </xf>
    <xf numFmtId="166" fontId="8" fillId="16" borderId="3" applyAlignment="1" pivotButton="0" quotePrefix="0" xfId="0">
      <alignment horizontal="right" vertical="center"/>
    </xf>
    <xf numFmtId="167" fontId="8" fillId="16" borderId="3" applyAlignment="1" pivotButton="0" quotePrefix="0" xfId="0">
      <alignment horizontal="right" vertical="center"/>
    </xf>
    <xf numFmtId="0" fontId="11" fillId="15" borderId="3" applyAlignment="1" pivotButton="0" quotePrefix="0" xfId="0">
      <alignment horizontal="center" vertical="center"/>
    </xf>
    <xf numFmtId="165" fontId="8" fillId="15" borderId="3" applyAlignment="1" pivotButton="0" quotePrefix="0" xfId="0">
      <alignment horizontal="right" vertical="center"/>
    </xf>
    <xf numFmtId="167" fontId="11" fillId="15" borderId="3" applyAlignment="1" pivotButton="0" quotePrefix="0" xfId="0">
      <alignment horizontal="right" vertical="center"/>
    </xf>
    <xf numFmtId="0" fontId="12" fillId="15" borderId="3" applyAlignment="1" pivotButton="0" quotePrefix="0" xfId="0">
      <alignment horizontal="center" vertical="center"/>
    </xf>
    <xf numFmtId="0" fontId="11" fillId="16" borderId="3" applyAlignment="1" pivotButton="0" quotePrefix="0" xfId="0">
      <alignment horizontal="center" vertical="center"/>
    </xf>
    <xf numFmtId="165" fontId="8" fillId="16" borderId="3" applyAlignment="1" pivotButton="0" quotePrefix="0" xfId="0">
      <alignment horizontal="right" vertical="center"/>
    </xf>
    <xf numFmtId="0" fontId="12" fillId="16" borderId="3" applyAlignment="1" pivotButton="0" quotePrefix="0" xfId="0">
      <alignment horizontal="center" vertical="center"/>
    </xf>
    <xf numFmtId="167" fontId="11" fillId="16" borderId="3" applyAlignment="1" pivotButton="0" quotePrefix="0" xfId="0">
      <alignment horizontal="right" vertical="center"/>
    </xf>
    <xf numFmtId="0" fontId="13" fillId="15" borderId="3" applyAlignment="1" pivotButton="0" quotePrefix="0" xfId="0">
      <alignment horizontal="center" vertical="center"/>
    </xf>
    <xf numFmtId="0" fontId="13" fillId="16" borderId="3" applyAlignment="1" pivotButton="0" quotePrefix="0" xfId="0">
      <alignment horizontal="center" vertical="center"/>
    </xf>
    <xf numFmtId="0" fontId="14" fillId="15" borderId="3" applyAlignment="1" pivotButton="0" quotePrefix="0" xfId="0">
      <alignment horizontal="left" vertical="center"/>
    </xf>
    <xf numFmtId="0" fontId="15" fillId="17" borderId="3" applyAlignment="1" pivotButton="0" quotePrefix="0" xfId="0">
      <alignment horizontal="right" vertical="center"/>
    </xf>
    <xf numFmtId="164" fontId="15" fillId="17" borderId="3" applyAlignment="1" pivotButton="0" quotePrefix="0" xfId="0">
      <alignment horizontal="right" vertical="center"/>
    </xf>
    <xf numFmtId="165" fontId="15" fillId="17" borderId="3" applyAlignment="1" pivotButton="0" quotePrefix="0" xfId="0">
      <alignment horizontal="right" vertical="center"/>
    </xf>
    <xf numFmtId="167" fontId="15" fillId="17" borderId="3" applyAlignment="1" pivotButton="0" quotePrefix="0" xfId="0">
      <alignment horizontal="right" vertical="center"/>
    </xf>
    <xf numFmtId="1" fontId="15" fillId="17" borderId="3" applyAlignment="1" pivotButton="0" quotePrefix="0" xfId="0">
      <alignment horizontal="right" vertical="center"/>
    </xf>
    <xf numFmtId="0" fontId="14" fillId="16" borderId="3" applyAlignment="1" pivotButton="0" quotePrefix="0" xfId="0">
      <alignment horizontal="left" vertical="center"/>
    </xf>
    <xf numFmtId="0" fontId="16" fillId="16" borderId="3" applyAlignment="1" pivotButton="0" quotePrefix="0" xfId="0">
      <alignment horizontal="center" vertical="center"/>
    </xf>
    <xf numFmtId="0" fontId="17" fillId="16" borderId="4" applyAlignment="1" pivotButton="0" quotePrefix="0" xfId="0">
      <alignment horizontal="left" vertical="center"/>
    </xf>
    <xf numFmtId="0" fontId="8" fillId="16" borderId="4" applyAlignment="1" pivotButton="0" quotePrefix="0" xfId="0">
      <alignment horizontal="center" vertical="center"/>
    </xf>
    <xf numFmtId="164" fontId="8" fillId="16" borderId="4" applyAlignment="1" pivotButton="0" quotePrefix="0" xfId="0">
      <alignment horizontal="right" vertical="center"/>
    </xf>
    <xf numFmtId="166" fontId="8" fillId="16" borderId="4" applyAlignment="1" pivotButton="0" quotePrefix="0" xfId="0">
      <alignment horizontal="right" vertical="center"/>
    </xf>
    <xf numFmtId="167" fontId="8" fillId="16" borderId="4" applyAlignment="1" pivotButton="0" quotePrefix="0" xfId="0">
      <alignment horizontal="right" vertical="center"/>
    </xf>
    <xf numFmtId="0" fontId="17" fillId="15" borderId="4" applyAlignment="1" pivotButton="0" quotePrefix="0" xfId="0">
      <alignment horizontal="left" vertical="center"/>
    </xf>
    <xf numFmtId="0" fontId="8" fillId="15" borderId="4" applyAlignment="1" pivotButton="0" quotePrefix="0" xfId="0">
      <alignment horizontal="center" vertical="center"/>
    </xf>
    <xf numFmtId="164" fontId="8" fillId="15" borderId="4" applyAlignment="1" pivotButton="0" quotePrefix="0" xfId="0">
      <alignment horizontal="right" vertical="center"/>
    </xf>
    <xf numFmtId="166" fontId="8" fillId="15" borderId="4" applyAlignment="1" pivotButton="0" quotePrefix="0" xfId="0">
      <alignment horizontal="right" vertical="center"/>
    </xf>
    <xf numFmtId="167" fontId="8" fillId="15" borderId="4" applyAlignment="1" pivotButton="0" quotePrefix="0" xfId="0">
      <alignment horizontal="right" vertical="center"/>
    </xf>
    <xf numFmtId="0" fontId="16" fillId="15" borderId="3" applyAlignment="1" pivotButton="0" quotePrefix="0" xfId="0">
      <alignment horizontal="center" vertical="center"/>
    </xf>
    <xf numFmtId="0" fontId="7" fillId="18" borderId="3" applyAlignment="1" pivotButton="0" quotePrefix="0" xfId="0">
      <alignment horizontal="center" vertical="center" wrapText="1"/>
    </xf>
    <xf numFmtId="0" fontId="18" fillId="16" borderId="5" applyAlignment="1" pivotButton="0" quotePrefix="0" xfId="0">
      <alignment horizontal="left" vertical="center"/>
    </xf>
    <xf numFmtId="0" fontId="18" fillId="16" borderId="5" applyAlignment="1" pivotButton="0" quotePrefix="0" xfId="0">
      <alignment horizontal="center" vertical="center"/>
    </xf>
    <xf numFmtId="0" fontId="8" fillId="16" borderId="5" applyAlignment="1" pivotButton="0" quotePrefix="0" xfId="0">
      <alignment horizontal="center" vertical="center"/>
    </xf>
    <xf numFmtId="164" fontId="8" fillId="16" borderId="5" applyAlignment="1" pivotButton="0" quotePrefix="0" xfId="0">
      <alignment horizontal="right" vertical="center"/>
    </xf>
    <xf numFmtId="166" fontId="8" fillId="16" borderId="5" applyAlignment="1" pivotButton="0" quotePrefix="0" xfId="0">
      <alignment horizontal="right" vertical="center"/>
    </xf>
    <xf numFmtId="167" fontId="8" fillId="16" borderId="5" applyAlignment="1" pivotButton="0" quotePrefix="0" xfId="0">
      <alignment horizontal="right" vertical="center"/>
    </xf>
    <xf numFmtId="0" fontId="18" fillId="15" borderId="5" applyAlignment="1" pivotButton="0" quotePrefix="0" xfId="0">
      <alignment horizontal="left" vertical="center"/>
    </xf>
    <xf numFmtId="0" fontId="18" fillId="15" borderId="5" applyAlignment="1" pivotButton="0" quotePrefix="0" xfId="0">
      <alignment horizontal="center" vertical="center"/>
    </xf>
    <xf numFmtId="0" fontId="8" fillId="15" borderId="5" applyAlignment="1" pivotButton="0" quotePrefix="0" xfId="0">
      <alignment horizontal="center" vertical="center"/>
    </xf>
    <xf numFmtId="164" fontId="8" fillId="15" borderId="5" applyAlignment="1" pivotButton="0" quotePrefix="0" xfId="0">
      <alignment horizontal="right" vertical="center"/>
    </xf>
    <xf numFmtId="166" fontId="8" fillId="15" borderId="5" applyAlignment="1" pivotButton="0" quotePrefix="0" xfId="0">
      <alignment horizontal="right" vertical="center"/>
    </xf>
    <xf numFmtId="167" fontId="8" fillId="15" borderId="5" applyAlignment="1" pivotButton="0" quotePrefix="0" xfId="0">
      <alignment horizontal="right" vertical="center"/>
    </xf>
    <xf numFmtId="0" fontId="19" fillId="15" borderId="3" applyAlignment="1" pivotButton="0" quotePrefix="0" xfId="0">
      <alignment horizontal="center" vertical="center"/>
    </xf>
    <xf numFmtId="0" fontId="19" fillId="16" borderId="3" applyAlignment="1" pivotButton="0" quotePrefix="0" xfId="0">
      <alignment horizontal="center" vertical="center"/>
    </xf>
    <xf numFmtId="0" fontId="9" fillId="14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10" fillId="0" borderId="0" pivotButton="0" quotePrefix="0" xfId="0"/>
    <xf numFmtId="0" fontId="9" fillId="18" borderId="0" applyAlignment="1" pivotButton="0" quotePrefix="0" xfId="0">
      <alignment horizontal="left" vertical="center" indent="1"/>
    </xf>
    <xf numFmtId="0" fontId="9" fillId="18" borderId="2" applyAlignment="1" pivotButton="0" quotePrefix="0" xfId="0">
      <alignment horizontal="left" vertical="center" indent="1"/>
    </xf>
    <xf numFmtId="0" fontId="10" fillId="0" borderId="2" pivotButton="0" quotePrefix="0" xfId="0"/>
    <xf numFmtId="0" fontId="20" fillId="19" borderId="6" applyAlignment="1" pivotButton="0" quotePrefix="0" xfId="0">
      <alignment horizontal="center" vertical="center" wrapText="1"/>
    </xf>
    <xf numFmtId="0" fontId="21" fillId="20" borderId="7" applyAlignment="1" pivotButton="0" quotePrefix="0" xfId="0">
      <alignment horizontal="left" vertical="center"/>
    </xf>
    <xf numFmtId="0" fontId="22" fillId="20" borderId="7" applyAlignment="1" pivotButton="0" quotePrefix="0" xfId="0">
      <alignment horizontal="center" vertical="center"/>
    </xf>
    <xf numFmtId="168" fontId="22" fillId="20" borderId="7" applyAlignment="1" pivotButton="0" quotePrefix="0" xfId="0">
      <alignment horizontal="right" vertical="center"/>
    </xf>
    <xf numFmtId="165" fontId="22" fillId="20" borderId="7" applyAlignment="1" pivotButton="0" quotePrefix="0" xfId="0">
      <alignment horizontal="right" vertical="center"/>
    </xf>
    <xf numFmtId="169" fontId="22" fillId="20" borderId="7" applyAlignment="1" pivotButton="0" quotePrefix="0" xfId="0">
      <alignment horizontal="right" vertical="center"/>
    </xf>
    <xf numFmtId="170" fontId="22" fillId="20" borderId="7" applyAlignment="1" pivotButton="0" quotePrefix="0" xfId="0">
      <alignment horizontal="right" vertical="center"/>
    </xf>
    <xf numFmtId="0" fontId="21" fillId="21" borderId="7" applyAlignment="1" pivotButton="0" quotePrefix="0" xfId="0">
      <alignment horizontal="left" vertical="center"/>
    </xf>
    <xf numFmtId="0" fontId="22" fillId="21" borderId="7" applyAlignment="1" pivotButton="0" quotePrefix="0" xfId="0">
      <alignment horizontal="center" vertical="center"/>
    </xf>
    <xf numFmtId="168" fontId="22" fillId="21" borderId="7" applyAlignment="1" pivotButton="0" quotePrefix="0" xfId="0">
      <alignment horizontal="right" vertical="center"/>
    </xf>
    <xf numFmtId="165" fontId="22" fillId="21" borderId="7" applyAlignment="1" pivotButton="0" quotePrefix="0" xfId="0">
      <alignment horizontal="right" vertical="center"/>
    </xf>
    <xf numFmtId="169" fontId="22" fillId="21" borderId="7" applyAlignment="1" pivotButton="0" quotePrefix="0" xfId="0">
      <alignment horizontal="right" vertical="center"/>
    </xf>
    <xf numFmtId="170" fontId="22" fillId="21" borderId="7" applyAlignment="1" pivotButton="0" quotePrefix="0" xfId="0">
      <alignment horizontal="right" vertical="center"/>
    </xf>
    <xf numFmtId="0" fontId="22" fillId="21" borderId="6" applyAlignment="1" pivotButton="0" quotePrefix="0" xfId="0">
      <alignment horizontal="left" vertical="center"/>
    </xf>
    <xf numFmtId="0" fontId="22" fillId="21" borderId="6" applyAlignment="1" pivotButton="0" quotePrefix="0" xfId="0">
      <alignment horizontal="center" vertical="center"/>
    </xf>
    <xf numFmtId="168" fontId="22" fillId="21" borderId="6" applyAlignment="1" pivotButton="0" quotePrefix="0" xfId="0">
      <alignment horizontal="right" vertical="center"/>
    </xf>
    <xf numFmtId="165" fontId="22" fillId="21" borderId="6" applyAlignment="1" pivotButton="0" quotePrefix="0" xfId="0">
      <alignment horizontal="right" vertical="center"/>
    </xf>
    <xf numFmtId="169" fontId="22" fillId="21" borderId="6" applyAlignment="1" pivotButton="0" quotePrefix="0" xfId="0">
      <alignment horizontal="right" vertical="center"/>
    </xf>
    <xf numFmtId="170" fontId="22" fillId="21" borderId="6" applyAlignment="1" pivotButton="0" quotePrefix="0" xfId="0">
      <alignment horizontal="right" vertical="center"/>
    </xf>
    <xf numFmtId="0" fontId="22" fillId="20" borderId="6" applyAlignment="1" pivotButton="0" quotePrefix="0" xfId="0">
      <alignment horizontal="left" vertical="center"/>
    </xf>
    <xf numFmtId="0" fontId="22" fillId="20" borderId="6" applyAlignment="1" pivotButton="0" quotePrefix="0" xfId="0">
      <alignment horizontal="center" vertical="center"/>
    </xf>
    <xf numFmtId="168" fontId="22" fillId="20" borderId="6" applyAlignment="1" pivotButton="0" quotePrefix="0" xfId="0">
      <alignment horizontal="right" vertical="center"/>
    </xf>
    <xf numFmtId="165" fontId="22" fillId="20" borderId="6" applyAlignment="1" pivotButton="0" quotePrefix="0" xfId="0">
      <alignment horizontal="right" vertical="center"/>
    </xf>
    <xf numFmtId="169" fontId="22" fillId="20" borderId="6" applyAlignment="1" pivotButton="0" quotePrefix="0" xfId="0">
      <alignment horizontal="right" vertical="center"/>
    </xf>
    <xf numFmtId="170" fontId="22" fillId="20" borderId="6" applyAlignment="1" pivotButton="0" quotePrefix="0" xfId="0">
      <alignment horizontal="right" vertical="center"/>
    </xf>
    <xf numFmtId="0" fontId="23" fillId="19" borderId="0" applyAlignment="1" pivotButton="0" quotePrefix="0" xfId="0">
      <alignment horizontal="left" vertical="center" indent="1"/>
    </xf>
    <xf numFmtId="0" fontId="24" fillId="0" borderId="0" pivotButton="0" quotePrefix="0" xfId="0"/>
    <xf numFmtId="0" fontId="25" fillId="21" borderId="6" applyAlignment="1" pivotButton="0" quotePrefix="0" xfId="0">
      <alignment horizontal="left" vertical="center"/>
    </xf>
    <xf numFmtId="0" fontId="27" fillId="21" borderId="6" applyAlignment="1" pivotButton="0" quotePrefix="0" xfId="0">
      <alignment horizontal="center" vertical="center"/>
    </xf>
    <xf numFmtId="0" fontId="28" fillId="21" borderId="6" applyAlignment="1" pivotButton="0" quotePrefix="0" xfId="0">
      <alignment horizontal="center" vertical="center"/>
    </xf>
    <xf numFmtId="0" fontId="30" fillId="20" borderId="6" applyAlignment="1" pivotButton="0" quotePrefix="0" xfId="0">
      <alignment horizontal="center" vertical="center"/>
    </xf>
    <xf numFmtId="170" fontId="30" fillId="20" borderId="6" applyAlignment="1" pivotButton="0" quotePrefix="0" xfId="0">
      <alignment horizontal="right" vertical="center"/>
    </xf>
    <xf numFmtId="0" fontId="28" fillId="20" borderId="6" applyAlignment="1" pivotButton="0" quotePrefix="0" xfId="0">
      <alignment horizontal="center" vertical="center"/>
    </xf>
    <xf numFmtId="0" fontId="30" fillId="21" borderId="6" applyAlignment="1" pivotButton="0" quotePrefix="0" xfId="0">
      <alignment horizontal="center" vertical="center"/>
    </xf>
    <xf numFmtId="170" fontId="30" fillId="21" borderId="6" applyAlignment="1" pivotButton="0" quotePrefix="0" xfId="0">
      <alignment horizontal="right" vertical="center"/>
    </xf>
    <xf numFmtId="0" fontId="25" fillId="20" borderId="6" applyAlignment="1" pivotButton="0" quotePrefix="0" xfId="0">
      <alignment horizontal="left" vertical="center"/>
    </xf>
    <xf numFmtId="0" fontId="27" fillId="20" borderId="6" applyAlignment="1" pivotButton="0" quotePrefix="0" xfId="0">
      <alignment horizontal="center" vertical="center"/>
    </xf>
    <xf numFmtId="0" fontId="29" fillId="21" borderId="6" applyAlignment="1" pivotButton="0" quotePrefix="0" xfId="0">
      <alignment horizontal="center" vertical="center"/>
    </xf>
    <xf numFmtId="0" fontId="29" fillId="20" borderId="6" applyAlignment="1" pivotButton="0" quotePrefix="0" xfId="0">
      <alignment horizontal="center" vertical="center"/>
    </xf>
    <xf numFmtId="0" fontId="31" fillId="22" borderId="6" applyAlignment="1" pivotButton="0" quotePrefix="0" xfId="0">
      <alignment horizontal="right" vertical="center"/>
    </xf>
    <xf numFmtId="168" fontId="31" fillId="22" borderId="6" applyAlignment="1" pivotButton="0" quotePrefix="0" xfId="0">
      <alignment horizontal="right" vertical="center"/>
    </xf>
    <xf numFmtId="165" fontId="31" fillId="22" borderId="6" applyAlignment="1" pivotButton="0" quotePrefix="0" xfId="0">
      <alignment horizontal="right" vertical="center"/>
    </xf>
    <xf numFmtId="170" fontId="31" fillId="22" borderId="6" applyAlignment="1" pivotButton="0" quotePrefix="0" xfId="0">
      <alignment horizontal="right" vertical="center"/>
    </xf>
    <xf numFmtId="1" fontId="31" fillId="22" borderId="6" applyAlignment="1" pivotButton="0" quotePrefix="0" xfId="0">
      <alignment horizontal="right" vertical="center"/>
    </xf>
    <xf numFmtId="0" fontId="20" fillId="23" borderId="6" applyAlignment="1" pivotButton="0" quotePrefix="0" xfId="0">
      <alignment horizontal="center" vertical="center" wrapText="1"/>
    </xf>
    <xf numFmtId="0" fontId="32" fillId="20" borderId="8" applyAlignment="1" pivotButton="0" quotePrefix="0" xfId="0">
      <alignment horizontal="left" vertical="center"/>
    </xf>
    <xf numFmtId="0" fontId="32" fillId="20" borderId="8" applyAlignment="1" pivotButton="0" quotePrefix="0" xfId="0">
      <alignment horizontal="center" vertical="center"/>
    </xf>
    <xf numFmtId="0" fontId="21" fillId="20" borderId="8" applyAlignment="1" pivotButton="0" quotePrefix="0" xfId="0">
      <alignment horizontal="center" vertical="center"/>
    </xf>
    <xf numFmtId="0" fontId="22" fillId="20" borderId="8" applyAlignment="1" pivotButton="0" quotePrefix="0" xfId="0">
      <alignment horizontal="center" vertical="center"/>
    </xf>
    <xf numFmtId="168" fontId="22" fillId="20" borderId="8" applyAlignment="1" pivotButton="0" quotePrefix="0" xfId="0">
      <alignment horizontal="right" vertical="center"/>
    </xf>
    <xf numFmtId="169" fontId="22" fillId="20" borderId="8" applyAlignment="1" pivotButton="0" quotePrefix="0" xfId="0">
      <alignment horizontal="right" vertical="center"/>
    </xf>
    <xf numFmtId="170" fontId="22" fillId="20" borderId="8" applyAlignment="1" pivotButton="0" quotePrefix="0" xfId="0">
      <alignment horizontal="right" vertical="center"/>
    </xf>
    <xf numFmtId="0" fontId="33" fillId="20" borderId="6" applyAlignment="1" pivotButton="0" quotePrefix="0" xfId="0">
      <alignment horizontal="center" vertical="center"/>
    </xf>
    <xf numFmtId="0" fontId="32" fillId="21" borderId="8" applyAlignment="1" pivotButton="0" quotePrefix="0" xfId="0">
      <alignment horizontal="left" vertical="center"/>
    </xf>
    <xf numFmtId="0" fontId="32" fillId="21" borderId="8" applyAlignment="1" pivotButton="0" quotePrefix="0" xfId="0">
      <alignment horizontal="center" vertical="center"/>
    </xf>
    <xf numFmtId="0" fontId="21" fillId="21" borderId="8" applyAlignment="1" pivotButton="0" quotePrefix="0" xfId="0">
      <alignment horizontal="center" vertical="center"/>
    </xf>
    <xf numFmtId="0" fontId="22" fillId="21" borderId="8" applyAlignment="1" pivotButton="0" quotePrefix="0" xfId="0">
      <alignment horizontal="center" vertical="center"/>
    </xf>
    <xf numFmtId="168" fontId="22" fillId="21" borderId="8" applyAlignment="1" pivotButton="0" quotePrefix="0" xfId="0">
      <alignment horizontal="right" vertical="center"/>
    </xf>
    <xf numFmtId="169" fontId="22" fillId="21" borderId="8" applyAlignment="1" pivotButton="0" quotePrefix="0" xfId="0">
      <alignment horizontal="right" vertical="center"/>
    </xf>
    <xf numFmtId="170" fontId="22" fillId="21" borderId="8" applyAlignment="1" pivotButton="0" quotePrefix="0" xfId="0">
      <alignment horizontal="right" vertical="center"/>
    </xf>
    <xf numFmtId="0" fontId="33" fillId="21" borderId="6" applyAlignment="1" pivotButton="0" quotePrefix="0" xfId="0">
      <alignment horizontal="center" vertical="center"/>
    </xf>
    <xf numFmtId="0" fontId="23" fillId="23" borderId="0" applyAlignment="1" pivotButton="0" quotePrefix="0" xfId="0">
      <alignment horizontal="left" vertical="center" indent="1"/>
    </xf>
    <xf numFmtId="0" fontId="34" fillId="21" borderId="6" applyAlignment="1" pivotButton="0" quotePrefix="0" xfId="0">
      <alignment horizontal="center" vertical="center"/>
    </xf>
    <xf numFmtId="0" fontId="35" fillId="21" borderId="6" applyAlignment="1" pivotButton="0" quotePrefix="0" xfId="0">
      <alignment horizontal="center" vertical="center"/>
    </xf>
    <xf numFmtId="0" fontId="36" fillId="21" borderId="6" applyAlignment="1" pivotButton="0" quotePrefix="0" xfId="0">
      <alignment horizontal="center" vertical="center"/>
    </xf>
    <xf numFmtId="0" fontId="34" fillId="20" borderId="6" applyAlignment="1" pivotButton="0" quotePrefix="0" xfId="0">
      <alignment horizontal="center" vertical="center"/>
    </xf>
    <xf numFmtId="0" fontId="35" fillId="20" borderId="6" applyAlignment="1" pivotButton="0" quotePrefix="0" xfId="0">
      <alignment horizontal="center" vertical="center"/>
    </xf>
    <xf numFmtId="0" fontId="36" fillId="20" borderId="6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 wrapText="1"/>
    </xf>
    <xf numFmtId="0" fontId="37" fillId="24" borderId="0" applyAlignment="1" pivotButton="0" quotePrefix="0" xfId="0">
      <alignment horizontal="left" vertical="center" indent="1"/>
    </xf>
    <xf numFmtId="0" fontId="38" fillId="0" borderId="6" applyAlignment="1" pivotButton="0" quotePrefix="0" xfId="0">
      <alignment horizontal="left" vertical="center"/>
    </xf>
    <xf numFmtId="0" fontId="39" fillId="0" borderId="6" applyAlignment="1" pivotButton="0" quotePrefix="0" xfId="0">
      <alignment horizontal="left" vertical="center" indent="1"/>
    </xf>
    <xf numFmtId="168" fontId="40" fillId="25" borderId="6" applyAlignment="1" pivotButton="0" quotePrefix="0" xfId="0">
      <alignment horizontal="right" vertical="center"/>
    </xf>
    <xf numFmtId="0" fontId="41" fillId="0" borderId="6" applyAlignment="1" pivotButton="0" quotePrefix="0" xfId="0">
      <alignment horizontal="center" vertical="center"/>
    </xf>
    <xf numFmtId="0" fontId="26" fillId="0" borderId="6" applyAlignment="1" pivotButton="0" quotePrefix="0" xfId="0">
      <alignment horizontal="left" vertical="center" wrapText="1"/>
    </xf>
    <xf numFmtId="171" fontId="40" fillId="25" borderId="6" applyAlignment="1" pivotButton="0" quotePrefix="0" xfId="0">
      <alignment horizontal="right" vertical="center"/>
    </xf>
    <xf numFmtId="172" fontId="40" fillId="25" borderId="6" applyAlignment="1" pivotButton="0" quotePrefix="0" xfId="0">
      <alignment horizontal="right" vertical="center"/>
    </xf>
    <xf numFmtId="1" fontId="40" fillId="25" borderId="6" applyAlignment="1" pivotButton="0" quotePrefix="0" xfId="0">
      <alignment horizontal="right" vertical="center"/>
    </xf>
    <xf numFmtId="168" fontId="42" fillId="26" borderId="6" applyAlignment="1" pivotButton="0" quotePrefix="0" xfId="0">
      <alignment horizontal="right" vertical="center"/>
    </xf>
    <xf numFmtId="0" fontId="43" fillId="19" borderId="6" applyAlignment="1" pivotButton="0" quotePrefix="0" xfId="0">
      <alignment horizontal="left" vertical="center" indent="1"/>
    </xf>
    <xf numFmtId="1" fontId="42" fillId="26" borderId="6" applyAlignment="1" pivotButton="0" quotePrefix="0" xfId="0">
      <alignment horizontal="right" vertical="center"/>
    </xf>
    <xf numFmtId="168" fontId="44" fillId="26" borderId="6" applyAlignment="1" pivotButton="0" quotePrefix="0" xfId="0">
      <alignment horizontal="right" vertical="center"/>
    </xf>
    <xf numFmtId="171" fontId="44" fillId="26" borderId="6" applyAlignment="1" pivotButton="0" quotePrefix="0" xfId="0">
      <alignment horizontal="right" vertical="center"/>
    </xf>
    <xf numFmtId="172" fontId="44" fillId="26" borderId="6" applyAlignment="1" pivotButton="0" quotePrefix="0" xfId="0">
      <alignment horizontal="right" vertical="center"/>
    </xf>
    <xf numFmtId="0" fontId="45" fillId="0" borderId="6" applyAlignment="1" pivotButton="0" quotePrefix="0" xfId="0">
      <alignment horizontal="left" vertical="center" indent="1"/>
    </xf>
    <xf numFmtId="173" fontId="46" fillId="27" borderId="9" applyAlignment="1" pivotButton="0" quotePrefix="0" xfId="0">
      <alignment horizontal="right" vertical="center"/>
    </xf>
    <xf numFmtId="1" fontId="47" fillId="27" borderId="9" applyAlignment="1" pivotButton="0" quotePrefix="0" xfId="0">
      <alignment horizontal="right" vertical="center"/>
    </xf>
    <xf numFmtId="3" fontId="44" fillId="26" borderId="6" applyAlignment="1" pivotButton="0" quotePrefix="0" xfId="0">
      <alignment horizontal="right" vertical="center"/>
    </xf>
    <xf numFmtId="171" fontId="22" fillId="21" borderId="6" applyAlignment="1" pivotButton="0" quotePrefix="0" xfId="0">
      <alignment horizontal="right" vertical="center"/>
    </xf>
    <xf numFmtId="172" fontId="22" fillId="21" borderId="6" applyAlignment="1" pivotButton="0" quotePrefix="0" xfId="0">
      <alignment horizontal="right" vertical="center"/>
    </xf>
    <xf numFmtId="0" fontId="22" fillId="21" borderId="6" applyAlignment="1" pivotButton="0" quotePrefix="0" xfId="0">
      <alignment horizontal="right" vertical="center"/>
    </xf>
    <xf numFmtId="171" fontId="22" fillId="20" borderId="6" applyAlignment="1" pivotButton="0" quotePrefix="0" xfId="0">
      <alignment horizontal="right" vertical="center"/>
    </xf>
    <xf numFmtId="172" fontId="22" fillId="20" borderId="6" applyAlignment="1" pivotButton="0" quotePrefix="0" xfId="0">
      <alignment horizontal="right" vertical="center"/>
    </xf>
    <xf numFmtId="0" fontId="22" fillId="20" borderId="6" applyAlignment="1" pivotButton="0" quotePrefix="0" xfId="0">
      <alignment horizontal="right" vertical="center"/>
    </xf>
    <xf numFmtId="0" fontId="48" fillId="22" borderId="0" applyAlignment="1" pivotButton="0" quotePrefix="0" xfId="0">
      <alignment horizontal="right" vertical="center"/>
    </xf>
    <xf numFmtId="168" fontId="48" fillId="22" borderId="6" applyAlignment="1" pivotButton="0" quotePrefix="0" xfId="0">
      <alignment horizontal="right" vertical="center"/>
    </xf>
    <xf numFmtId="171" fontId="48" fillId="22" borderId="6" applyAlignment="1" pivotButton="0" quotePrefix="0" xfId="0">
      <alignment horizontal="right" vertical="center"/>
    </xf>
    <xf numFmtId="172" fontId="48" fillId="22" borderId="6" applyAlignment="1" pivotButton="0" quotePrefix="0" xfId="0">
      <alignment horizontal="right" vertical="center"/>
    </xf>
    <xf numFmtId="1" fontId="44" fillId="26" borderId="6" applyAlignment="1" pivotButton="0" quotePrefix="0" xfId="0">
      <alignment horizontal="right" vertical="center"/>
    </xf>
    <xf numFmtId="0" fontId="49" fillId="0" borderId="6" applyAlignment="1" pivotButton="0" quotePrefix="0" xfId="0">
      <alignment horizontal="left" vertical="center" indent="1"/>
    </xf>
    <xf numFmtId="173" fontId="47" fillId="27" borderId="9" applyAlignment="1" pivotButton="0" quotePrefix="0" xfId="0">
      <alignment horizontal="right" vertical="center"/>
    </xf>
    <xf numFmtId="0" fontId="49" fillId="26" borderId="6" applyAlignment="1" pivotButton="0" quotePrefix="0" xfId="0">
      <alignment horizontal="center" vertical="center"/>
    </xf>
    <xf numFmtId="0" fontId="31" fillId="21" borderId="6" applyAlignment="1" pivotButton="0" quotePrefix="0" xfId="0">
      <alignment horizontal="center" vertical="center"/>
    </xf>
    <xf numFmtId="0" fontId="31" fillId="20" borderId="6" applyAlignment="1" pivotButton="0" quotePrefix="0" xfId="0">
      <alignment horizontal="center" vertical="center"/>
    </xf>
    <xf numFmtId="0" fontId="50" fillId="19" borderId="0" applyAlignment="1" pivotButton="0" quotePrefix="0" xfId="0">
      <alignment horizontal="left" vertical="center" indent="1"/>
    </xf>
    <xf numFmtId="0" fontId="39" fillId="0" borderId="6" applyAlignment="1" pivotButton="0" quotePrefix="0" xfId="0">
      <alignment horizontal="left" vertical="center" indent="2"/>
    </xf>
    <xf numFmtId="3" fontId="47" fillId="27" borderId="9" applyAlignment="1" pivotButton="0" quotePrefix="0" xfId="0">
      <alignment horizontal="right" vertical="center"/>
    </xf>
    <xf numFmtId="168" fontId="47" fillId="27" borderId="9" applyAlignment="1" pivotButton="0" quotePrefix="0" xfId="0">
      <alignment horizontal="right" vertical="center"/>
    </xf>
    <xf numFmtId="171" fontId="47" fillId="27" borderId="9" applyAlignment="1" pivotButton="0" quotePrefix="0" xfId="0">
      <alignment horizontal="right" vertical="center"/>
    </xf>
    <xf numFmtId="3" fontId="49" fillId="28" borderId="6" applyAlignment="1" pivotButton="0" quotePrefix="0" xfId="0">
      <alignment horizontal="right" vertical="center"/>
    </xf>
    <xf numFmtId="3" fontId="49" fillId="29" borderId="6" applyAlignment="1" pivotButton="0" quotePrefix="0" xfId="0">
      <alignment horizontal="right" vertical="center"/>
    </xf>
    <xf numFmtId="3" fontId="49" fillId="30" borderId="6" applyAlignment="1" pivotButton="0" quotePrefix="0" xfId="0">
      <alignment horizontal="right" vertical="center"/>
    </xf>
    <xf numFmtId="3" fontId="49" fillId="31" borderId="6" applyAlignment="1" pivotButton="0" quotePrefix="0" xfId="0">
      <alignment horizontal="right" vertical="center"/>
    </xf>
    <xf numFmtId="172" fontId="47" fillId="27" borderId="9" applyAlignment="1" pivotButton="0" quotePrefix="0" xfId="0">
      <alignment horizontal="right" vertical="center"/>
    </xf>
    <xf numFmtId="0" fontId="31" fillId="0" borderId="6" applyAlignment="1" pivotButton="0" quotePrefix="0" xfId="0">
      <alignment horizontal="center" vertical="center"/>
    </xf>
    <xf numFmtId="0" fontId="39" fillId="0" borderId="6" pivotButton="0" quotePrefix="0" xfId="0"/>
    <xf numFmtId="168" fontId="39" fillId="0" borderId="6" pivotButton="0" quotePrefix="0" xfId="0"/>
    <xf numFmtId="171" fontId="39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style="98" min="1" max="1"/>
    <col width="50" customWidth="1" style="98" min="2" max="2"/>
    <col width="16" customWidth="1" style="98" min="3" max="3"/>
    <col width="14" customWidth="1" style="98" min="4" max="4"/>
    <col width="60" customWidth="1" style="98" min="5" max="5"/>
  </cols>
  <sheetData>
    <row r="1" ht="28" customHeight="1" s="98">
      <c r="A1" s="128" t="inlineStr">
        <is>
          <t>00 · SUPUESTOS — única fuente de verdad del modelo financiero</t>
        </is>
      </c>
    </row>
    <row r="2">
      <c r="A2" s="171" t="inlineStr">
        <is>
          <t>Edita los valores en amarillo. Todas las hojas (P&amp;L, Unit Economics, Escenarios, Dashboard) recalculan automáticamente.</t>
        </is>
      </c>
    </row>
    <row r="4" ht="28" customHeight="1" s="98">
      <c r="A4" s="103" t="inlineStr">
        <is>
          <t>Variable</t>
        </is>
      </c>
      <c r="B4" s="103" t="inlineStr">
        <is>
          <t>Etiqueta</t>
        </is>
      </c>
      <c r="C4" s="103" t="inlineStr">
        <is>
          <t>Valor</t>
        </is>
      </c>
      <c r="D4" s="103" t="inlineStr">
        <is>
          <t>Unidad</t>
        </is>
      </c>
      <c r="E4" s="103" t="inlineStr">
        <is>
          <t>Nota / fuente</t>
        </is>
      </c>
    </row>
    <row r="5" ht="22" customHeight="1" s="98">
      <c r="A5" s="172" t="inlineStr">
        <is>
          <t>PLATAFORMA &amp; COSTES FIJOS</t>
        </is>
      </c>
    </row>
    <row r="6">
      <c r="A6" s="173" t="inlineStr">
        <is>
          <t>Shopify_plan</t>
        </is>
      </c>
      <c r="B6" s="174" t="inlineStr">
        <is>
          <t>Plan Shopify (mensual)</t>
        </is>
      </c>
      <c r="C6" s="175" t="n">
        <v>29</v>
      </c>
      <c r="D6" s="176" t="inlineStr">
        <is>
          <t>€/mes</t>
        </is>
      </c>
      <c r="E6" s="177" t="inlineStr">
        <is>
          <t>Plan Basic 29€/mes confirmado por usuario.</t>
        </is>
      </c>
    </row>
    <row r="7">
      <c r="A7" s="173" t="inlineStr">
        <is>
          <t>Dominio</t>
        </is>
      </c>
      <c r="B7" s="174" t="inlineStr">
        <is>
          <t>Dominio (prorrateado)</t>
        </is>
      </c>
      <c r="C7" s="175" t="n">
        <v>1</v>
      </c>
      <c r="D7" s="176" t="inlineStr">
        <is>
          <t>€/mes</t>
        </is>
      </c>
      <c r="E7" s="177" t="inlineStr">
        <is>
          <t>12€/año aprox / 12 meses.</t>
        </is>
      </c>
    </row>
    <row r="8">
      <c r="A8" s="173" t="inlineStr">
        <is>
          <t>Apps</t>
        </is>
      </c>
      <c r="B8" s="174" t="inlineStr">
        <is>
          <t>Apps Shopify (B2B, etc.)</t>
        </is>
      </c>
      <c r="C8" s="175" t="n">
        <v>30</v>
      </c>
      <c r="D8" s="176" t="inlineStr">
        <is>
          <t>€/mes</t>
        </is>
      </c>
      <c r="E8" s="177" t="inlineStr">
        <is>
          <t>Estimación inicial; ajustar cuando se contraten.</t>
        </is>
      </c>
    </row>
    <row r="9">
      <c r="A9" s="173" t="inlineStr">
        <is>
          <t>Personal_fijo</t>
        </is>
      </c>
      <c r="B9" s="174" t="inlineStr">
        <is>
          <t>Personal fijo (sueldos)</t>
        </is>
      </c>
      <c r="C9" s="175" t="n">
        <v>0</v>
      </c>
      <c r="D9" s="176" t="inlineStr">
        <is>
          <t>€/mes</t>
        </is>
      </c>
      <c r="E9" s="177" t="inlineStr">
        <is>
          <t>0€ por ahora — los socios cobran del beneficio. Editar cuando haya nómina.</t>
        </is>
      </c>
    </row>
    <row r="10" ht="22" customHeight="1" s="98">
      <c r="A10" s="172" t="inlineStr">
        <is>
          <t>COMISIONES DE PAGO</t>
        </is>
      </c>
    </row>
    <row r="11">
      <c r="A11" s="173" t="inlineStr">
        <is>
          <t>Comision_pago_pct</t>
        </is>
      </c>
      <c r="B11" s="174" t="inlineStr">
        <is>
          <t>Comisión Shopify Payments (% sobre venta)</t>
        </is>
      </c>
      <c r="C11" s="178" t="n">
        <v>0.015</v>
      </c>
      <c r="D11" s="176" t="inlineStr">
        <is>
          <t>%</t>
        </is>
      </c>
      <c r="E11" s="177" t="inlineStr">
        <is>
          <t>1,5% medio España. Stripe ~1,4%+0,25; PayPal ~3,4%+0,35.</t>
        </is>
      </c>
    </row>
    <row r="12">
      <c r="A12" s="173" t="inlineStr">
        <is>
          <t>Comision_pago_fija</t>
        </is>
      </c>
      <c r="B12" s="174" t="inlineStr">
        <is>
          <t>Comisión fija por transacción</t>
        </is>
      </c>
      <c r="C12" s="175" t="n">
        <v>0.25</v>
      </c>
      <c r="D12" s="176" t="inlineStr">
        <is>
          <t>€/pedido</t>
        </is>
      </c>
      <c r="E12" s="177" t="inlineStr">
        <is>
          <t>Coste fijo independiente del importe.</t>
        </is>
      </c>
    </row>
    <row r="13" ht="22" customHeight="1" s="98">
      <c r="A13" s="172" t="inlineStr">
        <is>
          <t>LOGÍSTICA SALIDA</t>
        </is>
      </c>
    </row>
    <row r="14">
      <c r="A14" s="173" t="inlineStr">
        <is>
          <t>Hevea_umbral_envio_gratis</t>
        </is>
      </c>
      <c r="B14" s="174" t="inlineStr">
        <is>
          <t>Hevea — umbral envío gratis</t>
        </is>
      </c>
      <c r="C14" s="175" t="n">
        <v>900</v>
      </c>
      <c r="D14" s="176" t="inlineStr">
        <is>
          <t>€</t>
        </is>
      </c>
      <c r="E14" s="177" t="inlineStr">
        <is>
          <t>Pedidos &gt; umbral van gratis a península (acuerdo con Hevea).</t>
        </is>
      </c>
    </row>
    <row r="15">
      <c r="A15" s="173" t="inlineStr">
        <is>
          <t>Hevea_coste_envio_bajo</t>
        </is>
      </c>
      <c r="B15" s="174" t="inlineStr">
        <is>
          <t>Hevea — coste envío si &lt; umbral</t>
        </is>
      </c>
      <c r="C15" s="175" t="n">
        <v>30</v>
      </c>
      <c r="D15" s="176" t="inlineStr">
        <is>
          <t>€/pedido</t>
        </is>
      </c>
      <c r="E15" s="177" t="inlineStr">
        <is>
          <t>Estimación; producto voluminoso. Ajustar con tarifa real del transportista.</t>
        </is>
      </c>
    </row>
    <row r="16">
      <c r="A16" s="173" t="inlineStr">
        <is>
          <t>Balliu_coste_envio</t>
        </is>
      </c>
      <c r="B16" s="174" t="inlineStr">
        <is>
          <t>Balliu — coste envío medio</t>
        </is>
      </c>
      <c r="C16" s="175" t="n">
        <v>30</v>
      </c>
      <c r="D16" s="176" t="inlineStr">
        <is>
          <t>€/pedido</t>
        </is>
      </c>
      <c r="E16" s="177" t="inlineStr">
        <is>
          <t>Sin acuerdo confirmado. Estimación misma magnitud que Hevea bajo umbral.</t>
        </is>
      </c>
    </row>
    <row r="17">
      <c r="A17" s="173" t="inlineStr">
        <is>
          <t>Coste_medio_envio_pedido</t>
        </is>
      </c>
      <c r="B17" s="174" t="inlineStr">
        <is>
          <t>Coste medio mezcla del catálogo (asignado a pedido)</t>
        </is>
      </c>
      <c r="C17" s="175" t="n">
        <v>22</v>
      </c>
      <c r="D17" s="176" t="inlineStr">
        <is>
          <t>€/pedido</t>
        </is>
      </c>
      <c r="E17" s="177" t="inlineStr">
        <is>
          <t>Asume mezcla: 50% Hevea (la mitad &gt;900€ gratis) + 50% Balliu siempre con coste.</t>
        </is>
      </c>
    </row>
    <row r="18" ht="22" customHeight="1" s="98">
      <c r="A18" s="172" t="inlineStr">
        <is>
          <t>DEVOLUCIONES E INCIDENCIAS</t>
        </is>
      </c>
    </row>
    <row r="19">
      <c r="A19" s="173" t="inlineStr">
        <is>
          <t>Tasa_devolucion</t>
        </is>
      </c>
      <c r="B19" s="174" t="inlineStr">
        <is>
          <t>Tasa de devolución (% pedidos)</t>
        </is>
      </c>
      <c r="C19" s="178" t="n">
        <v>0.04</v>
      </c>
      <c r="D19" s="176" t="inlineStr">
        <is>
          <t>%</t>
        </is>
      </c>
      <c r="E19" s="177" t="inlineStr">
        <is>
          <t>4% — típico mobiliario premium (vs 20-30% moda). Ajustar con datos reales.</t>
        </is>
      </c>
    </row>
    <row r="20">
      <c r="A20" s="173" t="inlineStr">
        <is>
          <t>Coste_devolucion</t>
        </is>
      </c>
      <c r="B20" s="174" t="inlineStr">
        <is>
          <t>Coste medio por devolución</t>
        </is>
      </c>
      <c r="C20" s="175" t="n">
        <v>50</v>
      </c>
      <c r="D20" s="176" t="inlineStr">
        <is>
          <t>€</t>
        </is>
      </c>
      <c r="E20" s="177" t="inlineStr">
        <is>
          <t>Logística inversa de producto voluminoso.</t>
        </is>
      </c>
    </row>
    <row r="21">
      <c r="A21" s="173" t="inlineStr">
        <is>
          <t>Tasa_incidencia</t>
        </is>
      </c>
      <c r="B21" s="174" t="inlineStr">
        <is>
          <t>Tasa de incidencias transporte (% pedidos)</t>
        </is>
      </c>
      <c r="C21" s="178" t="n">
        <v>0.02</v>
      </c>
      <c r="D21" s="176" t="inlineStr">
        <is>
          <t>%</t>
        </is>
      </c>
      <c r="E21" s="177" t="inlineStr">
        <is>
          <t>Roturas, daños, retraso indemnizado.</t>
        </is>
      </c>
    </row>
    <row r="22">
      <c r="A22" s="173" t="inlineStr">
        <is>
          <t>Coste_incidencia</t>
        </is>
      </c>
      <c r="B22" s="174" t="inlineStr">
        <is>
          <t>Coste medio por incidencia</t>
        </is>
      </c>
      <c r="C22" s="175" t="n">
        <v>80</v>
      </c>
      <c r="D22" s="176" t="inlineStr">
        <is>
          <t>€</t>
        </is>
      </c>
      <c r="E22" s="177" t="inlineStr">
        <is>
          <t>Reposición parcial, descuentos comerciales, gestión.</t>
        </is>
      </c>
    </row>
    <row r="23" ht="22" customHeight="1" s="98">
      <c r="A23" s="172" t="inlineStr">
        <is>
          <t>MARKETING — ROAS OBJETIVO</t>
        </is>
      </c>
    </row>
    <row r="24">
      <c r="A24" s="173" t="inlineStr">
        <is>
          <t>ROAS_conservador</t>
        </is>
      </c>
      <c r="B24" s="174" t="inlineStr">
        <is>
          <t>ROAS objetivo — escenario CONSERVADOR</t>
        </is>
      </c>
      <c r="C24" s="179" t="n">
        <v>5</v>
      </c>
      <c r="D24" s="176" t="inlineStr">
        <is>
          <t>x</t>
        </is>
      </c>
      <c r="E24" s="177" t="inlineStr">
        <is>
          <t>Más conservador = invertimos menos, beneficio cierto. ROAS 5 = 1€ → 5€ ventas.</t>
        </is>
      </c>
    </row>
    <row r="25">
      <c r="A25" s="173" t="inlineStr">
        <is>
          <t>ROAS_base</t>
        </is>
      </c>
      <c r="B25" s="174" t="inlineStr">
        <is>
          <t>ROAS objetivo — escenario BASE</t>
        </is>
      </c>
      <c r="C25" s="179" t="n">
        <v>4</v>
      </c>
      <c r="D25" s="176" t="inlineStr">
        <is>
          <t>x</t>
        </is>
      </c>
      <c r="E25" s="177" t="inlineStr">
        <is>
          <t>Realista para mobiliario premium con paid media bien optimizado.</t>
        </is>
      </c>
    </row>
    <row r="26">
      <c r="A26" s="173" t="inlineStr">
        <is>
          <t>ROAS_optimista</t>
        </is>
      </c>
      <c r="B26" s="174" t="inlineStr">
        <is>
          <t>ROAS objetivo — escenario OPTIMISTA</t>
        </is>
      </c>
      <c r="C26" s="179" t="n">
        <v>3</v>
      </c>
      <c r="D26" s="176" t="inlineStr">
        <is>
          <t>x</t>
        </is>
      </c>
      <c r="E26" s="177" t="inlineStr">
        <is>
          <t>Más optimista = más volumen, más riesgo. ROAS 3 = punto de inflexión.</t>
        </is>
      </c>
    </row>
    <row r="27" ht="22" customHeight="1" s="98">
      <c r="A27" s="172" t="inlineStr">
        <is>
          <t>WEB &amp; CONVERSIÓN</t>
        </is>
      </c>
    </row>
    <row r="28">
      <c r="A28" s="173" t="inlineStr">
        <is>
          <t>Tasa_conversion</t>
        </is>
      </c>
      <c r="B28" s="174" t="inlineStr">
        <is>
          <t>Tasa de conversión web (sesión → pedido)</t>
        </is>
      </c>
      <c r="C28" s="178" t="n">
        <v>0.008</v>
      </c>
      <c r="D28" s="176" t="inlineStr">
        <is>
          <t>%</t>
        </is>
      </c>
      <c r="E28" s="177" t="inlineStr">
        <is>
          <t>0,8% — referencia mobiliario premium. Mejorable con UX y trust.</t>
        </is>
      </c>
    </row>
    <row r="29">
      <c r="A29" s="173" t="inlineStr">
        <is>
          <t>AOV</t>
        </is>
      </c>
      <c r="B29" s="174" t="inlineStr">
        <is>
          <t>AOV / ticket medio objetivo (con IVA)</t>
        </is>
      </c>
      <c r="C29" s="175" t="n">
        <v>500</v>
      </c>
      <c r="D29" s="176" t="inlineStr">
        <is>
          <t>€</t>
        </is>
      </c>
      <c r="E29" s="177" t="inlineStr">
        <is>
          <t>500€ confirmado por usuario.</t>
        </is>
      </c>
    </row>
    <row r="30" ht="22" customHeight="1" s="98">
      <c r="A30" s="172" t="inlineStr">
        <is>
          <t>VOLUMEN ESCENARIO BASE</t>
        </is>
      </c>
    </row>
    <row r="31">
      <c r="A31" s="173" t="inlineStr">
        <is>
          <t>Pedidos_mes_conservador</t>
        </is>
      </c>
      <c r="B31" s="174" t="inlineStr">
        <is>
          <t>Pedidos/mes — CONSERVADOR</t>
        </is>
      </c>
      <c r="C31" s="180" t="n">
        <v>15</v>
      </c>
      <c r="D31" s="176" t="inlineStr">
        <is>
          <t>pedidos</t>
        </is>
      </c>
      <c r="E31" s="177" t="inlineStr">
        <is>
          <t>Arranque suave, 1 pedido cada 2 días.</t>
        </is>
      </c>
    </row>
    <row r="32">
      <c r="A32" s="173" t="inlineStr">
        <is>
          <t>Pedidos_mes_base</t>
        </is>
      </c>
      <c r="B32" s="174" t="inlineStr">
        <is>
          <t>Pedidos/mes — BASE</t>
        </is>
      </c>
      <c r="C32" s="180" t="n">
        <v>30</v>
      </c>
      <c r="D32" s="176" t="inlineStr">
        <is>
          <t>pedidos</t>
        </is>
      </c>
      <c r="E32" s="177" t="inlineStr">
        <is>
          <t>1 pedido al día. Realista mes 6-12.</t>
        </is>
      </c>
    </row>
    <row r="33">
      <c r="A33" s="173" t="inlineStr">
        <is>
          <t>Pedidos_mes_optimista</t>
        </is>
      </c>
      <c r="B33" s="174" t="inlineStr">
        <is>
          <t>Pedidos/mes — OPTIMISTA</t>
        </is>
      </c>
      <c r="C33" s="180" t="n">
        <v>60</v>
      </c>
      <c r="D33" s="176" t="inlineStr">
        <is>
          <t>pedidos</t>
        </is>
      </c>
      <c r="E33" s="177" t="inlineStr">
        <is>
          <t>2 pedidos al día. Crecimiento sostenido.</t>
        </is>
      </c>
    </row>
    <row r="34" ht="22" customHeight="1" s="98">
      <c r="A34" s="172" t="inlineStr">
        <is>
          <t>FISCAL</t>
        </is>
      </c>
    </row>
    <row r="35">
      <c r="A35" s="173" t="inlineStr">
        <is>
          <t>IVA</t>
        </is>
      </c>
      <c r="B35" s="174" t="inlineStr">
        <is>
          <t>IVA aplicado</t>
        </is>
      </c>
      <c r="C35" s="178" t="n">
        <v>0.21</v>
      </c>
      <c r="D35" s="176" t="inlineStr">
        <is>
          <t>%</t>
        </is>
      </c>
      <c r="E35" s="177" t="inlineStr">
        <is>
          <t>21% España. Incluido en PVP de la hoja 20260508 -Todos.</t>
        </is>
      </c>
    </row>
    <row r="36" ht="22" customHeight="1" s="98">
      <c r="A36" s="172" t="inlineStr">
        <is>
          <t>CATÁLOGO (precalculado al ejecutar el script)</t>
        </is>
      </c>
    </row>
    <row r="37">
      <c r="A37" s="173" t="inlineStr">
        <is>
          <t>Margen_bruto_medio</t>
        </is>
      </c>
      <c r="B37" s="174" t="inlineStr">
        <is>
          <t>Margen bruto medio del catálogo (sobre PVP sin IVA)</t>
        </is>
      </c>
      <c r="C37" s="178" t="n">
        <v>0.3545487544483985</v>
      </c>
      <c r="D37" s="176" t="inlineStr">
        <is>
          <t>%</t>
        </is>
      </c>
      <c r="E37" s="177" t="inlineStr">
        <is>
          <t>Promedio de Margen % de la hoja 20260508 -Todos en el momento de generar el modelo. Re-ejecutar setup_pnl_unit_economics.py para refrescar tras cambios de tarifa.</t>
        </is>
      </c>
    </row>
    <row r="38" ht="22" customHeight="1" s="98">
      <c r="A38" s="172" t="inlineStr">
        <is>
          <t>UMBRALES DE CATEGORIZACIÓN SKU</t>
        </is>
      </c>
    </row>
    <row r="39">
      <c r="A39" s="173" t="inlineStr">
        <is>
          <t>Umbral_PUSH_pct</t>
        </is>
      </c>
      <c r="B39" s="174" t="inlineStr">
        <is>
          <t>PUSH — Margen contributivo % mínimo</t>
        </is>
      </c>
      <c r="C39" s="178" t="n">
        <v>0.3</v>
      </c>
      <c r="D39" s="176" t="inlineStr">
        <is>
          <t>%</t>
        </is>
      </c>
      <c r="E39" s="177" t="inlineStr">
        <is>
          <t>≥30% margen contributivo → producto a empujar comercialmente.</t>
        </is>
      </c>
    </row>
    <row r="40">
      <c r="A40" s="173" t="inlineStr">
        <is>
          <t>Umbral_PUSH_eur</t>
        </is>
      </c>
      <c r="B40" s="174" t="inlineStr">
        <is>
          <t>PUSH — Margen contributivo € mínimo</t>
        </is>
      </c>
      <c r="C40" s="175" t="n">
        <v>100</v>
      </c>
      <c r="D40" s="176" t="inlineStr">
        <is>
          <t>€</t>
        </is>
      </c>
      <c r="E40" s="177" t="inlineStr">
        <is>
          <t>≥100€/unidad. Combinado con %.</t>
        </is>
      </c>
    </row>
    <row r="41">
      <c r="A41" s="173" t="inlineStr">
        <is>
          <t>Umbral_NEUTRAL_pct</t>
        </is>
      </c>
      <c r="B41" s="174" t="inlineStr">
        <is>
          <t>NEUTRAL — Margen contributivo % mínimo</t>
        </is>
      </c>
      <c r="C41" s="178" t="n">
        <v>0.15</v>
      </c>
      <c r="D41" s="176" t="inlineStr">
        <is>
          <t>%</t>
        </is>
      </c>
      <c r="E41" s="177" t="inlineStr">
        <is>
          <t>15-30% margen → vender pero sin push agresivo.</t>
        </is>
      </c>
    </row>
    <row r="42">
      <c r="A42" s="173" t="inlineStr">
        <is>
          <t>Umbral_WATCH_pct</t>
        </is>
      </c>
      <c r="B42" s="174" t="inlineStr">
        <is>
          <t>WATCH — Margen contributivo % mínimo</t>
        </is>
      </c>
      <c r="C42" s="178" t="n">
        <v>0.05</v>
      </c>
      <c r="D42" s="176" t="inlineStr">
        <is>
          <t>%</t>
        </is>
      </c>
      <c r="E42" s="177" t="inlineStr">
        <is>
          <t>5-15% margen → vigilar, mejorar coste o subir precio.</t>
        </is>
      </c>
    </row>
    <row r="44">
      <c r="A44" s="172" t="inlineStr">
        <is>
          <t>AGREGADOS CALCULADOS (no editar)</t>
        </is>
      </c>
    </row>
    <row r="45">
      <c r="B45" s="174" t="inlineStr">
        <is>
          <t>Total costes fijos mensuales</t>
        </is>
      </c>
      <c r="C45" s="181">
        <f>Shopify_plan+Dominio+Apps+Personal_fijo</f>
        <v/>
      </c>
      <c r="E45" s="171" t="inlineStr">
        <is>
          <t>Suma de plan + dominio + apps + personal.</t>
        </is>
      </c>
    </row>
    <row r="46">
      <c r="B46" s="174" t="inlineStr">
        <is>
          <t>Coste variable estimado por pedido</t>
        </is>
      </c>
      <c r="C46" s="181">
        <f>AOV*Comision_pago_pct + Comision_pago_fija + Coste_medio_envio_pedido + Tasa_devolucion*Coste_devolucion + Tasa_incidencia*Coste_incidencia</f>
        <v/>
      </c>
      <c r="E46" s="171" t="inlineStr">
        <is>
          <t>Comisión pago + envío + (% dev × coste dev) + (% incid × coste incid).</t>
        </is>
      </c>
    </row>
  </sheetData>
  <mergeCells count="13">
    <mergeCell ref="A30:E30"/>
    <mergeCell ref="A34:E34"/>
    <mergeCell ref="A38:E38"/>
    <mergeCell ref="A2:E2"/>
    <mergeCell ref="A10:E10"/>
    <mergeCell ref="A1:E1"/>
    <mergeCell ref="A5:E5"/>
    <mergeCell ref="A23:E23"/>
    <mergeCell ref="A13:E13"/>
    <mergeCell ref="A36:E36"/>
    <mergeCell ref="A44:E44"/>
    <mergeCell ref="A18:E18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4"/>
  <sheetViews>
    <sheetView tabSelected="1" workbookViewId="0">
      <pane ySplit="2" topLeftCell="A3" activePane="bottomLeft" state="frozen"/>
      <selection pane="bottomLeft" activeCell="D18" sqref="D18"/>
    </sheetView>
  </sheetViews>
  <sheetFormatPr baseColWidth="10" defaultColWidth="14.5" defaultRowHeight="15" customHeight="1"/>
  <cols>
    <col width="12" customWidth="1" style="98" min="1" max="1"/>
    <col width="22.5" customWidth="1" style="98" min="2" max="2"/>
    <col width="13.1640625" customWidth="1" style="98" min="3" max="3"/>
    <col width="52" customWidth="1" style="98" min="4" max="4"/>
    <col width="18" customWidth="1" style="98" min="5" max="5"/>
    <col width="20" customWidth="1" style="98" min="6" max="6"/>
    <col width="14" customWidth="1" style="98" min="7" max="7"/>
    <col width="12" customWidth="1" style="98" min="8" max="8"/>
    <col width="18" customWidth="1" style="98" min="9" max="9"/>
    <col width="14" customWidth="1" style="98" min="10" max="10"/>
    <col width="12.83203125" customWidth="1" style="98" min="11" max="11"/>
    <col width="8.6640625" customWidth="1" style="98" min="12" max="26"/>
  </cols>
  <sheetData>
    <row r="1" ht="31.5" customHeight="1" s="9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n">
        <v>0.6</v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31.5" customHeight="1" s="98">
      <c r="A2" s="3" t="inlineStr">
        <is>
          <t>Proveedor</t>
        </is>
      </c>
      <c r="B2" s="3" t="inlineStr">
        <is>
          <t>Handle Shopify</t>
        </is>
      </c>
      <c r="C2" s="3" t="inlineStr">
        <is>
          <t>SKU</t>
        </is>
      </c>
      <c r="D2" s="3" t="inlineStr">
        <is>
          <t>Producto</t>
        </is>
      </c>
      <c r="E2" s="3" t="inlineStr">
        <is>
          <t>Coste neto
(sin IVA)</t>
        </is>
      </c>
      <c r="F2" s="3" t="inlineStr">
        <is>
          <t>Precio Venta
(con IVA 21%)</t>
        </is>
      </c>
      <c r="G2" s="3" t="inlineStr">
        <is>
          <t>Margen €</t>
        </is>
      </c>
      <c r="H2" s="3" t="inlineStr">
        <is>
          <t>Margen %</t>
        </is>
      </c>
      <c r="I2" s="3" t="inlineStr">
        <is>
          <t>PVP Recomendado</t>
        </is>
      </c>
      <c r="J2" s="3" t="inlineStr">
        <is>
          <t>Coste Envío</t>
        </is>
      </c>
      <c r="K2" s="4" t="inlineStr">
        <is>
          <t>Margen Real</t>
        </is>
      </c>
      <c r="L2" s="4" t="inlineStr">
        <is>
          <t>Max CPA Objetivo</t>
        </is>
      </c>
      <c r="M2" s="4" t="inlineStr">
        <is>
          <t>ROAS por producto</t>
        </is>
      </c>
      <c r="N2" s="4" t="inlineStr">
        <is>
          <t>Anunciar SI/NO</t>
        </is>
      </c>
    </row>
    <row r="3" ht="15.75" customHeight="1" s="98">
      <c r="A3" s="5" t="inlineStr">
        <is>
          <t>Hevea</t>
        </is>
      </c>
      <c r="B3" s="5" t="inlineStr">
        <is>
          <t>sillon-exterior-aluminio-estilo-envolvente-9890-cm</t>
        </is>
      </c>
      <c r="C3" s="5" t="inlineStr">
        <is>
          <t>557-010881</t>
        </is>
      </c>
      <c r="D3" s="6" t="inlineStr">
        <is>
          <t>BRANDON-1 SILLON/ARMCHAIR/FAUTEUIL</t>
        </is>
      </c>
      <c r="E3" s="7" t="n">
        <v>618</v>
      </c>
      <c r="F3" s="7" t="n">
        <v>1185.8</v>
      </c>
      <c r="G3" s="7" t="n">
        <v>362</v>
      </c>
      <c r="H3" s="8" t="n">
        <v>36.94</v>
      </c>
      <c r="I3" s="7" t="n">
        <v>980</v>
      </c>
      <c r="J3" s="7" t="n">
        <v>0</v>
      </c>
      <c r="K3" s="7">
        <f>G3-J3</f>
        <v/>
      </c>
      <c r="L3" s="7">
        <f>K3*$L$1</f>
        <v/>
      </c>
      <c r="M3" s="9">
        <f>F3/K3</f>
        <v/>
      </c>
      <c r="N3" s="10">
        <f>IF(M3&lt;3.5,"SI",IF(M3&lt;4.5,IF(K3&gt;=100,"SI",IF(K3&gt;=40,"CUIDADO","NO")),IF(AND(M3&lt;5.5,F3&gt;=500,K3&gt;=80),"CUIDADO","NO")))</f>
        <v/>
      </c>
    </row>
    <row r="4" ht="15.75" customHeight="1" s="98">
      <c r="A4" s="11" t="inlineStr">
        <is>
          <t>Hevea</t>
        </is>
      </c>
      <c r="B4" s="11" t="inlineStr">
        <is>
          <t>sofa-terraza-aluminio-2-plazas-estilo-contemporaneo-16690-cm</t>
        </is>
      </c>
      <c r="C4" s="11" t="inlineStr">
        <is>
          <t>557-010882</t>
        </is>
      </c>
      <c r="D4" s="12" t="inlineStr">
        <is>
          <t>BRANDON-2 SOFA 2 PLAZAS/SOFA/CANAPÉ</t>
        </is>
      </c>
      <c r="E4" s="13" t="n">
        <v>927</v>
      </c>
      <c r="F4" s="13" t="n">
        <v>1778.7</v>
      </c>
      <c r="G4" s="13" t="n">
        <v>543</v>
      </c>
      <c r="H4" s="14" t="n">
        <v>36.94</v>
      </c>
      <c r="I4" s="13" t="n">
        <v>1470</v>
      </c>
      <c r="J4" s="13" t="n">
        <v>0</v>
      </c>
      <c r="K4" s="13">
        <f>G4-J4</f>
        <v/>
      </c>
      <c r="L4" s="13">
        <f>K4*$L$1</f>
        <v/>
      </c>
      <c r="M4" s="15">
        <f>F4/K4</f>
        <v/>
      </c>
      <c r="N4" s="10">
        <f>IF(M4&lt;3.5,"SI",IF(M4&lt;4.5,IF(K4&gt;=100,"SI",IF(K4&gt;=40,"CUIDADO","NO")),IF(AND(M4&lt;5.5,F4&gt;=500,K4&gt;=80),"CUIDADO","NO")))</f>
        <v/>
      </c>
    </row>
    <row r="5" ht="15.75" customHeight="1" s="98">
      <c r="A5" s="5" t="inlineStr">
        <is>
          <t>Hevea</t>
        </is>
      </c>
      <c r="B5" s="5" t="inlineStr">
        <is>
          <t>sofa-terraza-aluminio-3-plazas-estilo-contemporaneo-22090-cm</t>
        </is>
      </c>
      <c r="C5" s="5" t="inlineStr">
        <is>
          <t>557-010879</t>
        </is>
      </c>
      <c r="D5" s="6" t="inlineStr">
        <is>
          <t>BRANDON-3 SOFA 3 PLAZAS/SOFA/CANAPÉ</t>
        </is>
      </c>
      <c r="E5" s="7" t="n">
        <v>1223</v>
      </c>
      <c r="F5" s="7" t="n">
        <v>2347.4</v>
      </c>
      <c r="G5" s="7" t="n">
        <v>717</v>
      </c>
      <c r="H5" s="8" t="n">
        <v>36.96</v>
      </c>
      <c r="I5" s="7" t="n">
        <v>1940</v>
      </c>
      <c r="J5" s="7" t="n">
        <v>0</v>
      </c>
      <c r="K5" s="7">
        <f>G5-J5</f>
        <v/>
      </c>
      <c r="L5" s="7">
        <f>K5*$L$1</f>
        <v/>
      </c>
      <c r="M5" s="9">
        <f>F5/K5</f>
        <v/>
      </c>
      <c r="N5" s="10">
        <f>IF(M5&lt;3.5,"SI",IF(M5&lt;4.5,IF(K5&gt;=100,"SI",IF(K5&gt;=40,"CUIDADO","NO")),IF(AND(M5&lt;5.5,F5&gt;=500,K5&gt;=80),"CUIDADO","NO")))</f>
        <v/>
      </c>
    </row>
    <row r="6" ht="15.75" customHeight="1" s="98">
      <c r="A6" s="11" t="inlineStr">
        <is>
          <t>Hevea</t>
        </is>
      </c>
      <c r="B6" s="11" t="inlineStr">
        <is>
          <t>set-jardin-aluminio-2-plazas-contemporaneo-sofa-2-plazas-2-sillones-mesa</t>
        </is>
      </c>
      <c r="C6" s="11" t="inlineStr">
        <is>
          <t>557-010884</t>
        </is>
      </c>
      <c r="D6" s="12" t="inlineStr">
        <is>
          <t>LUNA-44 SET MESAS CENTRO 80 + 60</t>
        </is>
      </c>
      <c r="E6" s="13" t="n">
        <v>275</v>
      </c>
      <c r="F6" s="13" t="n">
        <v>526.35</v>
      </c>
      <c r="G6" s="13" t="n">
        <v>160</v>
      </c>
      <c r="H6" s="16" t="n">
        <v>36.78</v>
      </c>
      <c r="I6" s="13" t="n">
        <v>435</v>
      </c>
      <c r="J6" s="13" t="n">
        <v>50</v>
      </c>
      <c r="K6" s="13">
        <f>G6-J6</f>
        <v/>
      </c>
      <c r="L6" s="13">
        <f>K6*$L$1</f>
        <v/>
      </c>
      <c r="M6" s="15">
        <f>F6/K6</f>
        <v/>
      </c>
      <c r="N6" s="10">
        <f>IF(M6&lt;3.5,"SI",IF(M6&lt;4.5,IF(K6&gt;=100,"SI",IF(K6&gt;=40,"CUIDADO","NO")),IF(AND(M6&lt;5.5,F6&gt;=500,K6&gt;=80),"CUIDADO","NO")))</f>
        <v/>
      </c>
    </row>
    <row r="7" ht="15.75" customHeight="1" s="98">
      <c r="A7" s="5" t="inlineStr">
        <is>
          <t>Hevea</t>
        </is>
      </c>
      <c r="B7" s="5" t="inlineStr">
        <is>
          <t>set-jardin-aluminio-2-plazas-contemporaneo-sofa-2-plazas-2-sillones-mesa</t>
        </is>
      </c>
      <c r="C7" s="5" t="inlineStr">
        <is>
          <t>557-010884</t>
        </is>
      </c>
      <c r="D7" s="6" t="inlineStr">
        <is>
          <t>BRANDON-7 SET SOFA 2 PLAZAS/SOFA/CANAPÉ</t>
        </is>
      </c>
      <c r="E7" s="7" t="n">
        <v>2435</v>
      </c>
      <c r="F7" s="7" t="n">
        <v>4676.65</v>
      </c>
      <c r="G7" s="7" t="n">
        <v>1430</v>
      </c>
      <c r="H7" s="8" t="n">
        <v>37</v>
      </c>
      <c r="I7" s="7" t="n">
        <v>3865</v>
      </c>
      <c r="J7" s="7" t="n">
        <v>0</v>
      </c>
      <c r="K7" s="7">
        <f>G7-J7</f>
        <v/>
      </c>
      <c r="L7" s="7">
        <f>K7*$L$1</f>
        <v/>
      </c>
      <c r="M7" s="9">
        <f>F7/K7</f>
        <v/>
      </c>
      <c r="N7" s="10">
        <f>IF(M7&lt;3.5,"SI",IF(M7&lt;4.5,IF(K7&gt;=100,"SI",IF(K7&gt;=40,"CUIDADO","NO")),IF(AND(M7&lt;5.5,F7&gt;=500,K7&gt;=80),"CUIDADO","NO")))</f>
        <v/>
      </c>
    </row>
    <row r="8" ht="15.75" customHeight="1" s="98">
      <c r="A8" s="11" t="inlineStr">
        <is>
          <t>Hevea</t>
        </is>
      </c>
      <c r="B8" s="11" t="inlineStr">
        <is>
          <t>set-jardin-aluminio-3-plazas-contemporaneo-sofa-3-plazas-2-sillones-mesa</t>
        </is>
      </c>
      <c r="C8" s="11" t="inlineStr">
        <is>
          <t>557-010885</t>
        </is>
      </c>
      <c r="D8" s="12" t="inlineStr">
        <is>
          <t>BRANDON-8 SET SOFA 3 PLAZAS/SOFA/CANAPÉ</t>
        </is>
      </c>
      <c r="E8" s="13" t="n">
        <v>2732</v>
      </c>
      <c r="F8" s="13" t="n">
        <v>5245.35</v>
      </c>
      <c r="G8" s="13" t="n">
        <v>1603</v>
      </c>
      <c r="H8" s="14" t="n">
        <v>36.98</v>
      </c>
      <c r="I8" s="13" t="n">
        <v>4335</v>
      </c>
      <c r="J8" s="13" t="n">
        <v>0</v>
      </c>
      <c r="K8" s="13">
        <f>G8-J8</f>
        <v/>
      </c>
      <c r="L8" s="13">
        <f>K8*$L$1</f>
        <v/>
      </c>
      <c r="M8" s="15">
        <f>F8/K8</f>
        <v/>
      </c>
      <c r="N8" s="10">
        <f>IF(M8&lt;3.5,"SI",IF(M8&lt;4.5,IF(K8&gt;=100,"SI",IF(K8&gt;=40,"CUIDADO","NO")),IF(AND(M8&lt;5.5,F8&gt;=500,K8&gt;=80),"CUIDADO","NO")))</f>
        <v/>
      </c>
    </row>
    <row r="9" ht="15.75" customHeight="1" s="98">
      <c r="A9" s="5" t="inlineStr">
        <is>
          <t>Hevea</t>
        </is>
      </c>
      <c r="B9" s="5" t="inlineStr">
        <is>
          <t>sillon-exterior-estilo-elegante-7275-cm</t>
        </is>
      </c>
      <c r="C9" s="5" t="inlineStr">
        <is>
          <t>557-010935</t>
        </is>
      </c>
      <c r="D9" s="6" t="inlineStr">
        <is>
          <t>DAMASCO-1 SILLON/ARMCHAIR/FAUTEUIL</t>
        </is>
      </c>
      <c r="E9" s="7" t="n">
        <v>413</v>
      </c>
      <c r="F9" s="7" t="n">
        <v>792.55</v>
      </c>
      <c r="G9" s="7" t="n">
        <v>242</v>
      </c>
      <c r="H9" s="17" t="n">
        <v>36.95</v>
      </c>
      <c r="I9" s="7" t="n">
        <v>655</v>
      </c>
      <c r="J9" s="7" t="n">
        <v>50</v>
      </c>
      <c r="K9" s="7">
        <f>G9-J9</f>
        <v/>
      </c>
      <c r="L9" s="7">
        <f>K9*$L$1</f>
        <v/>
      </c>
      <c r="M9" s="9">
        <f>F9/K9</f>
        <v/>
      </c>
      <c r="N9" s="10">
        <f>IF(M9&lt;3.5,"SI",IF(M9&lt;4.5,IF(K9&gt;=100,"SI",IF(K9&gt;=40,"CUIDADO","NO")),IF(AND(M9&lt;5.5,F9&gt;=500,K9&gt;=80),"CUIDADO","NO")))</f>
        <v/>
      </c>
    </row>
    <row r="10" ht="15.75" customHeight="1" s="98">
      <c r="A10" s="11" t="inlineStr">
        <is>
          <t>Hevea</t>
        </is>
      </c>
      <c r="B10" s="11" t="inlineStr">
        <is>
          <t>sofa-terraza-2-plazas-estilo-envolvente-13575-cm</t>
        </is>
      </c>
      <c r="C10" s="11" t="inlineStr">
        <is>
          <t>557-010936</t>
        </is>
      </c>
      <c r="D10" s="12" t="inlineStr">
        <is>
          <t>DAMASCO-2 SOFA 2 PLAZAS/SOFA/CANAPÉ</t>
        </is>
      </c>
      <c r="E10" s="13" t="n">
        <v>608</v>
      </c>
      <c r="F10" s="13" t="n">
        <v>1167.65</v>
      </c>
      <c r="G10" s="13" t="n">
        <v>357</v>
      </c>
      <c r="H10" s="14" t="n">
        <v>36.99</v>
      </c>
      <c r="I10" s="13" t="n">
        <v>965</v>
      </c>
      <c r="J10" s="13" t="n">
        <v>0</v>
      </c>
      <c r="K10" s="13">
        <f>G10-J10</f>
        <v/>
      </c>
      <c r="L10" s="13">
        <f>K10*$L$1</f>
        <v/>
      </c>
      <c r="M10" s="15">
        <f>F10/K10</f>
        <v/>
      </c>
      <c r="N10" s="10">
        <f>IF(M10&lt;3.5,"SI",IF(M10&lt;4.5,IF(K10&gt;=100,"SI",IF(K10&gt;=40,"CUIDADO","NO")),IF(AND(M10&lt;5.5,F10&gt;=500,K10&gt;=80),"CUIDADO","NO")))</f>
        <v/>
      </c>
    </row>
    <row r="11" ht="15.75" customHeight="1" s="98">
      <c r="A11" s="5" t="inlineStr">
        <is>
          <t>Hevea</t>
        </is>
      </c>
      <c r="B11" s="5" t="inlineStr">
        <is>
          <t>sofa-terraza-3-plazas-estilo-sofisticado-19475-cm</t>
        </is>
      </c>
      <c r="C11" s="5" t="inlineStr">
        <is>
          <t>557-010937</t>
        </is>
      </c>
      <c r="D11" s="6" t="inlineStr">
        <is>
          <t>DAMASCO-3 SOFA 3 PLAZAS/SOFA/CANAPÉ</t>
        </is>
      </c>
      <c r="E11" s="7" t="n">
        <v>772</v>
      </c>
      <c r="F11" s="7" t="n">
        <v>1482.25</v>
      </c>
      <c r="G11" s="7" t="n">
        <v>453</v>
      </c>
      <c r="H11" s="8" t="n">
        <v>36.98</v>
      </c>
      <c r="I11" s="7" t="n">
        <v>1225</v>
      </c>
      <c r="J11" s="7" t="n">
        <v>0</v>
      </c>
      <c r="K11" s="7">
        <f>G11-J11</f>
        <v/>
      </c>
      <c r="L11" s="7">
        <f>K11*$L$1</f>
        <v/>
      </c>
      <c r="M11" s="9">
        <f>F11/K11</f>
        <v/>
      </c>
      <c r="N11" s="10">
        <f>IF(M11&lt;3.5,"SI",IF(M11&lt;4.5,IF(K11&gt;=100,"SI",IF(K11&gt;=40,"CUIDADO","NO")),IF(AND(M11&lt;5.5,F11&gt;=500,K11&gt;=80),"CUIDADO","NO")))</f>
        <v/>
      </c>
    </row>
    <row r="12" ht="15.75" customHeight="1" s="98">
      <c r="A12" s="11" t="inlineStr">
        <is>
          <t>Hevea</t>
        </is>
      </c>
      <c r="B12" s="11" t="inlineStr">
        <is>
          <t>mesa-de-centro-exterior-90-cm-altura-40-cm</t>
        </is>
      </c>
      <c r="C12" s="11" t="inlineStr">
        <is>
          <t>557-1071</t>
        </is>
      </c>
      <c r="D12" s="12" t="inlineStr">
        <is>
          <t>UNIVERSAL-80 MESA CENTRO/COFFEE TABLE</t>
        </is>
      </c>
      <c r="E12" s="13" t="n">
        <v>177</v>
      </c>
      <c r="F12" s="13" t="n">
        <v>338.8</v>
      </c>
      <c r="G12" s="13" t="n">
        <v>103</v>
      </c>
      <c r="H12" s="14" t="n">
        <v>36.79</v>
      </c>
      <c r="I12" s="13" t="n">
        <v>280</v>
      </c>
      <c r="J12" s="13" t="n">
        <v>0</v>
      </c>
      <c r="K12" s="13">
        <f>G12-J12</f>
        <v/>
      </c>
      <c r="L12" s="13">
        <f>K12*$L$1</f>
        <v/>
      </c>
      <c r="M12" s="15">
        <f>F12/K12</f>
        <v/>
      </c>
      <c r="N12" s="10">
        <f>IF(M12&lt;3.5,"SI",IF(M12&lt;4.5,IF(K12&gt;=100,"SI",IF(K12&gt;=40,"CUIDADO","NO")),IF(AND(M12&lt;5.5,F12&gt;=500,K12&gt;=80),"CUIDADO","NO")))</f>
        <v/>
      </c>
    </row>
    <row r="13" ht="15.75" customHeight="1" s="98">
      <c r="A13" s="5" t="inlineStr">
        <is>
          <t>Hevea</t>
        </is>
      </c>
      <c r="B13" s="5" t="inlineStr">
        <is>
          <t>mesa-de-centro-exterior-120-cm-altura-40-cm-2</t>
        </is>
      </c>
      <c r="C13" s="5" t="inlineStr">
        <is>
          <t>557-1563</t>
        </is>
      </c>
      <c r="D13" s="6" t="inlineStr">
        <is>
          <t>UNIVERSAL-120 MESA CENTRO 120/COFFEE TABLE</t>
        </is>
      </c>
      <c r="E13" s="7" t="n">
        <v>246</v>
      </c>
      <c r="F13" s="7" t="n">
        <v>471.9</v>
      </c>
      <c r="G13" s="7" t="n">
        <v>144</v>
      </c>
      <c r="H13" s="17" t="n">
        <v>36.92</v>
      </c>
      <c r="I13" s="7" t="n">
        <v>390</v>
      </c>
      <c r="J13" s="7" t="n">
        <v>50</v>
      </c>
      <c r="K13" s="7">
        <f>G13-J13</f>
        <v/>
      </c>
      <c r="L13" s="7">
        <f>K13*$L$1</f>
        <v/>
      </c>
      <c r="M13" s="9">
        <f>F13/K13</f>
        <v/>
      </c>
      <c r="N13" s="10">
        <f>IF(M13&lt;3.5,"SI",IF(M13&lt;4.5,IF(K13&gt;=100,"SI",IF(K13&gt;=40,"CUIDADO","NO")),IF(AND(M13&lt;5.5,F13&gt;=500,K13&gt;=80),"CUIDADO","NO")))</f>
        <v/>
      </c>
    </row>
    <row r="14" ht="15.75" customHeight="1" s="98">
      <c r="A14" s="11" t="inlineStr">
        <is>
          <t>Hevea</t>
        </is>
      </c>
      <c r="B14" s="11" t="inlineStr">
        <is>
          <t>set-jardin-2-plazas-elegante-sofa-2-plazas-2-sillones-mesa</t>
        </is>
      </c>
      <c r="C14" s="11" t="inlineStr">
        <is>
          <t>557-010938</t>
        </is>
      </c>
      <c r="D14" s="12" t="inlineStr">
        <is>
          <t>SET DAMASCO 7 / 2 SEATER SOFA SET / SET CANAPÉ 2 PLACES</t>
        </is>
      </c>
      <c r="E14" s="13" t="n">
        <v>1610</v>
      </c>
      <c r="F14" s="13" t="n">
        <v>3091.55</v>
      </c>
      <c r="G14" s="13" t="n">
        <v>945</v>
      </c>
      <c r="H14" s="14" t="n">
        <v>36.99</v>
      </c>
      <c r="I14" s="13" t="n">
        <v>2555</v>
      </c>
      <c r="J14" s="13" t="n">
        <v>0</v>
      </c>
      <c r="K14" s="13">
        <f>G14-J14</f>
        <v/>
      </c>
      <c r="L14" s="13">
        <f>K14*$L$1</f>
        <v/>
      </c>
      <c r="M14" s="15">
        <f>F14/K14</f>
        <v/>
      </c>
      <c r="N14" s="10">
        <f>IF(M14&lt;3.5,"SI",IF(M14&lt;4.5,IF(K14&gt;=100,"SI",IF(K14&gt;=40,"CUIDADO","NO")),IF(AND(M14&lt;5.5,F14&gt;=500,K14&gt;=80),"CUIDADO","NO")))</f>
        <v/>
      </c>
    </row>
    <row r="15" ht="15.75" customHeight="1" s="98">
      <c r="A15" s="5" t="inlineStr">
        <is>
          <t>Hevea</t>
        </is>
      </c>
      <c r="B15" s="5" t="inlineStr">
        <is>
          <t>set-jardin-3-plazas-sofisticado-sofa-3-plazas-2-sillones-mesa</t>
        </is>
      </c>
      <c r="C15" s="5" t="inlineStr">
        <is>
          <t>557-010939</t>
        </is>
      </c>
      <c r="D15" s="6" t="inlineStr">
        <is>
          <t>SET DAMASCO 8 / 3 SEATER SOFA SET / SET CANAPÉ 3 PLACES</t>
        </is>
      </c>
      <c r="E15" s="7" t="n">
        <v>1843</v>
      </c>
      <c r="F15" s="7" t="n">
        <v>3539.25</v>
      </c>
      <c r="G15" s="7" t="n">
        <v>1082</v>
      </c>
      <c r="H15" s="8" t="n">
        <v>36.99</v>
      </c>
      <c r="I15" s="7" t="n">
        <v>2925</v>
      </c>
      <c r="J15" s="7" t="n">
        <v>0</v>
      </c>
      <c r="K15" s="7">
        <f>G15-J15</f>
        <v/>
      </c>
      <c r="L15" s="7">
        <f>K15*$L$1</f>
        <v/>
      </c>
      <c r="M15" s="9">
        <f>F15/K15</f>
        <v/>
      </c>
      <c r="N15" s="10">
        <f>IF(M15&lt;3.5,"SI",IF(M15&lt;4.5,IF(K15&gt;=100,"SI",IF(K15&gt;=40,"CUIDADO","NO")),IF(AND(M15&lt;5.5,F15&gt;=500,K15&gt;=80),"CUIDADO","NO")))</f>
        <v/>
      </c>
    </row>
    <row r="16" ht="15.75" customHeight="1" s="98">
      <c r="A16" s="11" t="inlineStr">
        <is>
          <t>Hevea</t>
        </is>
      </c>
      <c r="B16" s="11" t="inlineStr">
        <is>
          <t>sillon-exterior-estilo-versatil-7783-cm</t>
        </is>
      </c>
      <c r="C16" s="11" t="inlineStr">
        <is>
          <t>600-010021</t>
        </is>
      </c>
      <c r="D16" s="12" t="inlineStr">
        <is>
          <t>YINA-1 SILLON/ARMCHAIR/FAUTEUIL</t>
        </is>
      </c>
      <c r="E16" s="13" t="n">
        <v>498</v>
      </c>
      <c r="F16" s="13" t="n">
        <v>955.9</v>
      </c>
      <c r="G16" s="13" t="n">
        <v>292</v>
      </c>
      <c r="H16" s="14" t="n">
        <v>36.96</v>
      </c>
      <c r="I16" s="13" t="n">
        <v>790</v>
      </c>
      <c r="J16" s="13" t="n">
        <v>50</v>
      </c>
      <c r="K16" s="13">
        <f>G16-J16</f>
        <v/>
      </c>
      <c r="L16" s="13">
        <f>K16*$L$1</f>
        <v/>
      </c>
      <c r="M16" s="15">
        <f>F16/K16</f>
        <v/>
      </c>
      <c r="N16" s="10">
        <f>IF(M16&lt;3.5,"SI",IF(M16&lt;4.5,IF(K16&gt;=100,"SI",IF(K16&gt;=40,"CUIDADO","NO")),IF(AND(M16&lt;5.5,F16&gt;=500,K16&gt;=80),"CUIDADO","NO")))</f>
        <v/>
      </c>
    </row>
    <row r="17" ht="15.75" customHeight="1" s="98">
      <c r="A17" s="5" t="inlineStr">
        <is>
          <t>Hevea</t>
        </is>
      </c>
      <c r="B17" s="5" t="inlineStr">
        <is>
          <t>sofa-terraza-2-plazas-estilo-estilizado-14383-cm</t>
        </is>
      </c>
      <c r="C17" s="5" t="inlineStr">
        <is>
          <t>600-010022</t>
        </is>
      </c>
      <c r="D17" s="6" t="inlineStr">
        <is>
          <t>YINA-2 SOFA 2 PLAZAS/SOFÁ/CANAPÉ</t>
        </is>
      </c>
      <c r="E17" s="7" t="n">
        <v>728</v>
      </c>
      <c r="F17" s="7" t="n">
        <v>1397.55</v>
      </c>
      <c r="G17" s="7" t="n">
        <v>427</v>
      </c>
      <c r="H17" s="8" t="n">
        <v>36.97</v>
      </c>
      <c r="I17" s="7" t="n">
        <v>1155</v>
      </c>
      <c r="J17" s="7" t="n">
        <v>0</v>
      </c>
      <c r="K17" s="7">
        <f>G17-J17</f>
        <v/>
      </c>
      <c r="L17" s="7">
        <f>K17*$L$1</f>
        <v/>
      </c>
      <c r="M17" s="9">
        <f>F17/K17</f>
        <v/>
      </c>
      <c r="N17" s="10">
        <f>IF(M17&lt;3.5,"SI",IF(M17&lt;4.5,IF(K17&gt;=100,"SI",IF(K17&gt;=40,"CUIDADO","NO")),IF(AND(M17&lt;5.5,F17&gt;=500,K17&gt;=80),"CUIDADO","NO")))</f>
        <v/>
      </c>
    </row>
    <row r="18" ht="15.75" customHeight="1" s="98">
      <c r="A18" s="11" t="inlineStr">
        <is>
          <t>Hevea</t>
        </is>
      </c>
      <c r="B18" s="11" t="inlineStr">
        <is>
          <t>sofa-terraza-3-plazas-estilo-contemporaneo-18583-cm</t>
        </is>
      </c>
      <c r="C18" s="11" t="inlineStr">
        <is>
          <t>600-010023</t>
        </is>
      </c>
      <c r="D18" s="12" t="inlineStr">
        <is>
          <t>YINA-3 SOFA 3 PLAZAS/SOFÁ/CANAPÉ</t>
        </is>
      </c>
      <c r="E18" s="13" t="n">
        <v>923</v>
      </c>
      <c r="F18" s="13" t="n">
        <v>1772.65</v>
      </c>
      <c r="G18" s="13" t="n">
        <v>542</v>
      </c>
      <c r="H18" s="14" t="n">
        <v>37</v>
      </c>
      <c r="I18" s="13" t="n">
        <v>1465</v>
      </c>
      <c r="J18" s="13" t="n">
        <v>0</v>
      </c>
      <c r="K18" s="13">
        <f>G18-J18</f>
        <v/>
      </c>
      <c r="L18" s="13">
        <f>K18*$L$1</f>
        <v/>
      </c>
      <c r="M18" s="15">
        <f>F18/K18</f>
        <v/>
      </c>
      <c r="N18" s="10">
        <f>IF(M18&lt;3.5,"SI",IF(M18&lt;4.5,IF(K18&gt;=100,"SI",IF(K18&gt;=40,"CUIDADO","NO")),IF(AND(M18&lt;5.5,F18&gt;=500,K18&gt;=80),"CUIDADO","NO")))</f>
        <v/>
      </c>
    </row>
    <row r="19" ht="15.75" customHeight="1" s="98">
      <c r="A19" s="5" t="inlineStr">
        <is>
          <t>Hevea</t>
        </is>
      </c>
      <c r="B19" s="5" t="inlineStr">
        <is>
          <t>mesa-de-centro-exterior-hpl-70-cm-altura-45-cm</t>
        </is>
      </c>
      <c r="C19" s="5" t="inlineStr">
        <is>
          <t>600-010024</t>
        </is>
      </c>
      <c r="D19" s="6" t="inlineStr">
        <is>
          <t>YINA-70 HPL MESA CENTRO/COFFEE TABLE/TABLE CENTRE</t>
        </is>
      </c>
      <c r="E19" s="7" t="n">
        <v>262</v>
      </c>
      <c r="F19" s="7" t="n">
        <v>502.15</v>
      </c>
      <c r="G19" s="7" t="n">
        <v>153</v>
      </c>
      <c r="H19" s="17" t="n">
        <v>36.87</v>
      </c>
      <c r="I19" s="7" t="n">
        <v>415</v>
      </c>
      <c r="J19" s="7" t="n">
        <v>50</v>
      </c>
      <c r="K19" s="7">
        <f>G19-J19</f>
        <v/>
      </c>
      <c r="L19" s="7">
        <f>K19*$L$1</f>
        <v/>
      </c>
      <c r="M19" s="9">
        <f>F19/K19</f>
        <v/>
      </c>
      <c r="N19" s="10">
        <f>IF(M19&lt;3.5,"SI",IF(M19&lt;4.5,IF(K19&gt;=100,"SI",IF(K19&gt;=40,"CUIDADO","NO")),IF(AND(M19&lt;5.5,F19&gt;=500,K19&gt;=80),"CUIDADO","NO")))</f>
        <v/>
      </c>
    </row>
    <row r="20" ht="15.75" customHeight="1" s="98">
      <c r="A20" s="11" t="inlineStr">
        <is>
          <t>Hevea</t>
        </is>
      </c>
      <c r="B20" s="11" t="inlineStr">
        <is>
          <t>reposapies-exterior-734640-cm</t>
        </is>
      </c>
      <c r="C20" s="11" t="inlineStr">
        <is>
          <t>600-010025</t>
        </is>
      </c>
      <c r="D20" s="12" t="inlineStr">
        <is>
          <t>YINA-5 REPOSAPIES/FOOTSTOOL/REPOSE-PIEDS</t>
        </is>
      </c>
      <c r="E20" s="13" t="n">
        <v>202</v>
      </c>
      <c r="F20" s="13" t="n">
        <v>387.2</v>
      </c>
      <c r="G20" s="13" t="n">
        <v>118</v>
      </c>
      <c r="H20" s="14" t="n">
        <v>36.88</v>
      </c>
      <c r="I20" s="13" t="n">
        <v>320</v>
      </c>
      <c r="J20" s="13" t="n">
        <v>50</v>
      </c>
      <c r="K20" s="13">
        <f>G20-J20</f>
        <v/>
      </c>
      <c r="L20" s="13">
        <f>K20*$L$1</f>
        <v/>
      </c>
      <c r="M20" s="15">
        <f>F20/K20</f>
        <v/>
      </c>
      <c r="N20" s="10">
        <f>IF(M20&lt;3.5,"SI",IF(M20&lt;4.5,IF(K20&gt;=100,"SI",IF(K20&gt;=40,"CUIDADO","NO")),IF(AND(M20&lt;5.5,F20&gt;=500,K20&gt;=80),"CUIDADO","NO")))</f>
        <v/>
      </c>
    </row>
    <row r="21" ht="15.75" customHeight="1" s="98">
      <c r="A21" s="5" t="inlineStr">
        <is>
          <t>Hevea</t>
        </is>
      </c>
      <c r="B21" s="5" t="inlineStr">
        <is>
          <t>set-jardin-2-plazas-moderno-sofa-2-plazas-2-sillones-mesa</t>
        </is>
      </c>
      <c r="C21" s="5" t="inlineStr">
        <is>
          <t>600-010026</t>
        </is>
      </c>
      <c r="D21" s="6" t="inlineStr">
        <is>
          <t>YINA-7 SET SOFÁ 2 PLAZAS / 2 SEATER SOFA SET / SET CANAPÉ 2 PLACES</t>
        </is>
      </c>
      <c r="E21" s="7" t="n">
        <v>1988</v>
      </c>
      <c r="F21" s="7" t="n">
        <v>3817.55</v>
      </c>
      <c r="G21" s="7" t="n">
        <v>1167</v>
      </c>
      <c r="H21" s="8" t="n">
        <v>36.99</v>
      </c>
      <c r="I21" s="7" t="n">
        <v>3155</v>
      </c>
      <c r="J21" s="7" t="n">
        <v>0</v>
      </c>
      <c r="K21" s="7">
        <f>G21-J21</f>
        <v/>
      </c>
      <c r="L21" s="7">
        <f>K21*$L$1</f>
        <v/>
      </c>
      <c r="M21" s="9">
        <f>F21/K21</f>
        <v/>
      </c>
      <c r="N21" s="10">
        <f>IF(M21&lt;3.5,"SI",IF(M21&lt;4.5,IF(K21&gt;=100,"SI",IF(K21&gt;=40,"CUIDADO","NO")),IF(AND(M21&lt;5.5,F21&gt;=500,K21&gt;=80),"CUIDADO","NO")))</f>
        <v/>
      </c>
    </row>
    <row r="22" ht="15.75" customHeight="1" s="98">
      <c r="A22" s="11" t="inlineStr">
        <is>
          <t>Hevea</t>
        </is>
      </c>
      <c r="B22" s="11" t="inlineStr">
        <is>
          <t>set-jardin-3-plazas-contemporaneo-sofa-3-plazas-2-sillones-mesa</t>
        </is>
      </c>
      <c r="C22" s="11" t="inlineStr">
        <is>
          <t>600-010027</t>
        </is>
      </c>
      <c r="D22" s="12" t="inlineStr">
        <is>
          <t>YINA-8 SET SOFÁ 3 PLAZAS / 3 SEATER SOFA SET / SET CANAPÉ 3 PLACES</t>
        </is>
      </c>
      <c r="E22" s="13" t="n">
        <v>2183</v>
      </c>
      <c r="F22" s="13" t="n">
        <v>4192.65</v>
      </c>
      <c r="G22" s="13" t="n">
        <v>1282</v>
      </c>
      <c r="H22" s="14" t="n">
        <v>37</v>
      </c>
      <c r="I22" s="13" t="n">
        <v>3465</v>
      </c>
      <c r="J22" s="13" t="n">
        <v>0</v>
      </c>
      <c r="K22" s="13">
        <f>G22-J22</f>
        <v/>
      </c>
      <c r="L22" s="13">
        <f>K22*$L$1</f>
        <v/>
      </c>
      <c r="M22" s="15">
        <f>F22/K22</f>
        <v/>
      </c>
      <c r="N22" s="10">
        <f>IF(M22&lt;3.5,"SI",IF(M22&lt;4.5,IF(K22&gt;=100,"SI",IF(K22&gt;=40,"CUIDADO","NO")),IF(AND(M22&lt;5.5,F22&gt;=500,K22&gt;=80),"CUIDADO","NO")))</f>
        <v/>
      </c>
    </row>
    <row r="23" ht="15.75" customHeight="1" s="98">
      <c r="A23" s="5" t="inlineStr">
        <is>
          <t>Hevea</t>
        </is>
      </c>
      <c r="B23" s="5" t="inlineStr">
        <is>
          <t>sillon-exterior-estilo-elegante-6590-cm</t>
        </is>
      </c>
      <c r="C23" s="5" t="inlineStr">
        <is>
          <t>557-010813</t>
        </is>
      </c>
      <c r="D23" s="6" t="inlineStr">
        <is>
          <t>CUPRA-1 SILLÓN/ARMCHAIR/FAUTEUIL</t>
        </is>
      </c>
      <c r="E23" s="7" t="n">
        <v>530</v>
      </c>
      <c r="F23" s="7" t="n">
        <v>1016.4</v>
      </c>
      <c r="G23" s="7" t="n">
        <v>310</v>
      </c>
      <c r="H23" s="8" t="n">
        <v>36.9</v>
      </c>
      <c r="I23" s="7" t="n">
        <v>840</v>
      </c>
      <c r="J23" s="7" t="n">
        <v>50</v>
      </c>
      <c r="K23" s="7">
        <f>G23-J23</f>
        <v/>
      </c>
      <c r="L23" s="7">
        <f>K23*$L$1</f>
        <v/>
      </c>
      <c r="M23" s="9">
        <f>F23/K23</f>
        <v/>
      </c>
      <c r="N23" s="10">
        <f>IF(M23&lt;3.5,"SI",IF(M23&lt;4.5,IF(K23&gt;=100,"SI",IF(K23&gt;=40,"CUIDADO","NO")),IF(AND(M23&lt;5.5,F23&gt;=500,K23&gt;=80),"CUIDADO","NO")))</f>
        <v/>
      </c>
    </row>
    <row r="24" ht="15.75" customHeight="1" s="98">
      <c r="A24" s="11" t="inlineStr">
        <is>
          <t>Hevea</t>
        </is>
      </c>
      <c r="B24" s="11" t="inlineStr">
        <is>
          <t>sofa-terraza-2-plazas-estilo-contemporaneo-13090-cm</t>
        </is>
      </c>
      <c r="C24" s="11" t="inlineStr">
        <is>
          <t>557-010814</t>
        </is>
      </c>
      <c r="D24" s="12" t="inlineStr">
        <is>
          <t>CUPRA-2 SOFA 2 PLAZAS/SOFA/CANAPÉ</t>
        </is>
      </c>
      <c r="E24" s="13" t="n">
        <v>756</v>
      </c>
      <c r="F24" s="13" t="n">
        <v>1452</v>
      </c>
      <c r="G24" s="13" t="n">
        <v>444</v>
      </c>
      <c r="H24" s="14" t="n">
        <v>37</v>
      </c>
      <c r="I24" s="13" t="n">
        <v>1200</v>
      </c>
      <c r="J24" s="13" t="n">
        <v>0</v>
      </c>
      <c r="K24" s="13">
        <f>G24-J24</f>
        <v/>
      </c>
      <c r="L24" s="13">
        <f>K24*$L$1</f>
        <v/>
      </c>
      <c r="M24" s="15">
        <f>F24/K24</f>
        <v/>
      </c>
      <c r="N24" s="10">
        <f>IF(M24&lt;3.5,"SI",IF(M24&lt;4.5,IF(K24&gt;=100,"SI",IF(K24&gt;=40,"CUIDADO","NO")),IF(AND(M24&lt;5.5,F24&gt;=500,K24&gt;=80),"CUIDADO","NO")))</f>
        <v/>
      </c>
    </row>
    <row r="25" ht="15.75" customHeight="1" s="98">
      <c r="A25" s="5" t="inlineStr">
        <is>
          <t>Hevea</t>
        </is>
      </c>
      <c r="B25" s="5" t="inlineStr">
        <is>
          <t>sofa-terraza-3-plazas-estilo-contemporaneo-18590-cm</t>
        </is>
      </c>
      <c r="C25" s="5" t="inlineStr">
        <is>
          <t>557-010815</t>
        </is>
      </c>
      <c r="D25" s="6" t="inlineStr">
        <is>
          <t>CUPRA-3 SOFA 3 PLAZAS/SOFA/CANAPÉ</t>
        </is>
      </c>
      <c r="E25" s="7" t="n">
        <v>958</v>
      </c>
      <c r="F25" s="7" t="n">
        <v>1839.2</v>
      </c>
      <c r="G25" s="7" t="n">
        <v>562</v>
      </c>
      <c r="H25" s="8" t="n">
        <v>36.97</v>
      </c>
      <c r="I25" s="7" t="n">
        <v>1520</v>
      </c>
      <c r="J25" s="7" t="n">
        <v>0</v>
      </c>
      <c r="K25" s="7">
        <f>G25-J25</f>
        <v/>
      </c>
      <c r="L25" s="7">
        <f>K25*$L$1</f>
        <v/>
      </c>
      <c r="M25" s="9">
        <f>F25/K25</f>
        <v/>
      </c>
      <c r="N25" s="10">
        <f>IF(M25&lt;3.5,"SI",IF(M25&lt;4.5,IF(K25&gt;=100,"SI",IF(K25&gt;=40,"CUIDADO","NO")),IF(AND(M25&lt;5.5,F25&gt;=500,K25&gt;=80),"CUIDADO","NO")))</f>
        <v/>
      </c>
    </row>
    <row r="26" ht="15.75" customHeight="1" s="98">
      <c r="A26" s="11" t="inlineStr">
        <is>
          <t>Hevea</t>
        </is>
      </c>
      <c r="B26" s="11" t="inlineStr">
        <is>
          <t>reposapies-exterior-605040-cm</t>
        </is>
      </c>
      <c r="C26" s="11" t="inlineStr">
        <is>
          <t>557-010785</t>
        </is>
      </c>
      <c r="D26" s="12" t="inlineStr">
        <is>
          <t>STANDARD-5 REPOSAPIES/FOOTSTOOL/REPOSE-PIEDS</t>
        </is>
      </c>
      <c r="E26" s="13" t="n">
        <v>171</v>
      </c>
      <c r="F26" s="13" t="n">
        <v>326.7</v>
      </c>
      <c r="G26" s="13" t="n">
        <v>99</v>
      </c>
      <c r="H26" s="16" t="n">
        <v>36.67</v>
      </c>
      <c r="I26" s="13" t="n">
        <v>270</v>
      </c>
      <c r="J26" s="13" t="n">
        <v>0</v>
      </c>
      <c r="K26" s="13">
        <f>G26-J26</f>
        <v/>
      </c>
      <c r="L26" s="13">
        <f>K26*$L$1</f>
        <v/>
      </c>
      <c r="M26" s="15">
        <f>F26/K26</f>
        <v/>
      </c>
      <c r="N26" s="10">
        <f>IF(M26&lt;3.5,"SI",IF(M26&lt;4.5,IF(K26&gt;=100,"SI",IF(K26&gt;=40,"CUIDADO","NO")),IF(AND(M26&lt;5.5,F26&gt;=500,K26&gt;=80),"CUIDADO","NO")))</f>
        <v/>
      </c>
    </row>
    <row r="27" ht="15.75" customHeight="1" s="98">
      <c r="A27" s="5" t="inlineStr">
        <is>
          <t>Hevea</t>
        </is>
      </c>
      <c r="B27" s="5" t="inlineStr">
        <is>
          <t>set-jardin-2-plazas-elegante-sofa-2-plazas-2-sillones-mesa-2</t>
        </is>
      </c>
      <c r="C27" s="5" t="inlineStr">
        <is>
          <t>557-010816</t>
        </is>
      </c>
      <c r="D27" s="6" t="inlineStr">
        <is>
          <t>CUPRA-7 SET SOFÁ 2 PLAZAS / 2 SEATER SOFA SET / SET CANAPÉ 2 PLACES</t>
        </is>
      </c>
      <c r="E27" s="7" t="n">
        <v>1991</v>
      </c>
      <c r="F27" s="7" t="n">
        <v>3823.6</v>
      </c>
      <c r="G27" s="7" t="n">
        <v>1169</v>
      </c>
      <c r="H27" s="8" t="n">
        <v>36.99</v>
      </c>
      <c r="I27" s="7" t="n">
        <v>3160</v>
      </c>
      <c r="J27" s="7" t="n">
        <v>0</v>
      </c>
      <c r="K27" s="7">
        <f>G27-J27</f>
        <v/>
      </c>
      <c r="L27" s="7">
        <f>K27*$L$1</f>
        <v/>
      </c>
      <c r="M27" s="9">
        <f>F27/K27</f>
        <v/>
      </c>
      <c r="N27" s="10">
        <f>IF(M27&lt;3.5,"SI",IF(M27&lt;4.5,IF(K27&gt;=100,"SI",IF(K27&gt;=40,"CUIDADO","NO")),IF(AND(M27&lt;5.5,F27&gt;=500,K27&gt;=80),"CUIDADO","NO")))</f>
        <v/>
      </c>
    </row>
    <row r="28" ht="15.75" customHeight="1" s="98">
      <c r="A28" s="11" t="inlineStr">
        <is>
          <t>Hevea</t>
        </is>
      </c>
      <c r="B28" s="11" t="inlineStr">
        <is>
          <t>set-jardin-3-plazas-sofisticado-sofa-3-plazas-2-sillones-mesa-2</t>
        </is>
      </c>
      <c r="C28" s="11" t="inlineStr">
        <is>
          <t>557-010817</t>
        </is>
      </c>
      <c r="D28" s="12" t="inlineStr">
        <is>
          <t>CUPRA-8 SET SOFÁ 3 PLAZAS / 3 SEATER SOFA SET / SET CANAPÉ 3 PLACES</t>
        </is>
      </c>
      <c r="E28" s="13" t="n">
        <v>2262</v>
      </c>
      <c r="F28" s="13" t="n">
        <v>4343.9</v>
      </c>
      <c r="G28" s="13" t="n">
        <v>1328</v>
      </c>
      <c r="H28" s="14" t="n">
        <v>36.99</v>
      </c>
      <c r="I28" s="13" t="n">
        <v>3590</v>
      </c>
      <c r="J28" s="13" t="n">
        <v>0</v>
      </c>
      <c r="K28" s="13">
        <f>G28-J28</f>
        <v/>
      </c>
      <c r="L28" s="13">
        <f>K28*$L$1</f>
        <v/>
      </c>
      <c r="M28" s="15">
        <f>F28/K28</f>
        <v/>
      </c>
      <c r="N28" s="10">
        <f>IF(M28&lt;3.5,"SI",IF(M28&lt;4.5,IF(K28&gt;=100,"SI",IF(K28&gt;=40,"CUIDADO","NO")),IF(AND(M28&lt;5.5,F28&gt;=500,K28&gt;=80),"CUIDADO","NO")))</f>
        <v/>
      </c>
    </row>
    <row r="29" ht="15.75" customHeight="1" s="98">
      <c r="A29" s="5" t="inlineStr">
        <is>
          <t>Hevea</t>
        </is>
      </c>
      <c r="B29" s="5" t="inlineStr">
        <is>
          <t>sillon-exterior-estilo-envolvente-7582-cm</t>
        </is>
      </c>
      <c r="C29" s="5" t="inlineStr">
        <is>
          <t>557-1089</t>
        </is>
      </c>
      <c r="D29" s="6" t="inlineStr">
        <is>
          <t>BELLAGIO-1 SILLÓN/ARMCHAIR/FAUTEUIL</t>
        </is>
      </c>
      <c r="E29" s="7" t="n">
        <v>413</v>
      </c>
      <c r="F29" s="7" t="n">
        <v>792.55</v>
      </c>
      <c r="G29" s="7" t="n">
        <v>242</v>
      </c>
      <c r="H29" s="17" t="n">
        <v>36.95</v>
      </c>
      <c r="I29" s="7" t="n">
        <v>655</v>
      </c>
      <c r="J29" s="7" t="n">
        <v>50</v>
      </c>
      <c r="K29" s="7">
        <f>G29-J29</f>
        <v/>
      </c>
      <c r="L29" s="7">
        <f>K29*$L$1</f>
        <v/>
      </c>
      <c r="M29" s="9">
        <f>F29/K29</f>
        <v/>
      </c>
      <c r="N29" s="10">
        <f>IF(M29&lt;3.5,"SI",IF(M29&lt;4.5,IF(K29&gt;=100,"SI",IF(K29&gt;=40,"CUIDADO","NO")),IF(AND(M29&lt;5.5,F29&gt;=500,K29&gt;=80),"CUIDADO","NO")))</f>
        <v/>
      </c>
    </row>
    <row r="30" ht="15.75" customHeight="1" s="98">
      <c r="A30" s="11" t="inlineStr">
        <is>
          <t>Hevea</t>
        </is>
      </c>
      <c r="B30" s="11" t="inlineStr">
        <is>
          <t>sofa-terraza-3-plazas-estilo-contemporaneo-19882-cm</t>
        </is>
      </c>
      <c r="C30" s="11" t="inlineStr">
        <is>
          <t>557-1090</t>
        </is>
      </c>
      <c r="D30" s="12" t="inlineStr">
        <is>
          <t>BELLAGIO-3 SOFA 3 PLAZAS/SOFA/CANAPÉ</t>
        </is>
      </c>
      <c r="E30" s="13" t="n">
        <v>775</v>
      </c>
      <c r="F30" s="13" t="n">
        <v>1488.3</v>
      </c>
      <c r="G30" s="13" t="n">
        <v>455</v>
      </c>
      <c r="H30" s="14" t="n">
        <v>36.99</v>
      </c>
      <c r="I30" s="13" t="n">
        <v>1230</v>
      </c>
      <c r="J30" s="13" t="n">
        <v>0</v>
      </c>
      <c r="K30" s="13">
        <f>G30-J30</f>
        <v/>
      </c>
      <c r="L30" s="13">
        <f>K30*$L$1</f>
        <v/>
      </c>
      <c r="M30" s="15">
        <f>F30/K30</f>
        <v/>
      </c>
      <c r="N30" s="10">
        <f>IF(M30&lt;3.5,"SI",IF(M30&lt;4.5,IF(K30&gt;=100,"SI",IF(K30&gt;=40,"CUIDADO","NO")),IF(AND(M30&lt;5.5,F30&gt;=500,K30&gt;=80),"CUIDADO","NO")))</f>
        <v/>
      </c>
    </row>
    <row r="31" ht="15.75" customHeight="1" s="98">
      <c r="A31" s="5" t="inlineStr">
        <is>
          <t>Hevea</t>
        </is>
      </c>
      <c r="B31" s="5" t="inlineStr">
        <is>
          <t>sofa-terraza-2-plazas-estilo-contemporaneo-15082-cm</t>
        </is>
      </c>
      <c r="C31" s="5" t="inlineStr">
        <is>
          <t>557-1091</t>
        </is>
      </c>
      <c r="D31" s="6" t="inlineStr">
        <is>
          <t>BELLAGIO-2 SOFA 2 PLAZAS/SOFA/CANAPÉ</t>
        </is>
      </c>
      <c r="E31" s="7" t="n">
        <v>549</v>
      </c>
      <c r="F31" s="7" t="n">
        <v>1052.7</v>
      </c>
      <c r="G31" s="7" t="n">
        <v>321</v>
      </c>
      <c r="H31" s="8" t="n">
        <v>36.9</v>
      </c>
      <c r="I31" s="7" t="n">
        <v>870</v>
      </c>
      <c r="J31" s="7" t="n">
        <v>50</v>
      </c>
      <c r="K31" s="7">
        <f>G31-J31</f>
        <v/>
      </c>
      <c r="L31" s="7">
        <f>K31*$L$1</f>
        <v/>
      </c>
      <c r="M31" s="9">
        <f>F31/K31</f>
        <v/>
      </c>
      <c r="N31" s="10">
        <f>IF(M31&lt;3.5,"SI",IF(M31&lt;4.5,IF(K31&gt;=100,"SI",IF(K31&gt;=40,"CUIDADO","NO")),IF(AND(M31&lt;5.5,F31&gt;=500,K31&gt;=80),"CUIDADO","NO")))</f>
        <v/>
      </c>
    </row>
    <row r="32" ht="15.75" customHeight="1" s="98">
      <c r="A32" s="11" t="inlineStr">
        <is>
          <t>Hevea</t>
        </is>
      </c>
      <c r="B32" s="11" t="inlineStr">
        <is>
          <t>mesa-de-centro-exterior-125-cm-altura-38-cm</t>
        </is>
      </c>
      <c r="C32" s="11" t="inlineStr">
        <is>
          <t>557-1092</t>
        </is>
      </c>
      <c r="D32" s="12" t="inlineStr">
        <is>
          <t>BELLAGIO-4 MESA CENTRO 125</t>
        </is>
      </c>
      <c r="E32" s="13" t="n">
        <v>196</v>
      </c>
      <c r="F32" s="13" t="n">
        <v>375.1</v>
      </c>
      <c r="G32" s="13" t="n">
        <v>114</v>
      </c>
      <c r="H32" s="16" t="n">
        <v>36.77</v>
      </c>
      <c r="I32" s="13" t="n">
        <v>310</v>
      </c>
      <c r="J32" s="13" t="n">
        <v>50</v>
      </c>
      <c r="K32" s="13">
        <f>G32-J32</f>
        <v/>
      </c>
      <c r="L32" s="13">
        <f>K32*$L$1</f>
        <v/>
      </c>
      <c r="M32" s="15">
        <f>F32/K32</f>
        <v/>
      </c>
      <c r="N32" s="10">
        <f>IF(M32&lt;3.5,"SI",IF(M32&lt;4.5,IF(K32&gt;=100,"SI",IF(K32&gt;=40,"CUIDADO","NO")),IF(AND(M32&lt;5.5,F32&gt;=500,K32&gt;=80),"CUIDADO","NO")))</f>
        <v/>
      </c>
    </row>
    <row r="33" ht="15.75" customHeight="1" s="98">
      <c r="A33" s="5" t="inlineStr">
        <is>
          <t>Hevea</t>
        </is>
      </c>
      <c r="B33" s="5" t="inlineStr">
        <is>
          <t>set-jardin-2-plazas-elegante-sofa-2-plazas-2-sillones-mesa-3</t>
        </is>
      </c>
      <c r="C33" s="5" t="inlineStr">
        <is>
          <t>557-1094</t>
        </is>
      </c>
      <c r="D33" s="6" t="inlineStr">
        <is>
          <t>BELLAGIO-7 SET SOFÁ 2 PLAZAS / 2 SEATER SOFA SET / SET CANAPÉ 2 PLACES</t>
        </is>
      </c>
      <c r="E33" s="7" t="n">
        <v>1569</v>
      </c>
      <c r="F33" s="7" t="n">
        <v>3012.9</v>
      </c>
      <c r="G33" s="7" t="n">
        <v>921</v>
      </c>
      <c r="H33" s="8" t="n">
        <v>36.99</v>
      </c>
      <c r="I33" s="7" t="n">
        <v>2490</v>
      </c>
      <c r="J33" s="7" t="n">
        <v>0</v>
      </c>
      <c r="K33" s="7">
        <f>G33-J33</f>
        <v/>
      </c>
      <c r="L33" s="7">
        <f>K33*$L$1</f>
        <v/>
      </c>
      <c r="M33" s="9">
        <f>F33/K33</f>
        <v/>
      </c>
      <c r="N33" s="10">
        <f>IF(M33&lt;3.5,"SI",IF(M33&lt;4.5,IF(K33&gt;=100,"SI",IF(K33&gt;=40,"CUIDADO","NO")),IF(AND(M33&lt;5.5,F33&gt;=500,K33&gt;=80),"CUIDADO","NO")))</f>
        <v/>
      </c>
    </row>
    <row r="34" ht="15.75" customHeight="1" s="98">
      <c r="A34" s="11" t="inlineStr">
        <is>
          <t>Hevea</t>
        </is>
      </c>
      <c r="B34" s="11" t="inlineStr">
        <is>
          <t>set-jardin-3-plazas-sofisticado-sofa-3-plazas-2-sillones-mesa-3</t>
        </is>
      </c>
      <c r="C34" s="11" t="inlineStr">
        <is>
          <t>557-1095</t>
        </is>
      </c>
      <c r="D34" s="12" t="inlineStr">
        <is>
          <t>BELLAGIO-8 SET SOFÁ 3 PLAZAS / 3 SEATER SOFA SET / SET CANAPÉ 3 PLACES</t>
        </is>
      </c>
      <c r="E34" s="13" t="n">
        <v>1796</v>
      </c>
      <c r="F34" s="13" t="n">
        <v>3448.5</v>
      </c>
      <c r="G34" s="13" t="n">
        <v>1054</v>
      </c>
      <c r="H34" s="14" t="n">
        <v>36.98</v>
      </c>
      <c r="I34" s="13" t="n">
        <v>2850</v>
      </c>
      <c r="J34" s="13" t="n">
        <v>0</v>
      </c>
      <c r="K34" s="13">
        <f>G34-J34</f>
        <v/>
      </c>
      <c r="L34" s="13">
        <f>K34*$L$1</f>
        <v/>
      </c>
      <c r="M34" s="15">
        <f>F34/K34</f>
        <v/>
      </c>
      <c r="N34" s="10">
        <f>IF(M34&lt;3.5,"SI",IF(M34&lt;4.5,IF(K34&gt;=100,"SI",IF(K34&gt;=40,"CUIDADO","NO")),IF(AND(M34&lt;5.5,F34&gt;=500,K34&gt;=80),"CUIDADO","NO")))</f>
        <v/>
      </c>
    </row>
    <row r="35" ht="15.75" customHeight="1" s="98">
      <c r="A35" s="5" t="inlineStr">
        <is>
          <t>Hevea</t>
        </is>
      </c>
      <c r="B35" s="5" t="inlineStr">
        <is>
          <t>sillon-exterior-estilo-estilizado-7069-cm</t>
        </is>
      </c>
      <c r="C35" s="5" t="inlineStr">
        <is>
          <t>600-010090</t>
        </is>
      </c>
      <c r="D35" s="6" t="inlineStr">
        <is>
          <t>CLOE-1 SILLON/ARMCHAIR/FAUTEUIL</t>
        </is>
      </c>
      <c r="E35" s="7" t="n">
        <v>508</v>
      </c>
      <c r="F35" s="7" t="n">
        <v>974.05</v>
      </c>
      <c r="G35" s="7" t="n">
        <v>297</v>
      </c>
      <c r="H35" s="8" t="n">
        <v>36.89</v>
      </c>
      <c r="I35" s="7" t="n">
        <v>805</v>
      </c>
      <c r="J35" s="7" t="n">
        <v>50</v>
      </c>
      <c r="K35" s="7">
        <f>G35-J35</f>
        <v/>
      </c>
      <c r="L35" s="7">
        <f>K35*$L$1</f>
        <v/>
      </c>
      <c r="M35" s="9">
        <f>F35/K35</f>
        <v/>
      </c>
      <c r="N35" s="10">
        <f>IF(M35&lt;3.5,"SI",IF(M35&lt;4.5,IF(K35&gt;=100,"SI",IF(K35&gt;=40,"CUIDADO","NO")),IF(AND(M35&lt;5.5,F35&gt;=500,K35&gt;=80),"CUIDADO","NO")))</f>
        <v/>
      </c>
    </row>
    <row r="36" ht="15.75" customHeight="1" s="98">
      <c r="A36" s="11" t="inlineStr">
        <is>
          <t>Hevea</t>
        </is>
      </c>
      <c r="B36" s="11" t="inlineStr">
        <is>
          <t>sofa-terraza-2-plazas-estilo-contemporaneo-16269-cm</t>
        </is>
      </c>
      <c r="C36" s="11" t="inlineStr">
        <is>
          <t>600-010091</t>
        </is>
      </c>
      <c r="D36" s="12" t="inlineStr">
        <is>
          <t>CLOE SOFA 2 PLAZAS/SOFA/CANAPÉ</t>
        </is>
      </c>
      <c r="E36" s="13" t="n">
        <v>722</v>
      </c>
      <c r="F36" s="13" t="n">
        <v>1385.45</v>
      </c>
      <c r="G36" s="13" t="n">
        <v>423</v>
      </c>
      <c r="H36" s="14" t="n">
        <v>36.94</v>
      </c>
      <c r="I36" s="13" t="n">
        <v>1145</v>
      </c>
      <c r="J36" s="13" t="n">
        <v>0</v>
      </c>
      <c r="K36" s="13">
        <f>G36-J36</f>
        <v/>
      </c>
      <c r="L36" s="13">
        <f>K36*$L$1</f>
        <v/>
      </c>
      <c r="M36" s="15">
        <f>F36/K36</f>
        <v/>
      </c>
      <c r="N36" s="10">
        <f>IF(M36&lt;3.5,"SI",IF(M36&lt;4.5,IF(K36&gt;=100,"SI",IF(K36&gt;=40,"CUIDADO","NO")),IF(AND(M36&lt;5.5,F36&gt;=500,K36&gt;=80),"CUIDADO","NO")))</f>
        <v/>
      </c>
    </row>
    <row r="37" ht="15.75" customHeight="1" s="98">
      <c r="A37" s="5" t="inlineStr">
        <is>
          <t>Hevea</t>
        </is>
      </c>
      <c r="B37" s="5" t="inlineStr">
        <is>
          <t>sofa-terraza-3-plazas-estilo-elegante-22069-cm</t>
        </is>
      </c>
      <c r="C37" s="5" t="inlineStr">
        <is>
          <t>600-010092</t>
        </is>
      </c>
      <c r="D37" s="6" t="inlineStr">
        <is>
          <t>CLOE SOFA 3 PLAZAS/SOFA/CANAPÉ</t>
        </is>
      </c>
      <c r="E37" s="7" t="n">
        <v>999</v>
      </c>
      <c r="F37" s="7" t="n">
        <v>1917.85</v>
      </c>
      <c r="G37" s="7" t="n">
        <v>586</v>
      </c>
      <c r="H37" s="8" t="n">
        <v>36.97</v>
      </c>
      <c r="I37" s="7" t="n">
        <v>1585</v>
      </c>
      <c r="J37" s="7" t="n">
        <v>0</v>
      </c>
      <c r="K37" s="7">
        <f>G37-J37</f>
        <v/>
      </c>
      <c r="L37" s="7">
        <f>K37*$L$1</f>
        <v/>
      </c>
      <c r="M37" s="9">
        <f>F37/K37</f>
        <v/>
      </c>
      <c r="N37" s="10">
        <f>IF(M37&lt;3.5,"SI",IF(M37&lt;4.5,IF(K37&gt;=100,"SI",IF(K37&gt;=40,"CUIDADO","NO")),IF(AND(M37&lt;5.5,F37&gt;=500,K37&gt;=80),"CUIDADO","NO")))</f>
        <v/>
      </c>
    </row>
    <row r="38" ht="15.75" customHeight="1" s="98">
      <c r="A38" s="11" t="inlineStr">
        <is>
          <t>Hevea</t>
        </is>
      </c>
      <c r="B38" s="11" t="inlineStr">
        <is>
          <t>reposapies-exterior-504540-cm</t>
        </is>
      </c>
      <c r="C38" s="11" t="inlineStr">
        <is>
          <t>600-010093</t>
        </is>
      </c>
      <c r="D38" s="12" t="inlineStr">
        <is>
          <t>CLOE-5 REPOSAPIES/FOOTSTOOL/REPOSE-PIEDS</t>
        </is>
      </c>
      <c r="E38" s="13" t="n">
        <v>98</v>
      </c>
      <c r="F38" s="13" t="n">
        <v>187.55</v>
      </c>
      <c r="G38" s="13" t="n">
        <v>57</v>
      </c>
      <c r="H38" s="16" t="n">
        <v>36.77</v>
      </c>
      <c r="I38" s="13" t="n">
        <v>155</v>
      </c>
      <c r="J38" s="13" t="n">
        <v>0</v>
      </c>
      <c r="K38" s="13">
        <f>G38-J38</f>
        <v/>
      </c>
      <c r="L38" s="13">
        <f>K38*$L$1</f>
        <v/>
      </c>
      <c r="M38" s="15">
        <f>F38/K38</f>
        <v/>
      </c>
      <c r="N38" s="10">
        <f>IF(M38&lt;3.5,"SI",IF(M38&lt;4.5,IF(K38&gt;=100,"SI",IF(K38&gt;=40,"CUIDADO","NO")),IF(AND(M38&lt;5.5,F38&gt;=500,K38&gt;=80),"CUIDADO","NO")))</f>
        <v/>
      </c>
    </row>
    <row r="39" ht="15.75" customHeight="1" s="98">
      <c r="A39" s="5" t="inlineStr">
        <is>
          <t>Hevea</t>
        </is>
      </c>
      <c r="B39" s="5" t="inlineStr">
        <is>
          <t>sillon-exterior-estilo-elegante-6578-cm</t>
        </is>
      </c>
      <c r="C39" s="5" t="inlineStr">
        <is>
          <t>557-011090</t>
        </is>
      </c>
      <c r="D39" s="6" t="inlineStr">
        <is>
          <t>ODIN-1 SILLON/ARMCHAIR/FAUTEUIL</t>
        </is>
      </c>
      <c r="E39" s="7" t="n">
        <v>268</v>
      </c>
      <c r="F39" s="7" t="n">
        <v>514.25</v>
      </c>
      <c r="G39" s="7" t="n">
        <v>157</v>
      </c>
      <c r="H39" s="8" t="n">
        <v>36.94</v>
      </c>
      <c r="I39" s="7" t="n">
        <v>425</v>
      </c>
      <c r="J39" s="7" t="n">
        <v>50</v>
      </c>
      <c r="K39" s="7">
        <f>G39-J39</f>
        <v/>
      </c>
      <c r="L39" s="7">
        <f>K39*$L$1</f>
        <v/>
      </c>
      <c r="M39" s="9">
        <f>F39/K39</f>
        <v/>
      </c>
      <c r="N39" s="10">
        <f>IF(M39&lt;3.5,"SI",IF(M39&lt;4.5,IF(K39&gt;=100,"SI",IF(K39&gt;=40,"CUIDADO","NO")),IF(AND(M39&lt;5.5,F39&gt;=500,K39&gt;=80),"CUIDADO","NO")))</f>
        <v/>
      </c>
    </row>
    <row r="40" ht="15.75" customHeight="1" s="98">
      <c r="A40" s="11" t="inlineStr">
        <is>
          <t>Hevea</t>
        </is>
      </c>
      <c r="B40" s="11" t="inlineStr">
        <is>
          <t>sofa-terraza-2-plazas-estilo-contemporaneo-12078-cm</t>
        </is>
      </c>
      <c r="C40" s="11" t="inlineStr">
        <is>
          <t>557-011091</t>
        </is>
      </c>
      <c r="D40" s="12" t="inlineStr">
        <is>
          <t>ODIN-2 SOFA 2 PLAZAS/SOFA/CANAPÉ</t>
        </is>
      </c>
      <c r="E40" s="13" t="n">
        <v>454</v>
      </c>
      <c r="F40" s="13" t="n">
        <v>871.2</v>
      </c>
      <c r="G40" s="13" t="n">
        <v>266</v>
      </c>
      <c r="H40" s="14" t="n">
        <v>36.94</v>
      </c>
      <c r="I40" s="13" t="n">
        <v>720</v>
      </c>
      <c r="J40" s="13" t="n">
        <v>50</v>
      </c>
      <c r="K40" s="13">
        <f>G40-J40</f>
        <v/>
      </c>
      <c r="L40" s="13">
        <f>K40*$L$1</f>
        <v/>
      </c>
      <c r="M40" s="15">
        <f>F40/K40</f>
        <v/>
      </c>
      <c r="N40" s="10">
        <f>IF(M40&lt;3.5,"SI",IF(M40&lt;4.5,IF(K40&gt;=100,"SI",IF(K40&gt;=40,"CUIDADO","NO")),IF(AND(M40&lt;5.5,F40&gt;=500,K40&gt;=80),"CUIDADO","NO")))</f>
        <v/>
      </c>
    </row>
    <row r="41" ht="15.75" customHeight="1" s="98">
      <c r="A41" s="5" t="inlineStr">
        <is>
          <t>Hevea</t>
        </is>
      </c>
      <c r="B41" s="5" t="inlineStr">
        <is>
          <t>sofa-terraza-3-plazas-estilo-sofisticado-17578-cm</t>
        </is>
      </c>
      <c r="C41" s="5" t="inlineStr">
        <is>
          <t>557-011092</t>
        </is>
      </c>
      <c r="D41" s="6" t="inlineStr">
        <is>
          <t>ODIN-3 SOFA 3 PLAZAS/SOFA/CANAPÉ</t>
        </is>
      </c>
      <c r="E41" s="7" t="n">
        <v>596</v>
      </c>
      <c r="F41" s="7" t="n">
        <v>1143.45</v>
      </c>
      <c r="G41" s="7" t="n">
        <v>349</v>
      </c>
      <c r="H41" s="8" t="n">
        <v>36.93</v>
      </c>
      <c r="I41" s="7" t="n">
        <v>945</v>
      </c>
      <c r="J41" s="7" t="n">
        <v>0</v>
      </c>
      <c r="K41" s="7">
        <f>G41-J41</f>
        <v/>
      </c>
      <c r="L41" s="7">
        <f>K41*$L$1</f>
        <v/>
      </c>
      <c r="M41" s="9">
        <f>F41/K41</f>
        <v/>
      </c>
      <c r="N41" s="10">
        <f>IF(M41&lt;3.5,"SI",IF(M41&lt;4.5,IF(K41&gt;=100,"SI",IF(K41&gt;=40,"CUIDADO","NO")),IF(AND(M41&lt;5.5,F41&gt;=500,K41&gt;=80),"CUIDADO","NO")))</f>
        <v/>
      </c>
    </row>
    <row r="42" ht="15.75" customHeight="1" s="98">
      <c r="A42" s="11" t="inlineStr">
        <is>
          <t>Hevea</t>
        </is>
      </c>
      <c r="B42" s="11" t="inlineStr">
        <is>
          <t>mesa-de-centro-exterior-90-cm-altura-41-cm</t>
        </is>
      </c>
      <c r="C42" s="11" t="inlineStr">
        <is>
          <t>557-011075</t>
        </is>
      </c>
      <c r="D42" s="12" t="inlineStr">
        <is>
          <t>SAIPROS-90 MESA CENTRO 90/COFFEE TABLE/TABLE CENTRE</t>
        </is>
      </c>
      <c r="E42" s="13" t="n">
        <v>177</v>
      </c>
      <c r="F42" s="13" t="n">
        <v>338.8</v>
      </c>
      <c r="G42" s="13" t="n">
        <v>103</v>
      </c>
      <c r="H42" s="14" t="n">
        <v>36.79</v>
      </c>
      <c r="I42" s="13" t="n">
        <v>280</v>
      </c>
      <c r="J42" s="13" t="n">
        <v>0</v>
      </c>
      <c r="K42" s="13">
        <f>G42-J42</f>
        <v/>
      </c>
      <c r="L42" s="13">
        <f>K42*$L$1</f>
        <v/>
      </c>
      <c r="M42" s="15">
        <f>F42/K42</f>
        <v/>
      </c>
      <c r="N42" s="10">
        <f>IF(M42&lt;3.5,"SI",IF(M42&lt;4.5,IF(K42&gt;=100,"SI",IF(K42&gt;=40,"CUIDADO","NO")),IF(AND(M42&lt;5.5,F42&gt;=500,K42&gt;=80),"CUIDADO","NO")))</f>
        <v/>
      </c>
    </row>
    <row r="43" ht="15.75" customHeight="1" s="98">
      <c r="A43" s="5" t="inlineStr">
        <is>
          <t>Hevea</t>
        </is>
      </c>
      <c r="B43" s="5" t="inlineStr">
        <is>
          <t>mesa-de-centro-exterior-120-cm-altura-41-cm</t>
        </is>
      </c>
      <c r="C43" s="5" t="inlineStr">
        <is>
          <t>557-011076</t>
        </is>
      </c>
      <c r="D43" s="6" t="inlineStr">
        <is>
          <t>SAIPROS-120 MESA CENTRO 120/COFFEE TABLE/TABLE CENTRE</t>
        </is>
      </c>
      <c r="E43" s="7" t="n">
        <v>246</v>
      </c>
      <c r="F43" s="7" t="n">
        <v>471.9</v>
      </c>
      <c r="G43" s="7" t="n">
        <v>144</v>
      </c>
      <c r="H43" s="17" t="n">
        <v>36.92</v>
      </c>
      <c r="I43" s="7" t="n">
        <v>390</v>
      </c>
      <c r="J43" s="7" t="n">
        <v>50</v>
      </c>
      <c r="K43" s="7">
        <f>G43-J43</f>
        <v/>
      </c>
      <c r="L43" s="7">
        <f>K43*$L$1</f>
        <v/>
      </c>
      <c r="M43" s="9">
        <f>F43/K43</f>
        <v/>
      </c>
      <c r="N43" s="10">
        <f>IF(M43&lt;3.5,"SI",IF(M43&lt;4.5,IF(K43&gt;=100,"SI",IF(K43&gt;=40,"CUIDADO","NO")),IF(AND(M43&lt;5.5,F43&gt;=500,K43&gt;=80),"CUIDADO","NO")))</f>
        <v/>
      </c>
    </row>
    <row r="44" ht="15.75" customHeight="1" s="98">
      <c r="A44" s="11" t="inlineStr">
        <is>
          <t>Hevea</t>
        </is>
      </c>
      <c r="B44" s="11" t="inlineStr">
        <is>
          <t>set-jardin-2-plazas-moderno-sofa-2-plazas-2-sillones-mesa-2</t>
        </is>
      </c>
      <c r="C44" s="11" t="inlineStr">
        <is>
          <t>557-011094</t>
        </is>
      </c>
      <c r="D44" s="12" t="inlineStr">
        <is>
          <t>ODIN-7 SET SOFÁ 2 PLAZAS / 2 SEATER SOFA SET / SET CANAPÉ 2 PLACES</t>
        </is>
      </c>
      <c r="E44" s="13" t="n">
        <v>1166</v>
      </c>
      <c r="F44" s="13" t="n">
        <v>2238.5</v>
      </c>
      <c r="G44" s="13" t="n">
        <v>684</v>
      </c>
      <c r="H44" s="14" t="n">
        <v>36.97</v>
      </c>
      <c r="I44" s="13" t="n">
        <v>1850</v>
      </c>
      <c r="J44" s="13" t="n">
        <v>0</v>
      </c>
      <c r="K44" s="13">
        <f>G44-J44</f>
        <v/>
      </c>
      <c r="L44" s="13">
        <f>K44*$L$1</f>
        <v/>
      </c>
      <c r="M44" s="15">
        <f>F44/K44</f>
        <v/>
      </c>
      <c r="N44" s="10">
        <f>IF(M44&lt;3.5,"SI",IF(M44&lt;4.5,IF(K44&gt;=100,"SI",IF(K44&gt;=40,"CUIDADO","NO")),IF(AND(M44&lt;5.5,F44&gt;=500,K44&gt;=80),"CUIDADO","NO")))</f>
        <v/>
      </c>
    </row>
    <row r="45" ht="15.75" customHeight="1" s="98">
      <c r="A45" s="5" t="inlineStr">
        <is>
          <t>Hevea</t>
        </is>
      </c>
      <c r="B45" s="5" t="inlineStr">
        <is>
          <t>set-jardin-3-plazas-elegante-sofa-3-plazas-2-sillones-mesa</t>
        </is>
      </c>
      <c r="C45" s="5" t="inlineStr">
        <is>
          <t>557-011095</t>
        </is>
      </c>
      <c r="D45" s="6" t="inlineStr">
        <is>
          <t>ODIN-8 SET SOFÁ 3 PLAZAS / 3 SEATER SOFA SET / SET CANAPÉ 3 PLACES</t>
        </is>
      </c>
      <c r="E45" s="7" t="n">
        <v>1377</v>
      </c>
      <c r="F45" s="7" t="n">
        <v>2643.85</v>
      </c>
      <c r="G45" s="7" t="n">
        <v>808</v>
      </c>
      <c r="H45" s="8" t="n">
        <v>36.98</v>
      </c>
      <c r="I45" s="7" t="n">
        <v>2185</v>
      </c>
      <c r="J45" s="7" t="n">
        <v>0</v>
      </c>
      <c r="K45" s="7">
        <f>G45-J45</f>
        <v/>
      </c>
      <c r="L45" s="7">
        <f>K45*$L$1</f>
        <v/>
      </c>
      <c r="M45" s="9">
        <f>F45/K45</f>
        <v/>
      </c>
      <c r="N45" s="10">
        <f>IF(M45&lt;3.5,"SI",IF(M45&lt;4.5,IF(K45&gt;=100,"SI",IF(K45&gt;=40,"CUIDADO","NO")),IF(AND(M45&lt;5.5,F45&gt;=500,K45&gt;=80),"CUIDADO","NO")))</f>
        <v/>
      </c>
    </row>
    <row r="46" ht="15.75" customHeight="1" s="98">
      <c r="A46" s="11" t="inlineStr">
        <is>
          <t>Hevea</t>
        </is>
      </c>
      <c r="B46" s="11" t="inlineStr">
        <is>
          <t>sillon-exterior-estilo-versatil-76100-cm</t>
        </is>
      </c>
      <c r="C46" s="11" t="inlineStr">
        <is>
          <t>557-010726</t>
        </is>
      </c>
      <c r="D46" s="12" t="inlineStr">
        <is>
          <t>ALBANIA-1 SILLON/ARMCHAIR/FAUTEUIL</t>
        </is>
      </c>
      <c r="E46" s="13" t="n">
        <v>312</v>
      </c>
      <c r="F46" s="13" t="n">
        <v>598.95</v>
      </c>
      <c r="G46" s="13" t="n">
        <v>183</v>
      </c>
      <c r="H46" s="16" t="n">
        <v>36.97</v>
      </c>
      <c r="I46" s="13" t="n">
        <v>495</v>
      </c>
      <c r="J46" s="13" t="n">
        <v>50</v>
      </c>
      <c r="K46" s="13">
        <f>G46-J46</f>
        <v/>
      </c>
      <c r="L46" s="13">
        <f>K46*$L$1</f>
        <v/>
      </c>
      <c r="M46" s="15">
        <f>F46/K46</f>
        <v/>
      </c>
      <c r="N46" s="10">
        <f>IF(M46&lt;3.5,"SI",IF(M46&lt;4.5,IF(K46&gt;=100,"SI",IF(K46&gt;=40,"CUIDADO","NO")),IF(AND(M46&lt;5.5,F46&gt;=500,K46&gt;=80),"CUIDADO","NO")))</f>
        <v/>
      </c>
    </row>
    <row r="47" ht="15.75" customHeight="1" s="98">
      <c r="A47" s="5" t="inlineStr">
        <is>
          <t>Hevea</t>
        </is>
      </c>
      <c r="B47" s="5" t="inlineStr">
        <is>
          <t>sofa-terraza-2-plazas-estilo-contemporaneo-145100-cm</t>
        </is>
      </c>
      <c r="C47" s="5" t="inlineStr">
        <is>
          <t>557-010727</t>
        </is>
      </c>
      <c r="D47" s="6" t="inlineStr">
        <is>
          <t>ALBANIA-2 SOFA 2 PLAZAS/SOFA/CANAPÉ</t>
        </is>
      </c>
      <c r="E47" s="7" t="n">
        <v>495</v>
      </c>
      <c r="F47" s="7" t="n">
        <v>949.85</v>
      </c>
      <c r="G47" s="7" t="n">
        <v>290</v>
      </c>
      <c r="H47" s="8" t="n">
        <v>36.94</v>
      </c>
      <c r="I47" s="7" t="n">
        <v>785</v>
      </c>
      <c r="J47" s="7" t="n">
        <v>50</v>
      </c>
      <c r="K47" s="7">
        <f>G47-J47</f>
        <v/>
      </c>
      <c r="L47" s="7">
        <f>K47*$L$1</f>
        <v/>
      </c>
      <c r="M47" s="9">
        <f>F47/K47</f>
        <v/>
      </c>
      <c r="N47" s="10">
        <f>IF(M47&lt;3.5,"SI",IF(M47&lt;4.5,IF(K47&gt;=100,"SI",IF(K47&gt;=40,"CUIDADO","NO")),IF(AND(M47&lt;5.5,F47&gt;=500,K47&gt;=80),"CUIDADO","NO")))</f>
        <v/>
      </c>
    </row>
    <row r="48" ht="15.75" customHeight="1" s="98">
      <c r="A48" s="11" t="inlineStr">
        <is>
          <t>Hevea</t>
        </is>
      </c>
      <c r="B48" s="11" t="inlineStr">
        <is>
          <t>sofa-terraza-3-plazas-estilo-sofisticado-212100-cm</t>
        </is>
      </c>
      <c r="C48" s="11" t="inlineStr">
        <is>
          <t>557-010728</t>
        </is>
      </c>
      <c r="D48" s="12" t="inlineStr">
        <is>
          <t>ALBANIA-3 SOFA 3 PLAZAS/SOFA/CANAPÉ</t>
        </is>
      </c>
      <c r="E48" s="13" t="n">
        <v>627</v>
      </c>
      <c r="F48" s="13" t="n">
        <v>1203.95</v>
      </c>
      <c r="G48" s="13" t="n">
        <v>368</v>
      </c>
      <c r="H48" s="14" t="n">
        <v>36.98</v>
      </c>
      <c r="I48" s="13" t="n">
        <v>995</v>
      </c>
      <c r="J48" s="13" t="n">
        <v>0</v>
      </c>
      <c r="K48" s="13">
        <f>G48-J48</f>
        <v/>
      </c>
      <c r="L48" s="13">
        <f>K48*$L$1</f>
        <v/>
      </c>
      <c r="M48" s="15">
        <f>F48/K48</f>
        <v/>
      </c>
      <c r="N48" s="10">
        <f>IF(M48&lt;3.5,"SI",IF(M48&lt;4.5,IF(K48&gt;=100,"SI",IF(K48&gt;=40,"CUIDADO","NO")),IF(AND(M48&lt;5.5,F48&gt;=500,K48&gt;=80),"CUIDADO","NO")))</f>
        <v/>
      </c>
    </row>
    <row r="49" ht="15.75" customHeight="1" s="98">
      <c r="A49" s="5" t="inlineStr">
        <is>
          <t>Hevea</t>
        </is>
      </c>
      <c r="B49" s="5" t="inlineStr">
        <is>
          <t>set-jardin-2-plazas-elegante-sofa-2-plazas-2-sillones-mesa-4</t>
        </is>
      </c>
      <c r="C49" s="5" t="inlineStr">
        <is>
          <t>557-010729</t>
        </is>
      </c>
      <c r="D49" s="6" t="inlineStr">
        <is>
          <t>ALBANIA-7 SET SOFÁ 2 PLAZAS / 2 SEATER SOFA SET / SET CANAPÉ 2 PLACES</t>
        </is>
      </c>
      <c r="E49" s="7" t="n">
        <v>1465</v>
      </c>
      <c r="F49" s="7" t="n">
        <v>2813.25</v>
      </c>
      <c r="G49" s="7" t="n">
        <v>860</v>
      </c>
      <c r="H49" s="8" t="n">
        <v>36.99</v>
      </c>
      <c r="I49" s="7" t="n">
        <v>2325</v>
      </c>
      <c r="J49" s="7" t="n">
        <v>0</v>
      </c>
      <c r="K49" s="7">
        <f>G49-J49</f>
        <v/>
      </c>
      <c r="L49" s="7">
        <f>K49*$L$1</f>
        <v/>
      </c>
      <c r="M49" s="9">
        <f>F49/K49</f>
        <v/>
      </c>
      <c r="N49" s="10">
        <f>IF(M49&lt;3.5,"SI",IF(M49&lt;4.5,IF(K49&gt;=100,"SI",IF(K49&gt;=40,"CUIDADO","NO")),IF(AND(M49&lt;5.5,F49&gt;=500,K49&gt;=80),"CUIDADO","NO")))</f>
        <v/>
      </c>
    </row>
    <row r="50" ht="15.75" customHeight="1" s="98">
      <c r="A50" s="11" t="inlineStr">
        <is>
          <t>Hevea</t>
        </is>
      </c>
      <c r="B50" s="11" t="inlineStr">
        <is>
          <t>set-jardin-3-plazas-sofisticado-sofa-3-plazas-2-sillones-mesa-4</t>
        </is>
      </c>
      <c r="C50" s="11" t="inlineStr">
        <is>
          <t>557-010730</t>
        </is>
      </c>
      <c r="D50" s="12" t="inlineStr">
        <is>
          <t>ALBANIA-8 SET SOFÁ 3 PLAZAS / 3 SEATER SOFA SET / SET CANAPÉ 3 PLACES</t>
        </is>
      </c>
      <c r="E50" s="13" t="n">
        <v>1635</v>
      </c>
      <c r="F50" s="13" t="n">
        <v>3139.95</v>
      </c>
      <c r="G50" s="13" t="n">
        <v>960</v>
      </c>
      <c r="H50" s="14" t="n">
        <v>36.99</v>
      </c>
      <c r="I50" s="13" t="n">
        <v>2595</v>
      </c>
      <c r="J50" s="13" t="n">
        <v>0</v>
      </c>
      <c r="K50" s="13">
        <f>G50-J50</f>
        <v/>
      </c>
      <c r="L50" s="13">
        <f>K50*$L$1</f>
        <v/>
      </c>
      <c r="M50" s="15">
        <f>F50/K50</f>
        <v/>
      </c>
      <c r="N50" s="10">
        <f>IF(M50&lt;3.5,"SI",IF(M50&lt;4.5,IF(K50&gt;=100,"SI",IF(K50&gt;=40,"CUIDADO","NO")),IF(AND(M50&lt;5.5,F50&gt;=500,K50&gt;=80),"CUIDADO","NO")))</f>
        <v/>
      </c>
    </row>
    <row r="51" ht="15.75" customHeight="1" s="98">
      <c r="A51" s="5" t="inlineStr">
        <is>
          <t>Hevea</t>
        </is>
      </c>
      <c r="B51" s="5" t="inlineStr">
        <is>
          <t>reposapies-exterior-855043-cm</t>
        </is>
      </c>
      <c r="C51" s="5" t="inlineStr">
        <is>
          <t>557-0185</t>
        </is>
      </c>
      <c r="D51" s="6" t="inlineStr">
        <is>
          <t>STANDARD 55-XL STANDARD XL REPOSAPIES</t>
        </is>
      </c>
      <c r="E51" s="7" t="n">
        <v>186</v>
      </c>
      <c r="F51" s="7" t="n">
        <v>356.95</v>
      </c>
      <c r="G51" s="7" t="n">
        <v>109</v>
      </c>
      <c r="H51" s="17" t="n">
        <v>36.95</v>
      </c>
      <c r="I51" s="7" t="n">
        <v>295</v>
      </c>
      <c r="J51" s="7" t="n">
        <v>0</v>
      </c>
      <c r="K51" s="7">
        <f>G51-J51</f>
        <v/>
      </c>
      <c r="L51" s="7">
        <f>K51*$L$1</f>
        <v/>
      </c>
      <c r="M51" s="9">
        <f>F51/K51</f>
        <v/>
      </c>
      <c r="N51" s="10">
        <f>IF(M51&lt;3.5,"SI",IF(M51&lt;4.5,IF(K51&gt;=100,"SI",IF(K51&gt;=40,"CUIDADO","NO")),IF(AND(M51&lt;5.5,F51&gt;=500,K51&gt;=80),"CUIDADO","NO")))</f>
        <v/>
      </c>
    </row>
    <row r="52" ht="15.75" customHeight="1" s="98">
      <c r="A52" s="11" t="inlineStr">
        <is>
          <t>Hevea</t>
        </is>
      </c>
      <c r="B52" s="11" t="inlineStr">
        <is>
          <t>sillon-exterior-estilo-elegante-80104-cm</t>
        </is>
      </c>
      <c r="C52" s="11" t="inlineStr">
        <is>
          <t>557-010478</t>
        </is>
      </c>
      <c r="D52" s="12" t="inlineStr">
        <is>
          <t>BOLONIA XL-1 SILLÓN/ARMCHAIR/CANAPÉ</t>
        </is>
      </c>
      <c r="E52" s="13" t="n">
        <v>530</v>
      </c>
      <c r="F52" s="13" t="n">
        <v>1016.4</v>
      </c>
      <c r="G52" s="13" t="n">
        <v>310</v>
      </c>
      <c r="H52" s="14" t="n">
        <v>36.9</v>
      </c>
      <c r="I52" s="13" t="n">
        <v>840</v>
      </c>
      <c r="J52" s="13" t="n">
        <v>50</v>
      </c>
      <c r="K52" s="13">
        <f>G52-J52</f>
        <v/>
      </c>
      <c r="L52" s="13">
        <f>K52*$L$1</f>
        <v/>
      </c>
      <c r="M52" s="15">
        <f>F52/K52</f>
        <v/>
      </c>
      <c r="N52" s="10">
        <f>IF(M52&lt;3.5,"SI",IF(M52&lt;4.5,IF(K52&gt;=100,"SI",IF(K52&gt;=40,"CUIDADO","NO")),IF(AND(M52&lt;5.5,F52&gt;=500,K52&gt;=80),"CUIDADO","NO")))</f>
        <v/>
      </c>
    </row>
    <row r="53" ht="15.75" customHeight="1" s="98">
      <c r="A53" s="5" t="inlineStr">
        <is>
          <t>Hevea</t>
        </is>
      </c>
      <c r="B53" s="5" t="inlineStr">
        <is>
          <t>sofa-terraza-2-plazas-estilo-contemporaneo-164104-cm</t>
        </is>
      </c>
      <c r="C53" s="5" t="inlineStr">
        <is>
          <t>557-010479</t>
        </is>
      </c>
      <c r="D53" s="6" t="inlineStr">
        <is>
          <t>BOLONIA XL-2 SOFA 2 PLAZAS/SOFA/CANAPÉ</t>
        </is>
      </c>
      <c r="E53" s="7" t="n">
        <v>823</v>
      </c>
      <c r="F53" s="7" t="n">
        <v>1579.05</v>
      </c>
      <c r="G53" s="7" t="n">
        <v>482</v>
      </c>
      <c r="H53" s="8" t="n">
        <v>36.93</v>
      </c>
      <c r="I53" s="7" t="n">
        <v>1305</v>
      </c>
      <c r="J53" s="7" t="n">
        <v>0</v>
      </c>
      <c r="K53" s="7">
        <f>G53-J53</f>
        <v/>
      </c>
      <c r="L53" s="7">
        <f>K53*$L$1</f>
        <v/>
      </c>
      <c r="M53" s="9">
        <f>F53/K53</f>
        <v/>
      </c>
      <c r="N53" s="10">
        <f>IF(M53&lt;3.5,"SI",IF(M53&lt;4.5,IF(K53&gt;=100,"SI",IF(K53&gt;=40,"CUIDADO","NO")),IF(AND(M53&lt;5.5,F53&gt;=500,K53&gt;=80),"CUIDADO","NO")))</f>
        <v/>
      </c>
    </row>
    <row r="54" ht="15.75" customHeight="1" s="98">
      <c r="A54" s="11" t="inlineStr">
        <is>
          <t>Hevea</t>
        </is>
      </c>
      <c r="B54" s="11" t="inlineStr">
        <is>
          <t>sofa-terraza-3-plazas-estilo-contemporaneo-215104-cm</t>
        </is>
      </c>
      <c r="C54" s="11" t="inlineStr">
        <is>
          <t>557-010480</t>
        </is>
      </c>
      <c r="D54" s="12" t="inlineStr">
        <is>
          <t>BOLONIA XL-3 SOFA 3 PLAZAS/SOFA/CANAPÉ</t>
        </is>
      </c>
      <c r="E54" s="13" t="n">
        <v>1097</v>
      </c>
      <c r="F54" s="13" t="n">
        <v>2105.4</v>
      </c>
      <c r="G54" s="13" t="n">
        <v>643</v>
      </c>
      <c r="H54" s="14" t="n">
        <v>36.95</v>
      </c>
      <c r="I54" s="13" t="n">
        <v>1740</v>
      </c>
      <c r="J54" s="13" t="n">
        <v>0</v>
      </c>
      <c r="K54" s="13">
        <f>G54-J54</f>
        <v/>
      </c>
      <c r="L54" s="13">
        <f>K54*$L$1</f>
        <v/>
      </c>
      <c r="M54" s="15">
        <f>F54/K54</f>
        <v/>
      </c>
      <c r="N54" s="10">
        <f>IF(M54&lt;3.5,"SI",IF(M54&lt;4.5,IF(K54&gt;=100,"SI",IF(K54&gt;=40,"CUIDADO","NO")),IF(AND(M54&lt;5.5,F54&gt;=500,K54&gt;=80),"CUIDADO","NO")))</f>
        <v/>
      </c>
    </row>
    <row r="55" ht="15.75" customHeight="1" s="98">
      <c r="A55" s="5" t="inlineStr">
        <is>
          <t>Hevea</t>
        </is>
      </c>
      <c r="B55" s="5" t="inlineStr">
        <is>
          <t>mesa-de-centro-exterior-125-cm-altura-42-cm</t>
        </is>
      </c>
      <c r="C55" s="5" t="inlineStr">
        <is>
          <t>557-0008</t>
        </is>
      </c>
      <c r="D55" s="6" t="inlineStr">
        <is>
          <t>BOLONIA-4 MESA CENTRO-125X65X42</t>
        </is>
      </c>
      <c r="E55" s="7" t="n">
        <v>297</v>
      </c>
      <c r="F55" s="7" t="n">
        <v>568.7</v>
      </c>
      <c r="G55" s="7" t="n">
        <v>173</v>
      </c>
      <c r="H55" s="17" t="n">
        <v>36.81</v>
      </c>
      <c r="I55" s="7" t="n">
        <v>470</v>
      </c>
      <c r="J55" s="7" t="n">
        <v>50</v>
      </c>
      <c r="K55" s="7">
        <f>G55-J55</f>
        <v/>
      </c>
      <c r="L55" s="7">
        <f>K55*$L$1</f>
        <v/>
      </c>
      <c r="M55" s="9">
        <f>F55/K55</f>
        <v/>
      </c>
      <c r="N55" s="10">
        <f>IF(M55&lt;3.5,"SI",IF(M55&lt;4.5,IF(K55&gt;=100,"SI",IF(K55&gt;=40,"CUIDADO","NO")),IF(AND(M55&lt;5.5,F55&gt;=500,K55&gt;=80),"CUIDADO","NO")))</f>
        <v/>
      </c>
    </row>
    <row r="56" ht="15.75" customHeight="1" s="98">
      <c r="A56" s="11" t="inlineStr">
        <is>
          <t>Hevea</t>
        </is>
      </c>
      <c r="B56" s="11" t="inlineStr">
        <is>
          <t>reposapies-exterior-855043-cm-2</t>
        </is>
      </c>
      <c r="C56" s="11" t="inlineStr">
        <is>
          <t>557-010482</t>
        </is>
      </c>
      <c r="D56" s="12" t="inlineStr">
        <is>
          <t>STANDARD-XL REPOSAPIES/FOOTSTOOL/REPOSE-PIEDS</t>
        </is>
      </c>
      <c r="E56" s="13" t="n">
        <v>215</v>
      </c>
      <c r="F56" s="13" t="n">
        <v>411.4</v>
      </c>
      <c r="G56" s="13" t="n">
        <v>125</v>
      </c>
      <c r="H56" s="14" t="n">
        <v>36.76</v>
      </c>
      <c r="I56" s="13" t="n">
        <v>340</v>
      </c>
      <c r="J56" s="13" t="n">
        <v>50</v>
      </c>
      <c r="K56" s="13">
        <f>G56-J56</f>
        <v/>
      </c>
      <c r="L56" s="13">
        <f>K56*$L$1</f>
        <v/>
      </c>
      <c r="M56" s="15">
        <f>F56/K56</f>
        <v/>
      </c>
      <c r="N56" s="10">
        <f>IF(M56&lt;3.5,"SI",IF(M56&lt;4.5,IF(K56&gt;=100,"SI",IF(K56&gt;=40,"CUIDADO","NO")),IF(AND(M56&lt;5.5,F56&gt;=500,K56&gt;=80),"CUIDADO","NO")))</f>
        <v/>
      </c>
    </row>
    <row r="57" ht="15.75" customHeight="1" s="98">
      <c r="A57" s="5" t="inlineStr">
        <is>
          <t>Hevea</t>
        </is>
      </c>
      <c r="B57" s="5" t="inlineStr">
        <is>
          <t>set-jardin-2-plazas-elegante-sofa-2-plazas-2-sillones-mesa-5</t>
        </is>
      </c>
      <c r="C57" s="5" t="inlineStr">
        <is>
          <t>557-0793</t>
        </is>
      </c>
      <c r="D57" s="6" t="inlineStr">
        <is>
          <t>BOLONIA XL-7 SET SOFA 2 PLAZAS/SOFA/CANAPÉ</t>
        </is>
      </c>
      <c r="E57" s="7" t="n">
        <v>2174</v>
      </c>
      <c r="F57" s="7" t="n">
        <v>4174.5</v>
      </c>
      <c r="G57" s="7" t="n">
        <v>1276</v>
      </c>
      <c r="H57" s="8" t="n">
        <v>36.99</v>
      </c>
      <c r="I57" s="7" t="n">
        <v>3450</v>
      </c>
      <c r="J57" s="7" t="n">
        <v>0</v>
      </c>
      <c r="K57" s="7">
        <f>G57-J57</f>
        <v/>
      </c>
      <c r="L57" s="7">
        <f>K57*$L$1</f>
        <v/>
      </c>
      <c r="M57" s="9">
        <f>F57/K57</f>
        <v/>
      </c>
      <c r="N57" s="10">
        <f>IF(M57&lt;3.5,"SI",IF(M57&lt;4.5,IF(K57&gt;=100,"SI",IF(K57&gt;=40,"CUIDADO","NO")),IF(AND(M57&lt;5.5,F57&gt;=500,K57&gt;=80),"CUIDADO","NO")))</f>
        <v/>
      </c>
    </row>
    <row r="58" ht="15.75" customHeight="1" s="98">
      <c r="A58" s="11" t="inlineStr">
        <is>
          <t>Hevea</t>
        </is>
      </c>
      <c r="B58" s="11" t="inlineStr">
        <is>
          <t>set-jardin-3-plazas-contemporaneo-sofa-3-plazas-2-sillones-mesa-2</t>
        </is>
      </c>
      <c r="C58" s="11" t="inlineStr">
        <is>
          <t>557-010483</t>
        </is>
      </c>
      <c r="D58" s="12" t="inlineStr">
        <is>
          <t>BOLONIA XL-8 SET SOFA 3 PLAZAS/SOFA/CANAPÉ</t>
        </is>
      </c>
      <c r="E58" s="13" t="n">
        <v>2451</v>
      </c>
      <c r="F58" s="13" t="n">
        <v>4706.9</v>
      </c>
      <c r="G58" s="13" t="n">
        <v>1439</v>
      </c>
      <c r="H58" s="14" t="n">
        <v>36.99</v>
      </c>
      <c r="I58" s="13" t="n">
        <v>3890</v>
      </c>
      <c r="J58" s="13" t="n">
        <v>0</v>
      </c>
      <c r="K58" s="13">
        <f>G58-J58</f>
        <v/>
      </c>
      <c r="L58" s="13">
        <f>K58*$L$1</f>
        <v/>
      </c>
      <c r="M58" s="15">
        <f>F58/K58</f>
        <v/>
      </c>
      <c r="N58" s="10">
        <f>IF(M58&lt;3.5,"SI",IF(M58&lt;4.5,IF(K58&gt;=100,"SI",IF(K58&gt;=40,"CUIDADO","NO")),IF(AND(M58&lt;5.5,F58&gt;=500,K58&gt;=80),"CUIDADO","NO")))</f>
        <v/>
      </c>
    </row>
    <row r="59" ht="15.75" customHeight="1" s="98">
      <c r="A59" s="5" t="inlineStr">
        <is>
          <t>Hevea</t>
        </is>
      </c>
      <c r="B59" s="5" t="inlineStr">
        <is>
          <t>sillon-exterior-bicolor-estilo-bicolor-7376-cm</t>
        </is>
      </c>
      <c r="C59" s="5" t="inlineStr">
        <is>
          <t>558-0051</t>
        </is>
      </c>
      <c r="D59" s="6" t="inlineStr">
        <is>
          <t>DIVA-1 BICOLOR SILLON/ARMCHAIR/FAUTEUIL</t>
        </is>
      </c>
      <c r="E59" s="7" t="n">
        <v>492</v>
      </c>
      <c r="F59" s="7" t="n">
        <v>943.8</v>
      </c>
      <c r="G59" s="7" t="n">
        <v>288</v>
      </c>
      <c r="H59" s="8" t="n">
        <v>36.92</v>
      </c>
      <c r="I59" s="7" t="n">
        <v>780</v>
      </c>
      <c r="J59" s="7" t="n">
        <v>50</v>
      </c>
      <c r="K59" s="7">
        <f>G59-J59</f>
        <v/>
      </c>
      <c r="L59" s="7">
        <f>K59*$L$1</f>
        <v/>
      </c>
      <c r="M59" s="9">
        <f>F59/K59</f>
        <v/>
      </c>
      <c r="N59" s="10">
        <f>IF(M59&lt;3.5,"SI",IF(M59&lt;4.5,IF(K59&gt;=100,"SI",IF(K59&gt;=40,"CUIDADO","NO")),IF(AND(M59&lt;5.5,F59&gt;=500,K59&gt;=80),"CUIDADO","NO")))</f>
        <v/>
      </c>
    </row>
    <row r="60" ht="15.75" customHeight="1" s="98">
      <c r="A60" s="11" t="inlineStr">
        <is>
          <t>Hevea</t>
        </is>
      </c>
      <c r="B60" s="11" t="inlineStr">
        <is>
          <t>sofa-terraza-bicolor-2-plazas-estilo-bicolor-14076-cm</t>
        </is>
      </c>
      <c r="C60" s="11" t="inlineStr">
        <is>
          <t>558-0070</t>
        </is>
      </c>
      <c r="D60" s="12" t="inlineStr">
        <is>
          <t>DIVA-2 BICOLOR SOFA 2 PLAZAS/SOFA/CANAPÉ</t>
        </is>
      </c>
      <c r="E60" s="13" t="n">
        <v>709</v>
      </c>
      <c r="F60" s="13" t="n">
        <v>1361.25</v>
      </c>
      <c r="G60" s="13" t="n">
        <v>416</v>
      </c>
      <c r="H60" s="14" t="n">
        <v>36.98</v>
      </c>
      <c r="I60" s="13" t="n">
        <v>1125</v>
      </c>
      <c r="J60" s="13" t="n">
        <v>0</v>
      </c>
      <c r="K60" s="13">
        <f>G60-J60</f>
        <v/>
      </c>
      <c r="L60" s="13">
        <f>K60*$L$1</f>
        <v/>
      </c>
      <c r="M60" s="15">
        <f>F60/K60</f>
        <v/>
      </c>
      <c r="N60" s="10">
        <f>IF(M60&lt;3.5,"SI",IF(M60&lt;4.5,IF(K60&gt;=100,"SI",IF(K60&gt;=40,"CUIDADO","NO")),IF(AND(M60&lt;5.5,F60&gt;=500,K60&gt;=80),"CUIDADO","NO")))</f>
        <v/>
      </c>
    </row>
    <row r="61" ht="15.75" customHeight="1" s="98">
      <c r="A61" s="5" t="inlineStr">
        <is>
          <t>Hevea</t>
        </is>
      </c>
      <c r="B61" s="5" t="inlineStr">
        <is>
          <t>sofa-terraza-bicolor-3-plazas-estilo-bicolor-20076-cm</t>
        </is>
      </c>
      <c r="C61" s="5" t="inlineStr">
        <is>
          <t>558-0052</t>
        </is>
      </c>
      <c r="D61" s="6" t="inlineStr">
        <is>
          <t>DIVA-3 BICOLOR SOFA 3 PLAZAS/SOFA/CANAPÉ</t>
        </is>
      </c>
      <c r="E61" s="7" t="n">
        <v>876</v>
      </c>
      <c r="F61" s="7" t="n">
        <v>1681.9</v>
      </c>
      <c r="G61" s="7" t="n">
        <v>514</v>
      </c>
      <c r="H61" s="8" t="n">
        <v>36.98</v>
      </c>
      <c r="I61" s="7" t="n">
        <v>1390</v>
      </c>
      <c r="J61" s="7" t="n">
        <v>0</v>
      </c>
      <c r="K61" s="7">
        <f>G61-J61</f>
        <v/>
      </c>
      <c r="L61" s="7">
        <f>K61*$L$1</f>
        <v/>
      </c>
      <c r="M61" s="9">
        <f>F61/K61</f>
        <v/>
      </c>
      <c r="N61" s="10">
        <f>IF(M61&lt;3.5,"SI",IF(M61&lt;4.5,IF(K61&gt;=100,"SI",IF(K61&gt;=40,"CUIDADO","NO")),IF(AND(M61&lt;5.5,F61&gt;=500,K61&gt;=80),"CUIDADO","NO")))</f>
        <v/>
      </c>
    </row>
    <row r="62" ht="15.75" customHeight="1" s="98">
      <c r="A62" s="11" t="inlineStr">
        <is>
          <t>Hevea</t>
        </is>
      </c>
      <c r="B62" s="11" t="inlineStr">
        <is>
          <t>mesa-de-centro-exterior-hpl-120-cm-altura-40-cm</t>
        </is>
      </c>
      <c r="C62" s="11" t="inlineStr">
        <is>
          <t>558-0033</t>
        </is>
      </c>
      <c r="D62" s="12" t="inlineStr">
        <is>
          <t>BICOLOR MESA CENTRO 120/COFFEE TABLE/TABLE CENTRE HPL</t>
        </is>
      </c>
      <c r="E62" s="13" t="n">
        <v>372</v>
      </c>
      <c r="F62" s="13" t="n">
        <v>713.9</v>
      </c>
      <c r="G62" s="13" t="n">
        <v>218</v>
      </c>
      <c r="H62" s="14" t="n">
        <v>36.95</v>
      </c>
      <c r="I62" s="13" t="n">
        <v>590</v>
      </c>
      <c r="J62" s="13" t="n">
        <v>50</v>
      </c>
      <c r="K62" s="13">
        <f>G62-J62</f>
        <v/>
      </c>
      <c r="L62" s="13">
        <f>K62*$L$1</f>
        <v/>
      </c>
      <c r="M62" s="15">
        <f>F62/K62</f>
        <v/>
      </c>
      <c r="N62" s="10">
        <f>IF(M62&lt;3.5,"SI",IF(M62&lt;4.5,IF(K62&gt;=100,"SI",IF(K62&gt;=40,"CUIDADO","NO")),IF(AND(M62&lt;5.5,F62&gt;=500,K62&gt;=80),"CUIDADO","NO")))</f>
        <v/>
      </c>
    </row>
    <row r="63" ht="15.75" customHeight="1" s="98">
      <c r="A63" s="5" t="inlineStr">
        <is>
          <t>Hevea</t>
        </is>
      </c>
      <c r="B63" s="5" t="inlineStr">
        <is>
          <t>mesa-de-centro-exterior-hpl-135-cm-altura-40-cm</t>
        </is>
      </c>
      <c r="C63" s="5" t="inlineStr">
        <is>
          <t>558-0039</t>
        </is>
      </c>
      <c r="D63" s="6" t="inlineStr">
        <is>
          <t>BICOLOR MESA CENTRO 135/COFFEE TABLE/TABLE CENTRE HPL</t>
        </is>
      </c>
      <c r="E63" s="7" t="n">
        <v>435</v>
      </c>
      <c r="F63" s="7" t="n">
        <v>834.9</v>
      </c>
      <c r="G63" s="7" t="n">
        <v>255</v>
      </c>
      <c r="H63" s="8" t="n">
        <v>36.96</v>
      </c>
      <c r="I63" s="7" t="n">
        <v>690</v>
      </c>
      <c r="J63" s="7" t="n">
        <v>50</v>
      </c>
      <c r="K63" s="7">
        <f>G63-J63</f>
        <v/>
      </c>
      <c r="L63" s="7">
        <f>K63*$L$1</f>
        <v/>
      </c>
      <c r="M63" s="9">
        <f>F63/K63</f>
        <v/>
      </c>
      <c r="N63" s="10">
        <f>IF(M63&lt;3.5,"SI",IF(M63&lt;4.5,IF(K63&gt;=100,"SI",IF(K63&gt;=40,"CUIDADO","NO")),IF(AND(M63&lt;5.5,F63&gt;=500,K63&gt;=80),"CUIDADO","NO")))</f>
        <v/>
      </c>
    </row>
    <row r="64" ht="15.75" customHeight="1" s="98">
      <c r="A64" s="11" t="inlineStr">
        <is>
          <t>Hevea</t>
        </is>
      </c>
      <c r="B64" s="11" t="inlineStr">
        <is>
          <t>reposapies-exterior-bicolor-704544-cm</t>
        </is>
      </c>
      <c r="C64" s="11" t="inlineStr">
        <is>
          <t>558-0049</t>
        </is>
      </c>
      <c r="D64" s="12" t="inlineStr">
        <is>
          <t>BICOLOR STANDARD-55 REPOSAPIES/FOOTSTOOL/REPOSE-PIEDS</t>
        </is>
      </c>
      <c r="E64" s="13" t="n">
        <v>265</v>
      </c>
      <c r="F64" s="13" t="n">
        <v>508.2</v>
      </c>
      <c r="G64" s="13" t="n">
        <v>155</v>
      </c>
      <c r="H64" s="14" t="n">
        <v>36.9</v>
      </c>
      <c r="I64" s="13" t="n">
        <v>420</v>
      </c>
      <c r="J64" s="13" t="n">
        <v>50</v>
      </c>
      <c r="K64" s="13">
        <f>G64-J64</f>
        <v/>
      </c>
      <c r="L64" s="13">
        <f>K64*$L$1</f>
        <v/>
      </c>
      <c r="M64" s="15">
        <f>F64/K64</f>
        <v/>
      </c>
      <c r="N64" s="10">
        <f>IF(M64&lt;3.5,"SI",IF(M64&lt;4.5,IF(K64&gt;=100,"SI",IF(K64&gt;=40,"CUIDADO","NO")),IF(AND(M64&lt;5.5,F64&gt;=500,K64&gt;=80),"CUIDADO","NO")))</f>
        <v/>
      </c>
    </row>
    <row r="65" ht="15.75" customHeight="1" s="98">
      <c r="A65" s="5" t="inlineStr">
        <is>
          <t>Hevea</t>
        </is>
      </c>
      <c r="B65" s="5" t="inlineStr">
        <is>
          <t>set-jardin-bicolor-2-plazas-bicolor-sofa-2-plazas-2-sillones-mesa</t>
        </is>
      </c>
      <c r="C65" s="5" t="inlineStr">
        <is>
          <t>558-0066</t>
        </is>
      </c>
      <c r="D65" s="6" t="inlineStr">
        <is>
          <t>DIVA-7 BICOLOR SET SOFA 2 PLAZAS/SOFA/CANAPÉ</t>
        </is>
      </c>
      <c r="E65" s="7" t="n">
        <v>2064</v>
      </c>
      <c r="F65" s="7" t="n">
        <v>3962.75</v>
      </c>
      <c r="G65" s="7" t="n">
        <v>1211</v>
      </c>
      <c r="H65" s="8" t="n">
        <v>36.98</v>
      </c>
      <c r="I65" s="7" t="n">
        <v>3275</v>
      </c>
      <c r="J65" s="7" t="n">
        <v>0</v>
      </c>
      <c r="K65" s="7">
        <f>G65-J65</f>
        <v/>
      </c>
      <c r="L65" s="7">
        <f>K65*$L$1</f>
        <v/>
      </c>
      <c r="M65" s="9">
        <f>F65/K65</f>
        <v/>
      </c>
      <c r="N65" s="10">
        <f>IF(M65&lt;3.5,"SI",IF(M65&lt;4.5,IF(K65&gt;=100,"SI",IF(K65&gt;=40,"CUIDADO","NO")),IF(AND(M65&lt;5.5,F65&gt;=500,K65&gt;=80),"CUIDADO","NO")))</f>
        <v/>
      </c>
    </row>
    <row r="66" ht="15.75" customHeight="1" s="98">
      <c r="A66" s="11" t="inlineStr">
        <is>
          <t>Hevea</t>
        </is>
      </c>
      <c r="B66" s="11" t="inlineStr">
        <is>
          <t>set-jardin-bicolor-3-plazas-bicolor-sofa-3-plazas-2-sillones-mesa</t>
        </is>
      </c>
      <c r="C66" s="11" t="inlineStr">
        <is>
          <t>558-0050</t>
        </is>
      </c>
      <c r="D66" s="12" t="inlineStr">
        <is>
          <t>DIVA-8 BICOLOR SET SOFA 3 PLAZAS/SOFA/CANAPÉ</t>
        </is>
      </c>
      <c r="E66" s="13" t="n">
        <v>2294</v>
      </c>
      <c r="F66" s="13" t="n">
        <v>4404.4</v>
      </c>
      <c r="G66" s="13" t="n">
        <v>1346</v>
      </c>
      <c r="H66" s="14" t="n">
        <v>36.98</v>
      </c>
      <c r="I66" s="13" t="n">
        <v>3640</v>
      </c>
      <c r="J66" s="13" t="n">
        <v>0</v>
      </c>
      <c r="K66" s="13">
        <f>G66-J66</f>
        <v/>
      </c>
      <c r="L66" s="13">
        <f>K66*$L$1</f>
        <v/>
      </c>
      <c r="M66" s="15">
        <f>F66/K66</f>
        <v/>
      </c>
      <c r="N66" s="10">
        <f>IF(M66&lt;3.5,"SI",IF(M66&lt;4.5,IF(K66&gt;=100,"SI",IF(K66&gt;=40,"CUIDADO","NO")),IF(AND(M66&lt;5.5,F66&gt;=500,K66&gt;=80),"CUIDADO","NO")))</f>
        <v/>
      </c>
    </row>
    <row r="67" ht="15.75" customHeight="1" s="98">
      <c r="A67" s="5" t="inlineStr">
        <is>
          <t>Hevea</t>
        </is>
      </c>
      <c r="B67" s="5" t="inlineStr">
        <is>
          <t>sillon-exterior-estilo-versatil-7685-cm</t>
        </is>
      </c>
      <c r="C67" s="5" t="inlineStr">
        <is>
          <t>557-010716</t>
        </is>
      </c>
      <c r="D67" s="6" t="inlineStr">
        <is>
          <t>LEISA-1 SILLON/ARMCHAIR/FAUTEUIL</t>
        </is>
      </c>
      <c r="E67" s="7" t="n">
        <v>334</v>
      </c>
      <c r="F67" s="7" t="n">
        <v>641.3</v>
      </c>
      <c r="G67" s="7" t="n">
        <v>196</v>
      </c>
      <c r="H67" s="8" t="n">
        <v>36.98</v>
      </c>
      <c r="I67" s="7" t="n">
        <v>530</v>
      </c>
      <c r="J67" s="7" t="n">
        <v>50</v>
      </c>
      <c r="K67" s="7">
        <f>G67-J67</f>
        <v/>
      </c>
      <c r="L67" s="7">
        <f>K67*$L$1</f>
        <v/>
      </c>
      <c r="M67" s="9">
        <f>F67/K67</f>
        <v/>
      </c>
      <c r="N67" s="10">
        <f>IF(M67&lt;3.5,"SI",IF(M67&lt;4.5,IF(K67&gt;=100,"SI",IF(K67&gt;=40,"CUIDADO","NO")),IF(AND(M67&lt;5.5,F67&gt;=500,K67&gt;=80),"CUIDADO","NO")))</f>
        <v/>
      </c>
    </row>
    <row r="68" ht="15.75" customHeight="1" s="98">
      <c r="A68" s="11" t="inlineStr">
        <is>
          <t>Hevea</t>
        </is>
      </c>
      <c r="B68" s="11" t="inlineStr">
        <is>
          <t>sofa-terraza-2-plazas-estilo-contemporaneo-13785-cm</t>
        </is>
      </c>
      <c r="C68" s="11" t="inlineStr">
        <is>
          <t>557-010717</t>
        </is>
      </c>
      <c r="D68" s="12" t="inlineStr">
        <is>
          <t>LEISA-2 SOFA 2 PLAZAS/SOFA/CANAPÉ</t>
        </is>
      </c>
      <c r="E68" s="13" t="n">
        <v>473</v>
      </c>
      <c r="F68" s="13" t="n">
        <v>907.5</v>
      </c>
      <c r="G68" s="13" t="n">
        <v>277</v>
      </c>
      <c r="H68" s="14" t="n">
        <v>36.93</v>
      </c>
      <c r="I68" s="13" t="n">
        <v>750</v>
      </c>
      <c r="J68" s="13" t="n">
        <v>50</v>
      </c>
      <c r="K68" s="13">
        <f>G68-J68</f>
        <v/>
      </c>
      <c r="L68" s="13">
        <f>K68*$L$1</f>
        <v/>
      </c>
      <c r="M68" s="15">
        <f>F68/K68</f>
        <v/>
      </c>
      <c r="N68" s="10">
        <f>IF(M68&lt;3.5,"SI",IF(M68&lt;4.5,IF(K68&gt;=100,"SI",IF(K68&gt;=40,"CUIDADO","NO")),IF(AND(M68&lt;5.5,F68&gt;=500,K68&gt;=80),"CUIDADO","NO")))</f>
        <v/>
      </c>
    </row>
    <row r="69" ht="15.75" customHeight="1" s="98">
      <c r="A69" s="5" t="inlineStr">
        <is>
          <t>Hevea</t>
        </is>
      </c>
      <c r="B69" s="5" t="inlineStr">
        <is>
          <t>sofa-terraza-3-plazas-estilo-contemporaneo-19685-cm</t>
        </is>
      </c>
      <c r="C69" s="5" t="inlineStr">
        <is>
          <t>557-010718</t>
        </is>
      </c>
      <c r="D69" s="6" t="inlineStr">
        <is>
          <t>LEISA-3 SOFA 3 PLAZAS/SOFA/CANAPÉ</t>
        </is>
      </c>
      <c r="E69" s="7" t="n">
        <v>612</v>
      </c>
      <c r="F69" s="7" t="n">
        <v>1173.7</v>
      </c>
      <c r="G69" s="7" t="n">
        <v>358</v>
      </c>
      <c r="H69" s="8" t="n">
        <v>36.91</v>
      </c>
      <c r="I69" s="7" t="n">
        <v>970</v>
      </c>
      <c r="J69" s="7" t="n">
        <v>0</v>
      </c>
      <c r="K69" s="7">
        <f>G69-J69</f>
        <v/>
      </c>
      <c r="L69" s="7">
        <f>K69*$L$1</f>
        <v/>
      </c>
      <c r="M69" s="9">
        <f>F69/K69</f>
        <v/>
      </c>
      <c r="N69" s="10">
        <f>IF(M69&lt;3.5,"SI",IF(M69&lt;4.5,IF(K69&gt;=100,"SI",IF(K69&gt;=40,"CUIDADO","NO")),IF(AND(M69&lt;5.5,F69&gt;=500,K69&gt;=80),"CUIDADO","NO")))</f>
        <v/>
      </c>
    </row>
    <row r="70" ht="15.75" customHeight="1" s="98">
      <c r="A70" s="11" t="inlineStr">
        <is>
          <t>Hevea</t>
        </is>
      </c>
      <c r="B70" s="11" t="inlineStr">
        <is>
          <t>set-jardin-2-plazas-contemporaneo-sofa-2-plazas-2-sillones-mesa</t>
        </is>
      </c>
      <c r="C70" s="11" t="inlineStr">
        <is>
          <t>557-010719</t>
        </is>
      </c>
      <c r="D70" s="12" t="inlineStr">
        <is>
          <t>LEISA-7 SET SOFA 2 PLAZAS/SOFA/CANAPÉ</t>
        </is>
      </c>
      <c r="E70" s="13" t="n">
        <v>1320</v>
      </c>
      <c r="F70" s="13" t="n">
        <v>2534.95</v>
      </c>
      <c r="G70" s="13" t="n">
        <v>775</v>
      </c>
      <c r="H70" s="14" t="n">
        <v>36.99</v>
      </c>
      <c r="I70" s="13" t="n">
        <v>2095</v>
      </c>
      <c r="J70" s="13" t="n">
        <v>0</v>
      </c>
      <c r="K70" s="13">
        <f>G70-J70</f>
        <v/>
      </c>
      <c r="L70" s="13">
        <f>K70*$L$1</f>
        <v/>
      </c>
      <c r="M70" s="15">
        <f>F70/K70</f>
        <v/>
      </c>
      <c r="N70" s="10">
        <f>IF(M70&lt;3.5,"SI",IF(M70&lt;4.5,IF(K70&gt;=100,"SI",IF(K70&gt;=40,"CUIDADO","NO")),IF(AND(M70&lt;5.5,F70&gt;=500,K70&gt;=80),"CUIDADO","NO")))</f>
        <v/>
      </c>
    </row>
    <row r="71" ht="15.75" customHeight="1" s="98">
      <c r="A71" s="5" t="inlineStr">
        <is>
          <t>Hevea</t>
        </is>
      </c>
      <c r="B71" s="5" t="inlineStr">
        <is>
          <t>set-jardin-3-plazas-contemporaneo-sofa-3-plazas-2-sillones-mesa-3</t>
        </is>
      </c>
      <c r="C71" s="5" t="inlineStr">
        <is>
          <t>557-010720</t>
        </is>
      </c>
      <c r="D71" s="6" t="inlineStr">
        <is>
          <t>LEISA-8 SET SOFA 3 PLAZAS/SOFA/CANAPÉ</t>
        </is>
      </c>
      <c r="E71" s="7" t="n">
        <v>1509</v>
      </c>
      <c r="F71" s="7" t="n">
        <v>2897.95</v>
      </c>
      <c r="G71" s="7" t="n">
        <v>886</v>
      </c>
      <c r="H71" s="8" t="n">
        <v>36.99</v>
      </c>
      <c r="I71" s="7" t="n">
        <v>2395</v>
      </c>
      <c r="J71" s="7" t="n">
        <v>0</v>
      </c>
      <c r="K71" s="7">
        <f>G71-J71</f>
        <v/>
      </c>
      <c r="L71" s="7">
        <f>K71*$L$1</f>
        <v/>
      </c>
      <c r="M71" s="9">
        <f>F71/K71</f>
        <v/>
      </c>
      <c r="N71" s="10">
        <f>IF(M71&lt;3.5,"SI",IF(M71&lt;4.5,IF(K71&gt;=100,"SI",IF(K71&gt;=40,"CUIDADO","NO")),IF(AND(M71&lt;5.5,F71&gt;=500,K71&gt;=80),"CUIDADO","NO")))</f>
        <v/>
      </c>
    </row>
    <row r="72" ht="15.75" customHeight="1" s="98">
      <c r="A72" s="11" t="inlineStr">
        <is>
          <t>Hevea</t>
        </is>
      </c>
      <c r="B72" s="11" t="inlineStr">
        <is>
          <t>sillon-exterior-estilo-moderno-7085-cm</t>
        </is>
      </c>
      <c r="C72" s="11" t="inlineStr">
        <is>
          <t>557-010103</t>
        </is>
      </c>
      <c r="D72" s="12" t="inlineStr">
        <is>
          <t>DOUNVIL-1 SILLON</t>
        </is>
      </c>
      <c r="E72" s="13" t="n">
        <v>303</v>
      </c>
      <c r="F72" s="13" t="n">
        <v>580.8</v>
      </c>
      <c r="G72" s="13" t="n">
        <v>177</v>
      </c>
      <c r="H72" s="14" t="n">
        <v>36.88</v>
      </c>
      <c r="I72" s="13" t="n">
        <v>480</v>
      </c>
      <c r="J72" s="13" t="n">
        <v>50</v>
      </c>
      <c r="K72" s="13">
        <f>G72-J72</f>
        <v/>
      </c>
      <c r="L72" s="13">
        <f>K72*$L$1</f>
        <v/>
      </c>
      <c r="M72" s="15">
        <f>F72/K72</f>
        <v/>
      </c>
      <c r="N72" s="10">
        <f>IF(M72&lt;3.5,"SI",IF(M72&lt;4.5,IF(K72&gt;=100,"SI",IF(K72&gt;=40,"CUIDADO","NO")),IF(AND(M72&lt;5.5,F72&gt;=500,K72&gt;=80),"CUIDADO","NO")))</f>
        <v/>
      </c>
    </row>
    <row r="73" ht="15.75" customHeight="1" s="98">
      <c r="A73" s="5" t="inlineStr">
        <is>
          <t>Hevea</t>
        </is>
      </c>
      <c r="B73" s="5" t="inlineStr">
        <is>
          <t>sofa-terraza-2-plazas-estilo-elegante-15085-cm</t>
        </is>
      </c>
      <c r="C73" s="5" t="inlineStr">
        <is>
          <t>557-010104</t>
        </is>
      </c>
      <c r="D73" s="6" t="inlineStr">
        <is>
          <t>DOUNVIL-2 SOFA 2 PLAZAS</t>
        </is>
      </c>
      <c r="E73" s="7" t="n">
        <v>473</v>
      </c>
      <c r="F73" s="7" t="n">
        <v>907.5</v>
      </c>
      <c r="G73" s="7" t="n">
        <v>277</v>
      </c>
      <c r="H73" s="8" t="n">
        <v>36.93</v>
      </c>
      <c r="I73" s="7" t="n">
        <v>750</v>
      </c>
      <c r="J73" s="7" t="n">
        <v>50</v>
      </c>
      <c r="K73" s="7">
        <f>G73-J73</f>
        <v/>
      </c>
      <c r="L73" s="7">
        <f>K73*$L$1</f>
        <v/>
      </c>
      <c r="M73" s="9">
        <f>F73/K73</f>
        <v/>
      </c>
      <c r="N73" s="10">
        <f>IF(M73&lt;3.5,"SI",IF(M73&lt;4.5,IF(K73&gt;=100,"SI",IF(K73&gt;=40,"CUIDADO","NO")),IF(AND(M73&lt;5.5,F73&gt;=500,K73&gt;=80),"CUIDADO","NO")))</f>
        <v/>
      </c>
    </row>
    <row r="74" ht="15.75" customHeight="1" s="98">
      <c r="A74" s="11" t="inlineStr">
        <is>
          <t>Hevea</t>
        </is>
      </c>
      <c r="B74" s="11" t="inlineStr">
        <is>
          <t>sofa-terraza-3-plazas-estilo-contemporaneo-19085-cm</t>
        </is>
      </c>
      <c r="C74" s="11" t="inlineStr">
        <is>
          <t>557-010105</t>
        </is>
      </c>
      <c r="D74" s="12" t="inlineStr">
        <is>
          <t>DOUNVIL-3 SOFA 3 PLAZAS</t>
        </is>
      </c>
      <c r="E74" s="13" t="n">
        <v>612</v>
      </c>
      <c r="F74" s="13" t="n">
        <v>1173.7</v>
      </c>
      <c r="G74" s="13" t="n">
        <v>358</v>
      </c>
      <c r="H74" s="14" t="n">
        <v>36.91</v>
      </c>
      <c r="I74" s="13" t="n">
        <v>970</v>
      </c>
      <c r="J74" s="13" t="n">
        <v>0</v>
      </c>
      <c r="K74" s="13">
        <f>G74-J74</f>
        <v/>
      </c>
      <c r="L74" s="13">
        <f>K74*$L$1</f>
        <v/>
      </c>
      <c r="M74" s="15">
        <f>F74/K74</f>
        <v/>
      </c>
      <c r="N74" s="10">
        <f>IF(M74&lt;3.5,"SI",IF(M74&lt;4.5,IF(K74&gt;=100,"SI",IF(K74&gt;=40,"CUIDADO","NO")),IF(AND(M74&lt;5.5,F74&gt;=500,K74&gt;=80),"CUIDADO","NO")))</f>
        <v/>
      </c>
    </row>
    <row r="75" ht="15.75" customHeight="1" s="98">
      <c r="A75" s="5" t="inlineStr">
        <is>
          <t>Hevea</t>
        </is>
      </c>
      <c r="B75" s="5" t="inlineStr">
        <is>
          <t>set-jardin-2-plazas-contemporaneo-sofa-2-plazas-2-sillones-mesa-2</t>
        </is>
      </c>
      <c r="C75" s="5" t="inlineStr">
        <is>
          <t>557-010106</t>
        </is>
      </c>
      <c r="D75" s="6" t="inlineStr">
        <is>
          <t>DOUNVIL-7 SET SOFA 2 PLAZAS</t>
        </is>
      </c>
      <c r="E75" s="7" t="n">
        <v>1251</v>
      </c>
      <c r="F75" s="7" t="n">
        <v>2401.85</v>
      </c>
      <c r="G75" s="7" t="n">
        <v>734</v>
      </c>
      <c r="H75" s="8" t="n">
        <v>36.98</v>
      </c>
      <c r="I75" s="7" t="n">
        <v>1985</v>
      </c>
      <c r="J75" s="7" t="n">
        <v>0</v>
      </c>
      <c r="K75" s="7">
        <f>G75-J75</f>
        <v/>
      </c>
      <c r="L75" s="7">
        <f>K75*$L$1</f>
        <v/>
      </c>
      <c r="M75" s="9">
        <f>F75/K75</f>
        <v/>
      </c>
      <c r="N75" s="10">
        <f>IF(M75&lt;3.5,"SI",IF(M75&lt;4.5,IF(K75&gt;=100,"SI",IF(K75&gt;=40,"CUIDADO","NO")),IF(AND(M75&lt;5.5,F75&gt;=500,K75&gt;=80),"CUIDADO","NO")))</f>
        <v/>
      </c>
    </row>
    <row r="76" ht="15.75" customHeight="1" s="98">
      <c r="A76" s="11" t="inlineStr">
        <is>
          <t>Hevea</t>
        </is>
      </c>
      <c r="B76" s="11" t="inlineStr">
        <is>
          <t>set-jardin-3-plazas-elegante-sofa-3-plazas-2-sillones-mesa-2</t>
        </is>
      </c>
      <c r="C76" s="11" t="inlineStr">
        <is>
          <t>557-010107</t>
        </is>
      </c>
      <c r="D76" s="12" t="inlineStr">
        <is>
          <t>DOUNVIL-8 SET SOFA 3 PLAZAS</t>
        </is>
      </c>
      <c r="E76" s="13" t="n">
        <v>1446</v>
      </c>
      <c r="F76" s="13" t="n">
        <v>2776.95</v>
      </c>
      <c r="G76" s="13" t="n">
        <v>849</v>
      </c>
      <c r="H76" s="14" t="n">
        <v>36.99</v>
      </c>
      <c r="I76" s="13" t="n">
        <v>2295</v>
      </c>
      <c r="J76" s="13" t="n">
        <v>0</v>
      </c>
      <c r="K76" s="13">
        <f>G76-J76</f>
        <v/>
      </c>
      <c r="L76" s="13">
        <f>K76*$L$1</f>
        <v/>
      </c>
      <c r="M76" s="15">
        <f>F76/K76</f>
        <v/>
      </c>
      <c r="N76" s="10">
        <f>IF(M76&lt;3.5,"SI",IF(M76&lt;4.5,IF(K76&gt;=100,"SI",IF(K76&gt;=40,"CUIDADO","NO")),IF(AND(M76&lt;5.5,F76&gt;=500,K76&gt;=80),"CUIDADO","NO")))</f>
        <v/>
      </c>
    </row>
    <row r="77" ht="15.75" customHeight="1" s="98">
      <c r="A77" s="5" t="inlineStr">
        <is>
          <t>Hevea</t>
        </is>
      </c>
      <c r="B77" s="5" t="inlineStr">
        <is>
          <t>mesa-de-centro-exterior-90-cm-altura-40-cm-2</t>
        </is>
      </c>
      <c r="C77" s="5" t="inlineStr">
        <is>
          <t>557-1070</t>
        </is>
      </c>
      <c r="D77" s="6" t="inlineStr">
        <is>
          <t>MESA CENTRO 90</t>
        </is>
      </c>
      <c r="E77" s="7" t="n">
        <v>174</v>
      </c>
      <c r="F77" s="7" t="n">
        <v>332.75</v>
      </c>
      <c r="G77" s="7" t="n">
        <v>101</v>
      </c>
      <c r="H77" s="17" t="n">
        <v>36.73</v>
      </c>
      <c r="I77" s="7" t="n">
        <v>275</v>
      </c>
      <c r="J77" s="7" t="n">
        <v>0</v>
      </c>
      <c r="K77" s="7">
        <f>G77-J77</f>
        <v/>
      </c>
      <c r="L77" s="7">
        <f>K77*$L$1</f>
        <v/>
      </c>
      <c r="M77" s="9">
        <f>F77/K77</f>
        <v/>
      </c>
      <c r="N77" s="10">
        <f>IF(M77&lt;3.5,"SI",IF(M77&lt;4.5,IF(K77&gt;=100,"SI",IF(K77&gt;=40,"CUIDADO","NO")),IF(AND(M77&lt;5.5,F77&gt;=500,K77&gt;=80),"CUIDADO","NO")))</f>
        <v/>
      </c>
    </row>
    <row r="78" ht="15.75" customHeight="1" s="98">
      <c r="A78" s="11" t="inlineStr">
        <is>
          <t>Hevea</t>
        </is>
      </c>
      <c r="B78" s="11" t="inlineStr">
        <is>
          <t>mesa-de-centro-exterior-120-cm-altura-40-cm-2</t>
        </is>
      </c>
      <c r="C78" s="11" t="inlineStr">
        <is>
          <t>557-1563</t>
        </is>
      </c>
      <c r="D78" s="12" t="inlineStr">
        <is>
          <t>MESA CENTRO 120</t>
        </is>
      </c>
      <c r="E78" s="13" t="n">
        <v>230</v>
      </c>
      <c r="F78" s="13" t="n">
        <v>441.65</v>
      </c>
      <c r="G78" s="13" t="n">
        <v>135</v>
      </c>
      <c r="H78" s="14" t="n">
        <v>36.99</v>
      </c>
      <c r="I78" s="13" t="n">
        <v>365</v>
      </c>
      <c r="J78" s="13" t="n">
        <v>50</v>
      </c>
      <c r="K78" s="13">
        <f>G78-J78</f>
        <v/>
      </c>
      <c r="L78" s="13">
        <f>K78*$L$1</f>
        <v/>
      </c>
      <c r="M78" s="15">
        <f>F78/K78</f>
        <v/>
      </c>
      <c r="N78" s="10">
        <f>IF(M78&lt;3.5,"SI",IF(M78&lt;4.5,IF(K78&gt;=100,"SI",IF(K78&gt;=40,"CUIDADO","NO")),IF(AND(M78&lt;5.5,F78&gt;=500,K78&gt;=80),"CUIDADO","NO")))</f>
        <v/>
      </c>
    </row>
    <row r="79" ht="15.75" customHeight="1" s="98">
      <c r="A79" s="5" t="inlineStr">
        <is>
          <t>Hevea</t>
        </is>
      </c>
      <c r="B79" s="5" t="inlineStr">
        <is>
          <t>sillon-exterior-estilo-contemporaneo-68115-cm</t>
        </is>
      </c>
      <c r="C79" s="5" t="inlineStr">
        <is>
          <t>557-0794</t>
        </is>
      </c>
      <c r="D79" s="6" t="inlineStr">
        <is>
          <t>HASTON-1 SILLÓN / ARMCHAIR / FAUTEUIL</t>
        </is>
      </c>
      <c r="E79" s="7" t="n">
        <v>290</v>
      </c>
      <c r="F79" s="7" t="n">
        <v>556.6</v>
      </c>
      <c r="G79" s="7" t="n">
        <v>170</v>
      </c>
      <c r="H79" s="8" t="n">
        <v>36.96</v>
      </c>
      <c r="I79" s="7" t="n">
        <v>460</v>
      </c>
      <c r="J79" s="7" t="n">
        <v>50</v>
      </c>
      <c r="K79" s="7">
        <f>G79-J79</f>
        <v/>
      </c>
      <c r="L79" s="7">
        <f>K79*$L$1</f>
        <v/>
      </c>
      <c r="M79" s="9">
        <f>F79/K79</f>
        <v/>
      </c>
      <c r="N79" s="10">
        <f>IF(M79&lt;3.5,"SI",IF(M79&lt;4.5,IF(K79&gt;=100,"SI",IF(K79&gt;=40,"CUIDADO","NO")),IF(AND(M79&lt;5.5,F79&gt;=500,K79&gt;=80),"CUIDADO","NO")))</f>
        <v/>
      </c>
    </row>
    <row r="80" ht="15.75" customHeight="1" s="98">
      <c r="A80" s="11" t="inlineStr">
        <is>
          <t>Hevea</t>
        </is>
      </c>
      <c r="B80" s="11" t="inlineStr">
        <is>
          <t>sofa-terraza-2-plazas-estilo-moderno-128115-cm</t>
        </is>
      </c>
      <c r="C80" s="11" t="inlineStr">
        <is>
          <t>557-0795</t>
        </is>
      </c>
      <c r="D80" s="12" t="inlineStr">
        <is>
          <t>HASTON-2 SOFÁ 2 PLAZAS / 2 SEATER SOFA / CANAPÉ 2 PLACES</t>
        </is>
      </c>
      <c r="E80" s="13" t="n">
        <v>473</v>
      </c>
      <c r="F80" s="13" t="n">
        <v>907.5</v>
      </c>
      <c r="G80" s="13" t="n">
        <v>277</v>
      </c>
      <c r="H80" s="14" t="n">
        <v>36.93</v>
      </c>
      <c r="I80" s="13" t="n">
        <v>750</v>
      </c>
      <c r="J80" s="13" t="n">
        <v>50</v>
      </c>
      <c r="K80" s="13">
        <f>G80-J80</f>
        <v/>
      </c>
      <c r="L80" s="13">
        <f>K80*$L$1</f>
        <v/>
      </c>
      <c r="M80" s="15">
        <f>F80/K80</f>
        <v/>
      </c>
      <c r="N80" s="10">
        <f>IF(M80&lt;3.5,"SI",IF(M80&lt;4.5,IF(K80&gt;=100,"SI",IF(K80&gt;=40,"CUIDADO","NO")),IF(AND(M80&lt;5.5,F80&gt;=500,K80&gt;=80),"CUIDADO","NO")))</f>
        <v/>
      </c>
    </row>
    <row r="81" ht="15.75" customHeight="1" s="98">
      <c r="A81" s="5" t="inlineStr">
        <is>
          <t>Hevea</t>
        </is>
      </c>
      <c r="B81" s="5" t="inlineStr">
        <is>
          <t>sofa-terraza-3-plazas-estilo-contemporaneo-188115-cm</t>
        </is>
      </c>
      <c r="C81" s="5" t="inlineStr">
        <is>
          <t>557-0796</t>
        </is>
      </c>
      <c r="D81" s="6" t="inlineStr">
        <is>
          <t>HASTON-3 SOFÁ 3 PLAZAS / 3 SEATER SOFA / CANAPÉ 3 PLACES</t>
        </is>
      </c>
      <c r="E81" s="7" t="n">
        <v>624</v>
      </c>
      <c r="F81" s="7" t="n">
        <v>1197.9</v>
      </c>
      <c r="G81" s="7" t="n">
        <v>366</v>
      </c>
      <c r="H81" s="8" t="n">
        <v>36.97</v>
      </c>
      <c r="I81" s="7" t="n">
        <v>990</v>
      </c>
      <c r="J81" s="7" t="n">
        <v>0</v>
      </c>
      <c r="K81" s="7">
        <f>G81-J81</f>
        <v/>
      </c>
      <c r="L81" s="7">
        <f>K81*$L$1</f>
        <v/>
      </c>
      <c r="M81" s="9">
        <f>F81/K81</f>
        <v/>
      </c>
      <c r="N81" s="10">
        <f>IF(M81&lt;3.5,"SI",IF(M81&lt;4.5,IF(K81&gt;=100,"SI",IF(K81&gt;=40,"CUIDADO","NO")),IF(AND(M81&lt;5.5,F81&gt;=500,K81&gt;=80),"CUIDADO","NO")))</f>
        <v/>
      </c>
    </row>
    <row r="82" ht="15.75" customHeight="1" s="98">
      <c r="A82" s="11" t="inlineStr">
        <is>
          <t>Hevea</t>
        </is>
      </c>
      <c r="B82" s="11" t="inlineStr">
        <is>
          <t>set-jardin-2-plazas-moderno-sofa-2-plazas-2-sillones-mesa-3</t>
        </is>
      </c>
      <c r="C82" s="11" t="inlineStr">
        <is>
          <t>557-0798</t>
        </is>
      </c>
      <c r="D82" s="12" t="inlineStr">
        <is>
          <t>HASTON-7 SET SOFÁ 2 PLAZAS / 2 SEATER SOFA SET / SET CANAPÉ 2 PLACES</t>
        </is>
      </c>
      <c r="E82" s="13" t="n">
        <v>1226</v>
      </c>
      <c r="F82" s="13" t="n">
        <v>2353.45</v>
      </c>
      <c r="G82" s="13" t="n">
        <v>719</v>
      </c>
      <c r="H82" s="14" t="n">
        <v>36.97</v>
      </c>
      <c r="I82" s="13" t="n">
        <v>1945</v>
      </c>
      <c r="J82" s="13" t="n">
        <v>0</v>
      </c>
      <c r="K82" s="13">
        <f>G82-J82</f>
        <v/>
      </c>
      <c r="L82" s="13">
        <f>K82*$L$1</f>
        <v/>
      </c>
      <c r="M82" s="15">
        <f>F82/K82</f>
        <v/>
      </c>
      <c r="N82" s="10">
        <f>IF(M82&lt;3.5,"SI",IF(M82&lt;4.5,IF(K82&gt;=100,"SI",IF(K82&gt;=40,"CUIDADO","NO")),IF(AND(M82&lt;5.5,F82&gt;=500,K82&gt;=80),"CUIDADO","NO")))</f>
        <v/>
      </c>
    </row>
    <row r="83" ht="15.75" customHeight="1" s="98">
      <c r="A83" s="5" t="inlineStr">
        <is>
          <t>Hevea</t>
        </is>
      </c>
      <c r="B83" s="5" t="inlineStr">
        <is>
          <t>set-jardin-3-plazas-contemporaneo-sofa-3-plazas-2-sillones-mesa-4</t>
        </is>
      </c>
      <c r="C83" s="5" t="inlineStr">
        <is>
          <t>557-0799</t>
        </is>
      </c>
      <c r="D83" s="6" t="inlineStr">
        <is>
          <t>HASTON-8 SET SOFÁ 3 PLAZAS / 3 SEATER SOFA SET / SET CANAPÉ 3 PLACES</t>
        </is>
      </c>
      <c r="E83" s="7" t="n">
        <v>1434</v>
      </c>
      <c r="F83" s="7" t="n">
        <v>2752.75</v>
      </c>
      <c r="G83" s="7" t="n">
        <v>841</v>
      </c>
      <c r="H83" s="8" t="n">
        <v>36.97</v>
      </c>
      <c r="I83" s="7" t="n">
        <v>2275</v>
      </c>
      <c r="J83" s="7" t="n">
        <v>0</v>
      </c>
      <c r="K83" s="7">
        <f>G83-J83</f>
        <v/>
      </c>
      <c r="L83" s="7">
        <f>K83*$L$1</f>
        <v/>
      </c>
      <c r="M83" s="9">
        <f>F83/K83</f>
        <v/>
      </c>
      <c r="N83" s="10">
        <f>IF(M83&lt;3.5,"SI",IF(M83&lt;4.5,IF(K83&gt;=100,"SI",IF(K83&gt;=40,"CUIDADO","NO")),IF(AND(M83&lt;5.5,F83&gt;=500,K83&gt;=80),"CUIDADO","NO")))</f>
        <v/>
      </c>
    </row>
    <row r="84" ht="15.75" customHeight="1" s="98">
      <c r="A84" s="11" t="inlineStr">
        <is>
          <t>Hevea</t>
        </is>
      </c>
      <c r="B84" s="11" t="inlineStr">
        <is>
          <t>sillon-exterior-estilo-versatil-6470-cm</t>
        </is>
      </c>
      <c r="C84" s="11" t="inlineStr">
        <is>
          <t>557-010146</t>
        </is>
      </c>
      <c r="D84" s="12" t="inlineStr">
        <is>
          <t>ACAPULCO-1 SILLÓN / ARMCHAIR / FAUTEUIL</t>
        </is>
      </c>
      <c r="E84" s="13" t="n">
        <v>306</v>
      </c>
      <c r="F84" s="13" t="n">
        <v>586.85</v>
      </c>
      <c r="G84" s="13" t="n">
        <v>179</v>
      </c>
      <c r="H84" s="14" t="n">
        <v>36.91</v>
      </c>
      <c r="I84" s="13" t="n">
        <v>485</v>
      </c>
      <c r="J84" s="13" t="n">
        <v>50</v>
      </c>
      <c r="K84" s="13">
        <f>G84-J84</f>
        <v/>
      </c>
      <c r="L84" s="13">
        <f>K84*$L$1</f>
        <v/>
      </c>
      <c r="M84" s="15">
        <f>F84/K84</f>
        <v/>
      </c>
      <c r="N84" s="10">
        <f>IF(M84&lt;3.5,"SI",IF(M84&lt;4.5,IF(K84&gt;=100,"SI",IF(K84&gt;=40,"CUIDADO","NO")),IF(AND(M84&lt;5.5,F84&gt;=500,K84&gt;=80),"CUIDADO","NO")))</f>
        <v/>
      </c>
    </row>
    <row r="85" ht="15.75" customHeight="1" s="98">
      <c r="A85" s="5" t="inlineStr">
        <is>
          <t>Hevea</t>
        </is>
      </c>
      <c r="B85" s="5" t="inlineStr">
        <is>
          <t>sofa-terraza-2-plazas-estilo-elegante-13170-cm</t>
        </is>
      </c>
      <c r="C85" s="5" t="inlineStr">
        <is>
          <t>557-010148</t>
        </is>
      </c>
      <c r="D85" s="6" t="inlineStr">
        <is>
          <t>ACAPULCO-2 SOFÁ 2 PLAZAS / 2 SEATER SOFA / CANAPÉ 2 PLACES</t>
        </is>
      </c>
      <c r="E85" s="7" t="n">
        <v>438</v>
      </c>
      <c r="F85" s="7" t="n">
        <v>840.95</v>
      </c>
      <c r="G85" s="7" t="n">
        <v>257</v>
      </c>
      <c r="H85" s="17" t="n">
        <v>36.98</v>
      </c>
      <c r="I85" s="7" t="n">
        <v>695</v>
      </c>
      <c r="J85" s="7" t="n">
        <v>50</v>
      </c>
      <c r="K85" s="7">
        <f>G85-J85</f>
        <v/>
      </c>
      <c r="L85" s="7">
        <f>K85*$L$1</f>
        <v/>
      </c>
      <c r="M85" s="9">
        <f>F85/K85</f>
        <v/>
      </c>
      <c r="N85" s="10">
        <f>IF(M85&lt;3.5,"SI",IF(M85&lt;4.5,IF(K85&gt;=100,"SI",IF(K85&gt;=40,"CUIDADO","NO")),IF(AND(M85&lt;5.5,F85&gt;=500,K85&gt;=80),"CUIDADO","NO")))</f>
        <v/>
      </c>
    </row>
    <row r="86" ht="15.75" customHeight="1" s="98">
      <c r="A86" s="11" t="inlineStr">
        <is>
          <t>Hevea</t>
        </is>
      </c>
      <c r="B86" s="11" t="inlineStr">
        <is>
          <t>set-jardin-3-plazas-contemporaneo-sofa-3-plazas-2-sillones-mesa-5</t>
        </is>
      </c>
      <c r="C86" s="11" t="inlineStr">
        <is>
          <t>557-010147</t>
        </is>
      </c>
      <c r="D86" s="12" t="inlineStr">
        <is>
          <t>ACAPULCO-3 SOFÁ 3 PLAZAS / 3 SEATER SOFA / CANAPÉ 3 PLACES</t>
        </is>
      </c>
      <c r="E86" s="13" t="n">
        <v>599</v>
      </c>
      <c r="F86" s="13" t="n">
        <v>1149.5</v>
      </c>
      <c r="G86" s="13" t="n">
        <v>351</v>
      </c>
      <c r="H86" s="14" t="n">
        <v>36.95</v>
      </c>
      <c r="I86" s="13" t="n">
        <v>950</v>
      </c>
      <c r="J86" s="13" t="n">
        <v>0</v>
      </c>
      <c r="K86" s="13">
        <f>G86-J86</f>
        <v/>
      </c>
      <c r="L86" s="13">
        <f>K86*$L$1</f>
        <v/>
      </c>
      <c r="M86" s="15">
        <f>F86/K86</f>
        <v/>
      </c>
      <c r="N86" s="10">
        <f>IF(M86&lt;3.5,"SI",IF(M86&lt;4.5,IF(K86&gt;=100,"SI",IF(K86&gt;=40,"CUIDADO","NO")),IF(AND(M86&lt;5.5,F86&gt;=500,K86&gt;=80),"CUIDADO","NO")))</f>
        <v/>
      </c>
    </row>
    <row r="87" ht="15.75" customHeight="1" s="98">
      <c r="A87" s="5" t="inlineStr">
        <is>
          <t>Hevea</t>
        </is>
      </c>
      <c r="B87" s="5" t="inlineStr">
        <is>
          <t>mesa-de-centro-exterior-hpl-90-cm-altura-40-cm</t>
        </is>
      </c>
      <c r="C87" s="5" t="inlineStr">
        <is>
          <t>557-010153</t>
        </is>
      </c>
      <c r="D87" s="6" t="inlineStr">
        <is>
          <t>MESA CENTRO 90 HPL UNIVERSAL / 90 HPL COFFEE TABLE / TABLE BASSE 90 HPL</t>
        </is>
      </c>
      <c r="E87" s="7" t="n">
        <v>174</v>
      </c>
      <c r="F87" s="7" t="n">
        <v>332.75</v>
      </c>
      <c r="G87" s="7" t="n">
        <v>101</v>
      </c>
      <c r="H87" s="17" t="n">
        <v>36.73</v>
      </c>
      <c r="I87" s="7" t="n">
        <v>275</v>
      </c>
      <c r="J87" s="7" t="n">
        <v>0</v>
      </c>
      <c r="K87" s="7">
        <f>G87-J87</f>
        <v/>
      </c>
      <c r="L87" s="7">
        <f>K87*$L$1</f>
        <v/>
      </c>
      <c r="M87" s="9">
        <f>F87/K87</f>
        <v/>
      </c>
      <c r="N87" s="10">
        <f>IF(M87&lt;3.5,"SI",IF(M87&lt;4.5,IF(K87&gt;=100,"SI",IF(K87&gt;=40,"CUIDADO","NO")),IF(AND(M87&lt;5.5,F87&gt;=500,K87&gt;=80),"CUIDADO","NO")))</f>
        <v/>
      </c>
    </row>
    <row r="88" ht="15.75" customHeight="1" s="98">
      <c r="A88" s="11" t="inlineStr">
        <is>
          <t>Hevea</t>
        </is>
      </c>
      <c r="B88" s="11" t="inlineStr">
        <is>
          <t>mesa-de-centro-exterior-hpl-120-cm-altura-40-cm-2</t>
        </is>
      </c>
      <c r="C88" s="11" t="inlineStr">
        <is>
          <t>557-010154</t>
        </is>
      </c>
      <c r="D88" s="12" t="inlineStr">
        <is>
          <t>MESA CENTRO 120 HPL UNIVERSAL / 120 HPL COFFEE TABLE / TABLE BASSE 120 HPL</t>
        </is>
      </c>
      <c r="E88" s="13" t="n">
        <v>230</v>
      </c>
      <c r="F88" s="13" t="n">
        <v>441.65</v>
      </c>
      <c r="G88" s="13" t="n">
        <v>135</v>
      </c>
      <c r="H88" s="14" t="n">
        <v>36.99</v>
      </c>
      <c r="I88" s="13" t="n">
        <v>365</v>
      </c>
      <c r="J88" s="13" t="n">
        <v>50</v>
      </c>
      <c r="K88" s="13">
        <f>G88-J88</f>
        <v/>
      </c>
      <c r="L88" s="13">
        <f>K88*$L$1</f>
        <v/>
      </c>
      <c r="M88" s="15">
        <f>F88/K88</f>
        <v/>
      </c>
      <c r="N88" s="10">
        <f>IF(M88&lt;3.5,"SI",IF(M88&lt;4.5,IF(K88&gt;=100,"SI",IF(K88&gt;=40,"CUIDADO","NO")),IF(AND(M88&lt;5.5,F88&gt;=500,K88&gt;=80),"CUIDADO","NO")))</f>
        <v/>
      </c>
    </row>
    <row r="89" ht="15.75" customHeight="1" s="98">
      <c r="A89" s="5" t="inlineStr">
        <is>
          <t>Hevea</t>
        </is>
      </c>
      <c r="B89" s="5" t="inlineStr">
        <is>
          <t>set-jardin-2-plazas-moderno-sofa-2-plazas-2-sillones-mesa-4</t>
        </is>
      </c>
      <c r="C89" s="5" t="inlineStr">
        <is>
          <t>557-010149</t>
        </is>
      </c>
      <c r="D89" s="6" t="inlineStr">
        <is>
          <t>ACAPULCO-7 SET SOFÁ 2 PLAZAS / 2 SEATER SOFA SET / SET CANAPÉ 2 PLACES</t>
        </is>
      </c>
      <c r="E89" s="7" t="n">
        <v>1223</v>
      </c>
      <c r="F89" s="7" t="n">
        <v>2347.4</v>
      </c>
      <c r="G89" s="7" t="n">
        <v>717</v>
      </c>
      <c r="H89" s="8" t="n">
        <v>36.96</v>
      </c>
      <c r="I89" s="7" t="n">
        <v>1940</v>
      </c>
      <c r="J89" s="7" t="n">
        <v>0</v>
      </c>
      <c r="K89" s="7">
        <f>G89-J89</f>
        <v/>
      </c>
      <c r="L89" s="7">
        <f>K89*$L$1</f>
        <v/>
      </c>
      <c r="M89" s="9">
        <f>F89/K89</f>
        <v/>
      </c>
      <c r="N89" s="10">
        <f>IF(M89&lt;3.5,"SI",IF(M89&lt;4.5,IF(K89&gt;=100,"SI",IF(K89&gt;=40,"CUIDADO","NO")),IF(AND(M89&lt;5.5,F89&gt;=500,K89&gt;=80),"CUIDADO","NO")))</f>
        <v/>
      </c>
    </row>
    <row r="90" ht="15.75" customHeight="1" s="98">
      <c r="A90" s="11" t="inlineStr">
        <is>
          <t>Hevea</t>
        </is>
      </c>
      <c r="B90" s="11" t="inlineStr">
        <is>
          <t>set-jardin-3-plazas-contemporaneo-sofa-3-plazas-2-sillones-mesa-5</t>
        </is>
      </c>
      <c r="C90" s="11" t="inlineStr">
        <is>
          <t>557-010147</t>
        </is>
      </c>
      <c r="D90" s="12" t="inlineStr">
        <is>
          <t>ACAPULCO-8 SET SOFÁ 3 PLAZAS / 3 SEATER SOFA SET / SET CANAPÉ 3 PLACES</t>
        </is>
      </c>
      <c r="E90" s="13" t="n">
        <v>1440</v>
      </c>
      <c r="F90" s="13" t="n">
        <v>2764.85</v>
      </c>
      <c r="G90" s="13" t="n">
        <v>845</v>
      </c>
      <c r="H90" s="14" t="n">
        <v>36.98</v>
      </c>
      <c r="I90" s="13" t="n">
        <v>2285</v>
      </c>
      <c r="J90" s="13" t="n">
        <v>0</v>
      </c>
      <c r="K90" s="13">
        <f>G90-J90</f>
        <v/>
      </c>
      <c r="L90" s="13">
        <f>K90*$L$1</f>
        <v/>
      </c>
      <c r="M90" s="15">
        <f>F90/K90</f>
        <v/>
      </c>
      <c r="N90" s="10">
        <f>IF(M90&lt;3.5,"SI",IF(M90&lt;4.5,IF(K90&gt;=100,"SI",IF(K90&gt;=40,"CUIDADO","NO")),IF(AND(M90&lt;5.5,F90&gt;=500,K90&gt;=80),"CUIDADO","NO")))</f>
        <v/>
      </c>
    </row>
    <row r="91" ht="15.75" customHeight="1" s="98">
      <c r="A91" s="5" t="inlineStr">
        <is>
          <t>Hevea</t>
        </is>
      </c>
      <c r="B91" s="5" t="inlineStr">
        <is>
          <t>pergola-aluminio-para-jardin-300300250-cm</t>
        </is>
      </c>
      <c r="C91" s="5" t="inlineStr">
        <is>
          <t>557-0919</t>
        </is>
      </c>
      <c r="D91" s="6" t="inlineStr">
        <is>
          <t>PÉRGOLA VENECIA / VENECIA PERGOLA / PERGOLA VENECIA</t>
        </is>
      </c>
      <c r="E91" s="7" t="n">
        <v>1065</v>
      </c>
      <c r="F91" s="7" t="n">
        <v>2044.9</v>
      </c>
      <c r="G91" s="7" t="n">
        <v>625</v>
      </c>
      <c r="H91" s="8" t="n">
        <v>36.98</v>
      </c>
      <c r="I91" s="7" t="n">
        <v>1690</v>
      </c>
      <c r="J91" s="7" t="n">
        <v>0</v>
      </c>
      <c r="K91" s="7">
        <f>G91-J91</f>
        <v/>
      </c>
      <c r="L91" s="7">
        <f>K91*$L$1</f>
        <v/>
      </c>
      <c r="M91" s="9">
        <f>F91/K91</f>
        <v/>
      </c>
      <c r="N91" s="10">
        <f>IF(M91&lt;3.5,"SI",IF(M91&lt;4.5,IF(K91&gt;=100,"SI",IF(K91&gt;=40,"CUIDADO","NO")),IF(AND(M91&lt;5.5,F91&gt;=500,K91&gt;=80),"CUIDADO","NO")))</f>
        <v/>
      </c>
    </row>
    <row r="92" ht="15.75" customHeight="1" s="98">
      <c r="A92" s="11" t="inlineStr">
        <is>
          <t>Hevea</t>
        </is>
      </c>
      <c r="B92" s="11" t="inlineStr">
        <is>
          <t>sillon-exterior-estilo-urbano-6670-cm</t>
        </is>
      </c>
      <c r="C92" s="11" t="inlineStr">
        <is>
          <t>557-01951</t>
        </is>
      </c>
      <c r="D92" s="12" t="inlineStr">
        <is>
          <t>MANHATAN-1 SILLÓN / ARMCHAIR / FAUTEUIL</t>
        </is>
      </c>
      <c r="E92" s="13" t="n">
        <v>243</v>
      </c>
      <c r="F92" s="13" t="n">
        <v>465.85</v>
      </c>
      <c r="G92" s="13" t="n">
        <v>142</v>
      </c>
      <c r="H92" s="14" t="n">
        <v>36.88</v>
      </c>
      <c r="I92" s="13" t="n">
        <v>385</v>
      </c>
      <c r="J92" s="13" t="n">
        <v>50</v>
      </c>
      <c r="K92" s="13">
        <f>G92-J92</f>
        <v/>
      </c>
      <c r="L92" s="13">
        <f>K92*$L$1</f>
        <v/>
      </c>
      <c r="M92" s="15">
        <f>F92/K92</f>
        <v/>
      </c>
      <c r="N92" s="10">
        <f>IF(M92&lt;3.5,"SI",IF(M92&lt;4.5,IF(K92&gt;=100,"SI",IF(K92&gt;=40,"CUIDADO","NO")),IF(AND(M92&lt;5.5,F92&gt;=500,K92&gt;=80),"CUIDADO","NO")))</f>
        <v/>
      </c>
    </row>
    <row r="93" ht="15.75" customHeight="1" s="98">
      <c r="A93" s="5" t="inlineStr">
        <is>
          <t>Hevea</t>
        </is>
      </c>
      <c r="B93" s="5" t="inlineStr">
        <is>
          <t>sofa-terraza-2-plazas-estilo-contemporaneo-13370-cm</t>
        </is>
      </c>
      <c r="C93" s="5" t="inlineStr">
        <is>
          <t>557-01952</t>
        </is>
      </c>
      <c r="D93" s="6" t="inlineStr">
        <is>
          <t>MANHATAN-2 SOFÁ 2 PLAZAS / 2 SEATER SOFA / CANAPÉ 2 PLACES</t>
        </is>
      </c>
      <c r="E93" s="7" t="n">
        <v>372</v>
      </c>
      <c r="F93" s="7" t="n">
        <v>713.9</v>
      </c>
      <c r="G93" s="7" t="n">
        <v>218</v>
      </c>
      <c r="H93" s="8" t="n">
        <v>36.95</v>
      </c>
      <c r="I93" s="7" t="n">
        <v>590</v>
      </c>
      <c r="J93" s="7" t="n">
        <v>50</v>
      </c>
      <c r="K93" s="7">
        <f>G93-J93</f>
        <v/>
      </c>
      <c r="L93" s="7">
        <f>K93*$L$1</f>
        <v/>
      </c>
      <c r="M93" s="9">
        <f>F93/K93</f>
        <v/>
      </c>
      <c r="N93" s="10">
        <f>IF(M93&lt;3.5,"SI",IF(M93&lt;4.5,IF(K93&gt;=100,"SI",IF(K93&gt;=40,"CUIDADO","NO")),IF(AND(M93&lt;5.5,F93&gt;=500,K93&gt;=80),"CUIDADO","NO")))</f>
        <v/>
      </c>
    </row>
    <row r="94" ht="15.75" customHeight="1" s="98">
      <c r="A94" s="11" t="inlineStr">
        <is>
          <t>Hevea</t>
        </is>
      </c>
      <c r="B94" s="11" t="inlineStr">
        <is>
          <t>sofa-terraza-3-plazas-estilo-moderno-18770-cm</t>
        </is>
      </c>
      <c r="C94" s="11" t="inlineStr">
        <is>
          <t>557-01953</t>
        </is>
      </c>
      <c r="D94" s="12" t="inlineStr">
        <is>
          <t>MANHATAN-3 SOFÁ 3 PLAZAS / 3 SEATER SOFA / CANAPÉ 3 PLACES</t>
        </is>
      </c>
      <c r="E94" s="13" t="n">
        <v>536</v>
      </c>
      <c r="F94" s="13" t="n">
        <v>1028.5</v>
      </c>
      <c r="G94" s="13" t="n">
        <v>314</v>
      </c>
      <c r="H94" s="14" t="n">
        <v>36.94</v>
      </c>
      <c r="I94" s="13" t="n">
        <v>850</v>
      </c>
      <c r="J94" s="13" t="n">
        <v>50</v>
      </c>
      <c r="K94" s="13">
        <f>G94-J94</f>
        <v/>
      </c>
      <c r="L94" s="13">
        <f>K94*$L$1</f>
        <v/>
      </c>
      <c r="M94" s="15">
        <f>F94/K94</f>
        <v/>
      </c>
      <c r="N94" s="10">
        <f>IF(M94&lt;3.5,"SI",IF(M94&lt;4.5,IF(K94&gt;=100,"SI",IF(K94&gt;=40,"CUIDADO","NO")),IF(AND(M94&lt;5.5,F94&gt;=500,K94&gt;=80),"CUIDADO","NO")))</f>
        <v/>
      </c>
    </row>
    <row r="95" ht="15.75" customHeight="1" s="98">
      <c r="A95" s="5" t="inlineStr">
        <is>
          <t>Hevea</t>
        </is>
      </c>
      <c r="B95" s="5" t="inlineStr">
        <is>
          <t>set-jardin-2-plazas-contemporaneo-sofa-2-plazas-2-sillones-mesa-3</t>
        </is>
      </c>
      <c r="C95" s="5" t="inlineStr">
        <is>
          <t>557-01954</t>
        </is>
      </c>
      <c r="D95" s="6" t="inlineStr">
        <is>
          <t>MANHATAN-7 SET SOFÁ 2 PLAZAS / 2 SEATER SOFA SET / SET CANAPÉ 2 PLACES</t>
        </is>
      </c>
      <c r="E95" s="7" t="n">
        <v>1037</v>
      </c>
      <c r="F95" s="7" t="n">
        <v>1990.45</v>
      </c>
      <c r="G95" s="7" t="n">
        <v>608</v>
      </c>
      <c r="H95" s="8" t="n">
        <v>36.96</v>
      </c>
      <c r="I95" s="7" t="n">
        <v>1645</v>
      </c>
      <c r="J95" s="7" t="n">
        <v>0</v>
      </c>
      <c r="K95" s="7">
        <f>G95-J95</f>
        <v/>
      </c>
      <c r="L95" s="7">
        <f>K95*$L$1</f>
        <v/>
      </c>
      <c r="M95" s="9">
        <f>F95/K95</f>
        <v/>
      </c>
      <c r="N95" s="10">
        <f>IF(M95&lt;3.5,"SI",IF(M95&lt;4.5,IF(K95&gt;=100,"SI",IF(K95&gt;=40,"CUIDADO","NO")),IF(AND(M95&lt;5.5,F95&gt;=500,K95&gt;=80),"CUIDADO","NO")))</f>
        <v/>
      </c>
    </row>
    <row r="96" ht="15.75" customHeight="1" s="98">
      <c r="A96" s="11" t="inlineStr">
        <is>
          <t>Hevea</t>
        </is>
      </c>
      <c r="B96" s="11" t="inlineStr">
        <is>
          <t>set-jardin-3-plazas-urbano-sofa-3-plazas-2-sillones-mesa</t>
        </is>
      </c>
      <c r="C96" s="11" t="inlineStr">
        <is>
          <t>557-01955</t>
        </is>
      </c>
      <c r="D96" s="12" t="inlineStr">
        <is>
          <t>MANHATAN-8 SET SOFÁ 3 PLAZAS / 3 SEATER SOFA SET / SET CANAPÉ 3 PLACES</t>
        </is>
      </c>
      <c r="E96" s="13" t="n">
        <v>1251</v>
      </c>
      <c r="F96" s="13" t="n">
        <v>2401.85</v>
      </c>
      <c r="G96" s="13" t="n">
        <v>734</v>
      </c>
      <c r="H96" s="14" t="n">
        <v>36.98</v>
      </c>
      <c r="I96" s="13" t="n">
        <v>1985</v>
      </c>
      <c r="J96" s="13" t="n">
        <v>0</v>
      </c>
      <c r="K96" s="13">
        <f>G96-J96</f>
        <v/>
      </c>
      <c r="L96" s="13">
        <f>K96*$L$1</f>
        <v/>
      </c>
      <c r="M96" s="15">
        <f>F96/K96</f>
        <v/>
      </c>
      <c r="N96" s="10">
        <f>IF(M96&lt;3.5,"SI",IF(M96&lt;4.5,IF(K96&gt;=100,"SI",IF(K96&gt;=40,"CUIDADO","NO")),IF(AND(M96&lt;5.5,F96&gt;=500,K96&gt;=80),"CUIDADO","NO")))</f>
        <v/>
      </c>
    </row>
    <row r="97" ht="15.75" customHeight="1" s="98">
      <c r="A97" s="5" t="inlineStr">
        <is>
          <t>Hevea</t>
        </is>
      </c>
      <c r="B97" s="5" t="inlineStr">
        <is>
          <t>set-rinconera-exterior-hpl-sofisticado-sofa-de-esquina-mesa-de-centro</t>
        </is>
      </c>
      <c r="C97" s="5" t="inlineStr">
        <is>
          <t>557-010705</t>
        </is>
      </c>
      <c r="D97" s="6" t="inlineStr">
        <is>
          <t>LOIRA-7 HPL SET SOFA RINCONERA / CORNER SET / SET CANAPÉ D’ANGLE</t>
        </is>
      </c>
      <c r="E97" s="7" t="n">
        <v>1509</v>
      </c>
      <c r="F97" s="7" t="n">
        <v>2897.95</v>
      </c>
      <c r="G97" s="7" t="n">
        <v>886</v>
      </c>
      <c r="H97" s="8" t="n">
        <v>36.99</v>
      </c>
      <c r="I97" s="7" t="n">
        <v>2395</v>
      </c>
      <c r="J97" s="7" t="n">
        <v>0</v>
      </c>
      <c r="K97" s="7">
        <f>G97-J97</f>
        <v/>
      </c>
      <c r="L97" s="7">
        <f>K97*$L$1</f>
        <v/>
      </c>
      <c r="M97" s="9">
        <f>F97/K97</f>
        <v/>
      </c>
      <c r="N97" s="10">
        <f>IF(M97&lt;3.5,"SI",IF(M97&lt;4.5,IF(K97&gt;=100,"SI",IF(K97&gt;=40,"CUIDADO","NO")),IF(AND(M97&lt;5.5,F97&gt;=500,K97&gt;=80),"CUIDADO","NO")))</f>
        <v/>
      </c>
    </row>
    <row r="98" ht="15.75" customHeight="1" s="98">
      <c r="A98" s="11" t="inlineStr">
        <is>
          <t>Hevea</t>
        </is>
      </c>
      <c r="B98" s="11" t="inlineStr">
        <is>
          <t>set-rinconera-exterior-hpl-elegante-sofa-de-esquina-mesa-de-centro</t>
        </is>
      </c>
      <c r="C98" s="11" t="inlineStr">
        <is>
          <t>557-010026</t>
        </is>
      </c>
      <c r="D98" s="12" t="inlineStr">
        <is>
          <t>LOIRA-8 HPL SET SOFÁ RINCONERA / HPL CORNER SOFA SET / SET CANAPÉ D’ANGLE HPL</t>
        </is>
      </c>
      <c r="E98" s="13" t="n">
        <v>1976</v>
      </c>
      <c r="F98" s="13" t="n">
        <v>3793.35</v>
      </c>
      <c r="G98" s="13" t="n">
        <v>1159</v>
      </c>
      <c r="H98" s="14" t="n">
        <v>36.97</v>
      </c>
      <c r="I98" s="13" t="n">
        <v>3135</v>
      </c>
      <c r="J98" s="13" t="n">
        <v>0</v>
      </c>
      <c r="K98" s="13">
        <f>G98-J98</f>
        <v/>
      </c>
      <c r="L98" s="13">
        <f>K98*$L$1</f>
        <v/>
      </c>
      <c r="M98" s="15">
        <f>F98/K98</f>
        <v/>
      </c>
      <c r="N98" s="10">
        <f>IF(M98&lt;3.5,"SI",IF(M98&lt;4.5,IF(K98&gt;=100,"SI",IF(K98&gt;=40,"CUIDADO","NO")),IF(AND(M98&lt;5.5,F98&gt;=500,K98&gt;=80),"CUIDADO","NO")))</f>
        <v/>
      </c>
    </row>
    <row r="99" ht="15.75" customHeight="1" s="98">
      <c r="A99" s="5" t="inlineStr">
        <is>
          <t>Hevea</t>
        </is>
      </c>
      <c r="B99" s="5" t="inlineStr">
        <is>
          <t>set-rinconera-exterior-hpl-moderno-sofa-de-esquina-mesa-de-centro</t>
        </is>
      </c>
      <c r="C99" s="5" t="inlineStr">
        <is>
          <t>557-010123</t>
        </is>
      </c>
      <c r="D99" s="6" t="inlineStr">
        <is>
          <t>LOIRA-30 HPL SET SOFÁ RINCONERA / HPL CORNER SOFA SET / SET CANAPÉ D’ANGLE HPL</t>
        </is>
      </c>
      <c r="E99" s="7" t="n">
        <v>2199</v>
      </c>
      <c r="F99" s="7" t="n">
        <v>4222.9</v>
      </c>
      <c r="G99" s="7" t="n">
        <v>1291</v>
      </c>
      <c r="H99" s="8" t="n">
        <v>36.99</v>
      </c>
      <c r="I99" s="7" t="n">
        <v>3490</v>
      </c>
      <c r="J99" s="7" t="n">
        <v>0</v>
      </c>
      <c r="K99" s="7">
        <f>G99-J99</f>
        <v/>
      </c>
      <c r="L99" s="7">
        <f>K99*$L$1</f>
        <v/>
      </c>
      <c r="M99" s="9">
        <f>F99/K99</f>
        <v/>
      </c>
      <c r="N99" s="10">
        <f>IF(M99&lt;3.5,"SI",IF(M99&lt;4.5,IF(K99&gt;=100,"SI",IF(K99&gt;=40,"CUIDADO","NO")),IF(AND(M99&lt;5.5,F99&gt;=500,K99&gt;=80),"CUIDADO","NO")))</f>
        <v/>
      </c>
    </row>
    <row r="100" ht="15.75" customHeight="1" s="98">
      <c r="A100" s="11" t="inlineStr">
        <is>
          <t>Hevea</t>
        </is>
      </c>
      <c r="B100" s="11" t="inlineStr">
        <is>
          <t>set-rinconera-exterior-contemporaneo-sofa-de-esquina-mesa-de-centro</t>
        </is>
      </c>
      <c r="C100" s="11" t="inlineStr">
        <is>
          <t>557-1164</t>
        </is>
      </c>
      <c r="D100" s="12" t="inlineStr">
        <is>
          <t>ADEL-7 SET SOFÁ RINCONERA / CORNER SOFA SET / SET CANAPÉ D’ANGLE</t>
        </is>
      </c>
      <c r="E100" s="13" t="n">
        <v>1342</v>
      </c>
      <c r="F100" s="13" t="n">
        <v>2577.3</v>
      </c>
      <c r="G100" s="13" t="n">
        <v>788</v>
      </c>
      <c r="H100" s="14" t="n">
        <v>37</v>
      </c>
      <c r="I100" s="13" t="n">
        <v>2130</v>
      </c>
      <c r="J100" s="13" t="n">
        <v>0</v>
      </c>
      <c r="K100" s="13">
        <f>G100-J100</f>
        <v/>
      </c>
      <c r="L100" s="13">
        <f>K100*$L$1</f>
        <v/>
      </c>
      <c r="M100" s="15">
        <f>F100/K100</f>
        <v/>
      </c>
      <c r="N100" s="10">
        <f>IF(M100&lt;3.5,"SI",IF(M100&lt;4.5,IF(K100&gt;=100,"SI",IF(K100&gt;=40,"CUIDADO","NO")),IF(AND(M100&lt;5.5,F100&gt;=500,K100&gt;=80),"CUIDADO","NO")))</f>
        <v/>
      </c>
    </row>
    <row r="101" ht="15.75" customHeight="1" s="98">
      <c r="A101" s="5" t="inlineStr">
        <is>
          <t>Hevea</t>
        </is>
      </c>
      <c r="B101" s="5" t="inlineStr">
        <is>
          <t>set-rinconera-exterior-sofisticado-sofa-de-esquina-mesa-de-centro</t>
        </is>
      </c>
      <c r="C101" s="5" t="inlineStr">
        <is>
          <t>557-010048</t>
        </is>
      </c>
      <c r="D101" s="6" t="inlineStr">
        <is>
          <t>ADEL-30 SET SOFÁ RINCONERA / CORNER SOFA SET / SET CANAPÉ D’ANGLE</t>
        </is>
      </c>
      <c r="E101" s="7" t="n">
        <v>1988</v>
      </c>
      <c r="F101" s="7" t="n">
        <v>3817.55</v>
      </c>
      <c r="G101" s="7" t="n">
        <v>1167</v>
      </c>
      <c r="H101" s="8" t="n">
        <v>36.99</v>
      </c>
      <c r="I101" s="7" t="n">
        <v>3155</v>
      </c>
      <c r="J101" s="7" t="n">
        <v>0</v>
      </c>
      <c r="K101" s="7">
        <f>G101-J101</f>
        <v/>
      </c>
      <c r="L101" s="7">
        <f>K101*$L$1</f>
        <v/>
      </c>
      <c r="M101" s="9">
        <f>F101/K101</f>
        <v/>
      </c>
      <c r="N101" s="10">
        <f>IF(M101&lt;3.5,"SI",IF(M101&lt;4.5,IF(K101&gt;=100,"SI",IF(K101&gt;=40,"CUIDADO","NO")),IF(AND(M101&lt;5.5,F101&gt;=500,K101&gt;=80),"CUIDADO","NO")))</f>
        <v/>
      </c>
    </row>
    <row r="102" ht="15.75" customHeight="1" s="98">
      <c r="A102" s="11" t="inlineStr">
        <is>
          <t>Hevea</t>
        </is>
      </c>
      <c r="B102" s="11" t="inlineStr">
        <is>
          <t>mesa-comedor-exterior-hpl-13590-cm</t>
        </is>
      </c>
      <c r="C102" s="11" t="inlineStr">
        <is>
          <t>557-010177</t>
        </is>
      </c>
      <c r="D102" s="12" t="inlineStr">
        <is>
          <t>CORCEGA-135x90 HPL MESA COMEDOR / HPL DINING TABLE 135x90 / TABLE À MANGER HPL 135x90</t>
        </is>
      </c>
      <c r="E102" s="13" t="n">
        <v>344</v>
      </c>
      <c r="F102" s="13" t="n">
        <v>659.45</v>
      </c>
      <c r="G102" s="13" t="n">
        <v>201</v>
      </c>
      <c r="H102" s="14" t="n">
        <v>36.88</v>
      </c>
      <c r="I102" s="13" t="n">
        <v>545</v>
      </c>
      <c r="J102" s="13" t="n">
        <v>50</v>
      </c>
      <c r="K102" s="13">
        <f>G102-J102</f>
        <v/>
      </c>
      <c r="L102" s="13">
        <f>K102*$L$1</f>
        <v/>
      </c>
      <c r="M102" s="15">
        <f>F102/K102</f>
        <v/>
      </c>
      <c r="N102" s="10">
        <f>IF(M102&lt;3.5,"SI",IF(M102&lt;4.5,IF(K102&gt;=100,"SI",IF(K102&gt;=40,"CUIDADO","NO")),IF(AND(M102&lt;5.5,F102&gt;=500,K102&gt;=80),"CUIDADO","NO")))</f>
        <v/>
      </c>
    </row>
    <row r="103" ht="15.75" customHeight="1" s="98">
      <c r="A103" s="5" t="inlineStr">
        <is>
          <t>Hevea</t>
        </is>
      </c>
      <c r="B103" s="5" t="inlineStr">
        <is>
          <t>mesa-comedor-exterior-hpl-13590-cm</t>
        </is>
      </c>
      <c r="C103" s="5" t="inlineStr">
        <is>
          <t>123-0017</t>
        </is>
      </c>
      <c r="D103" s="6" t="inlineStr">
        <is>
          <t>CORCEGA-160x90 HPL MESA COMEDOR / HPL DINING TABLE 160x90 / TABLE À MANGER HPL 160x90</t>
        </is>
      </c>
      <c r="E103" s="7" t="n">
        <v>375</v>
      </c>
      <c r="F103" s="7" t="n">
        <v>719.95</v>
      </c>
      <c r="G103" s="7" t="n">
        <v>220</v>
      </c>
      <c r="H103" s="17" t="n">
        <v>36.97</v>
      </c>
      <c r="I103" s="7" t="n">
        <v>595</v>
      </c>
      <c r="J103" s="7" t="n">
        <v>50</v>
      </c>
      <c r="K103" s="7">
        <f>G103-J103</f>
        <v/>
      </c>
      <c r="L103" s="7">
        <f>K103*$L$1</f>
        <v/>
      </c>
      <c r="M103" s="9">
        <f>F103/K103</f>
        <v/>
      </c>
      <c r="N103" s="10">
        <f>IF(M103&lt;3.5,"SI",IF(M103&lt;4.5,IF(K103&gt;=100,"SI",IF(K103&gt;=40,"CUIDADO","NO")),IF(AND(M103&lt;5.5,F103&gt;=500,K103&gt;=80),"CUIDADO","NO")))</f>
        <v/>
      </c>
    </row>
    <row r="104" ht="15.75" customHeight="1" s="98">
      <c r="A104" s="11" t="inlineStr">
        <is>
          <t>Hevea</t>
        </is>
      </c>
      <c r="B104" s="11" t="inlineStr">
        <is>
          <t>silla-exterior-estilo-estilizado</t>
        </is>
      </c>
      <c r="C104" s="11" t="inlineStr">
        <is>
          <t>123-0002</t>
        </is>
      </c>
      <c r="D104" s="12" t="inlineStr">
        <is>
          <t>SILLA JANEIRO 3 / JANEIRO CHAIR 3 / CHAISE JANEIRO 3</t>
        </is>
      </c>
      <c r="E104" s="13" t="n">
        <v>104</v>
      </c>
      <c r="F104" s="13" t="n">
        <v>199.65</v>
      </c>
      <c r="G104" s="13" t="n">
        <v>61</v>
      </c>
      <c r="H104" s="16" t="n">
        <v>36.97</v>
      </c>
      <c r="I104" s="13" t="n">
        <v>165</v>
      </c>
      <c r="J104" s="13" t="n">
        <v>0</v>
      </c>
      <c r="K104" s="13">
        <f>G104-J104</f>
        <v/>
      </c>
      <c r="L104" s="13">
        <f>K104*$L$1</f>
        <v/>
      </c>
      <c r="M104" s="15">
        <f>F104/K104</f>
        <v/>
      </c>
      <c r="N104" s="10">
        <f>IF(M104&lt;3.5,"SI",IF(M104&lt;4.5,IF(K104&gt;=100,"SI",IF(K104&gt;=40,"CUIDADO","NO")),IF(AND(M104&lt;5.5,F104&gt;=500,K104&gt;=80),"CUIDADO","NO")))</f>
        <v/>
      </c>
    </row>
    <row r="105" ht="15.75" customHeight="1" s="98">
      <c r="A105" s="5" t="inlineStr">
        <is>
          <t>Hevea</t>
        </is>
      </c>
      <c r="B105" s="5" t="inlineStr">
        <is>
          <t>silla-exterior-estilo-contemporaneo</t>
        </is>
      </c>
      <c r="C105" s="5" t="inlineStr">
        <is>
          <t>123-0001</t>
        </is>
      </c>
      <c r="D105" s="6" t="inlineStr">
        <is>
          <t>SILLA CÓRCEGA 3 / CORCEGA CHAIR 3 / CHAISE CORSE 3</t>
        </is>
      </c>
      <c r="E105" s="7" t="n">
        <v>92</v>
      </c>
      <c r="F105" s="7" t="n">
        <v>175.45</v>
      </c>
      <c r="G105" s="7" t="n">
        <v>53</v>
      </c>
      <c r="H105" s="17" t="n">
        <v>36.55</v>
      </c>
      <c r="I105" s="7" t="n">
        <v>145</v>
      </c>
      <c r="J105" s="7" t="n">
        <v>0</v>
      </c>
      <c r="K105" s="7">
        <f>G105-J105</f>
        <v/>
      </c>
      <c r="L105" s="7">
        <f>K105*$L$1</f>
        <v/>
      </c>
      <c r="M105" s="9">
        <f>F105/K105</f>
        <v/>
      </c>
      <c r="N105" s="10">
        <f>IF(M105&lt;3.5,"SI",IF(M105&lt;4.5,IF(K105&gt;=100,"SI",IF(K105&gt;=40,"CUIDADO","NO")),IF(AND(M105&lt;5.5,F105&gt;=500,K105&gt;=80),"CUIDADO","NO")))</f>
        <v/>
      </c>
    </row>
    <row r="106" ht="15.75" customHeight="1" s="98">
      <c r="A106" s="11" t="inlineStr">
        <is>
          <t>Hevea</t>
        </is>
      </c>
      <c r="B106" s="11" t="inlineStr">
        <is>
          <t>mesa-comedor-exterior-hpl-10090-cm</t>
        </is>
      </c>
      <c r="C106" s="11" t="inlineStr">
        <is>
          <t>123-0013</t>
        </is>
      </c>
      <c r="D106" s="12" t="inlineStr">
        <is>
          <t>MESA HPL MUNDRA Ø100 x 76H / HPL MUNDRA TABLE Ø100 x 76H / TABLE HPL MUNDRA Ø100 x 76H</t>
        </is>
      </c>
      <c r="E106" s="13" t="n">
        <v>303</v>
      </c>
      <c r="F106" s="13" t="n">
        <v>580.8</v>
      </c>
      <c r="G106" s="13" t="n">
        <v>177</v>
      </c>
      <c r="H106" s="14" t="n">
        <v>36.88</v>
      </c>
      <c r="I106" s="13" t="n">
        <v>480</v>
      </c>
      <c r="J106" s="13" t="n">
        <v>50</v>
      </c>
      <c r="K106" s="13">
        <f>G106-J106</f>
        <v/>
      </c>
      <c r="L106" s="13">
        <f>K106*$L$1</f>
        <v/>
      </c>
      <c r="M106" s="15">
        <f>F106/K106</f>
        <v/>
      </c>
      <c r="N106" s="10">
        <f>IF(M106&lt;3.5,"SI",IF(M106&lt;4.5,IF(K106&gt;=100,"SI",IF(K106&gt;=40,"CUIDADO","NO")),IF(AND(M106&lt;5.5,F106&gt;=500,K106&gt;=80),"CUIDADO","NO")))</f>
        <v/>
      </c>
    </row>
    <row r="107" ht="15.75" customHeight="1" s="98">
      <c r="A107" s="5" t="inlineStr">
        <is>
          <t>Hevea</t>
        </is>
      </c>
      <c r="B107" s="5" t="inlineStr">
        <is>
          <t>mesa-comedor-exterior-hpl-15090-cm</t>
        </is>
      </c>
      <c r="C107" s="5" t="inlineStr">
        <is>
          <t>557-011019</t>
        </is>
      </c>
      <c r="D107" s="6" t="inlineStr">
        <is>
          <t>HPL MUNDRA 150 MESA / HPL MUNDRA 150 TABLE / TABLE HPL MUNDRA 150</t>
        </is>
      </c>
      <c r="E107" s="7" t="n">
        <v>347</v>
      </c>
      <c r="F107" s="7" t="n">
        <v>665.5</v>
      </c>
      <c r="G107" s="7" t="n">
        <v>203</v>
      </c>
      <c r="H107" s="8" t="n">
        <v>36.91</v>
      </c>
      <c r="I107" s="7" t="n">
        <v>550</v>
      </c>
      <c r="J107" s="7" t="n">
        <v>50</v>
      </c>
      <c r="K107" s="7">
        <f>G107-J107</f>
        <v/>
      </c>
      <c r="L107" s="7">
        <f>K107*$L$1</f>
        <v/>
      </c>
      <c r="M107" s="9">
        <f>F107/K107</f>
        <v/>
      </c>
      <c r="N107" s="10">
        <f>IF(M107&lt;3.5,"SI",IF(M107&lt;4.5,IF(K107&gt;=100,"SI",IF(K107&gt;=40,"CUIDADO","NO")),IF(AND(M107&lt;5.5,F107&gt;=500,K107&gt;=80),"CUIDADO","NO")))</f>
        <v/>
      </c>
    </row>
    <row r="108" ht="15.75" customHeight="1" s="98">
      <c r="A108" s="11" t="inlineStr">
        <is>
          <t>Hevea</t>
        </is>
      </c>
      <c r="B108" s="11" t="inlineStr">
        <is>
          <t>sillon-exterior-estilo-versatil-58100-cm</t>
        </is>
      </c>
      <c r="C108" s="11" t="inlineStr">
        <is>
          <t>123-0011</t>
        </is>
      </c>
      <c r="D108" s="12" t="inlineStr">
        <is>
          <t>SILLÓN AVALON-3 / AVALON-3 ARMCHAIR / FAUTEUIL AVALON-3</t>
        </is>
      </c>
      <c r="E108" s="13" t="n">
        <v>60</v>
      </c>
      <c r="F108" s="13" t="n">
        <v>114.95</v>
      </c>
      <c r="G108" s="13" t="n">
        <v>35</v>
      </c>
      <c r="H108" s="16" t="n">
        <v>36.84</v>
      </c>
      <c r="I108" s="13" t="n">
        <v>95</v>
      </c>
      <c r="J108" s="13" t="n">
        <v>0</v>
      </c>
      <c r="K108" s="13">
        <f>G108-J108</f>
        <v/>
      </c>
      <c r="L108" s="13">
        <f>K108*$L$1</f>
        <v/>
      </c>
      <c r="M108" s="15">
        <f>F108/K108</f>
        <v/>
      </c>
      <c r="N108" s="10">
        <f>IF(M108&lt;3.5,"SI",IF(M108&lt;4.5,IF(K108&gt;=100,"SI",IF(K108&gt;=40,"CUIDADO","NO")),IF(AND(M108&lt;5.5,F108&gt;=500,K108&gt;=80),"CUIDADO","NO")))</f>
        <v/>
      </c>
    </row>
    <row r="109" ht="15.75" customHeight="1" s="98">
      <c r="A109" s="5" t="inlineStr">
        <is>
          <t>Hevea</t>
        </is>
      </c>
      <c r="B109" s="5" t="inlineStr">
        <is>
          <t>tumbona-de-exterior</t>
        </is>
      </c>
      <c r="C109" s="5" t="inlineStr">
        <is>
          <t>123-0038</t>
        </is>
      </c>
      <c r="D109" s="6" t="inlineStr">
        <is>
          <t>BRESCIA-12 TUMBONA / SUNBED / BAIN DE SOLEIL</t>
        </is>
      </c>
      <c r="E109" s="7" t="n">
        <v>101</v>
      </c>
      <c r="F109" s="7" t="n">
        <v>193.6</v>
      </c>
      <c r="G109" s="7" t="n">
        <v>59</v>
      </c>
      <c r="H109" s="8" t="n">
        <v>36.88</v>
      </c>
      <c r="I109" s="7" t="n">
        <v>160</v>
      </c>
      <c r="J109" s="7" t="n">
        <v>0</v>
      </c>
      <c r="K109" s="7">
        <f>G109-J109</f>
        <v/>
      </c>
      <c r="L109" s="7">
        <f>K109*$L$1</f>
        <v/>
      </c>
      <c r="M109" s="9">
        <f>F109/K109</f>
        <v/>
      </c>
      <c r="N109" s="10">
        <f>IF(M109&lt;3.5,"SI",IF(M109&lt;4.5,IF(K109&gt;=100,"SI",IF(K109&gt;=40,"CUIDADO","NO")),IF(AND(M109&lt;5.5,F109&gt;=500,K109&gt;=80),"CUIDADO","NO")))</f>
        <v/>
      </c>
    </row>
    <row r="110" ht="15.75" customHeight="1" s="98">
      <c r="A110" s="11" t="inlineStr">
        <is>
          <t>Hevea</t>
        </is>
      </c>
      <c r="B110" s="11" t="inlineStr">
        <is>
          <t>parasol-para-terraza-300-cm</t>
        </is>
      </c>
      <c r="C110" s="11" t="inlineStr">
        <is>
          <t>928-0016</t>
        </is>
      </c>
      <c r="D110" s="12" t="inlineStr">
        <is>
          <t>PARASOL VIENA 300 / VIENNA PARASOL 300 / PARASOL VIENNE 300</t>
        </is>
      </c>
      <c r="E110" s="13" t="n">
        <v>189</v>
      </c>
      <c r="F110" s="13" t="n">
        <v>363</v>
      </c>
      <c r="G110" s="13" t="n">
        <v>111</v>
      </c>
      <c r="H110" s="14" t="n">
        <v>37</v>
      </c>
      <c r="I110" s="13" t="n">
        <v>300</v>
      </c>
      <c r="J110" s="13" t="n">
        <v>0</v>
      </c>
      <c r="K110" s="13">
        <f>G110-J110</f>
        <v/>
      </c>
      <c r="L110" s="13">
        <f>K110*$L$1</f>
        <v/>
      </c>
      <c r="M110" s="15">
        <f>F110/K110</f>
        <v/>
      </c>
      <c r="N110" s="10">
        <f>IF(M110&lt;3.5,"SI",IF(M110&lt;4.5,IF(K110&gt;=100,"SI",IF(K110&gt;=40,"CUIDADO","NO")),IF(AND(M110&lt;5.5,F110&gt;=500,K110&gt;=80),"CUIDADO","NO")))</f>
        <v/>
      </c>
    </row>
    <row r="111" ht="15.75" customHeight="1" s="98">
      <c r="A111" s="5" t="inlineStr">
        <is>
          <t>Hevea</t>
        </is>
      </c>
      <c r="B111" s="5" t="inlineStr">
        <is>
          <t>parasol-para-terraza-350-cm</t>
        </is>
      </c>
      <c r="C111" s="5" t="inlineStr">
        <is>
          <t>557-1682</t>
        </is>
      </c>
      <c r="D111" s="6" t="inlineStr">
        <is>
          <t>PARASOL SAMSON Ø350 / SAMSON PARASOL / PARASOL SAMSON</t>
        </is>
      </c>
      <c r="E111" s="7" t="n">
        <v>561</v>
      </c>
      <c r="F111" s="7" t="n">
        <v>1076.9</v>
      </c>
      <c r="G111" s="7" t="n">
        <v>329</v>
      </c>
      <c r="H111" s="8" t="n">
        <v>36.97</v>
      </c>
      <c r="I111" s="7" t="n">
        <v>890</v>
      </c>
      <c r="J111" s="7" t="n">
        <v>50</v>
      </c>
      <c r="K111" s="7">
        <f>G111-J111</f>
        <v/>
      </c>
      <c r="L111" s="7">
        <f>K111*$L$1</f>
        <v/>
      </c>
      <c r="M111" s="9">
        <f>F111/K111</f>
        <v/>
      </c>
      <c r="N111" s="10">
        <f>IF(M111&lt;3.5,"SI",IF(M111&lt;4.5,IF(K111&gt;=100,"SI",IF(K111&gt;=40,"CUIDADO","NO")),IF(AND(M111&lt;5.5,F111&gt;=500,K111&gt;=80),"CUIDADO","NO")))</f>
        <v/>
      </c>
    </row>
    <row r="112" ht="15.75" customHeight="1" s="98">
      <c r="A112" s="11" t="inlineStr">
        <is>
          <t>Hevea</t>
        </is>
      </c>
      <c r="B112" s="11" t="inlineStr">
        <is>
          <t>parasol-para-terraza-300-cm-2</t>
        </is>
      </c>
      <c r="C112" s="11" t="inlineStr">
        <is>
          <t>928-0010</t>
        </is>
      </c>
      <c r="D112" s="12" t="inlineStr">
        <is>
          <t>PARASOL CARACAS 300 / CARACAS PARASOL 300 / PARASOL CARACAS 300</t>
        </is>
      </c>
      <c r="E112" s="13" t="n">
        <v>86</v>
      </c>
      <c r="F112" s="13" t="n">
        <v>163.35</v>
      </c>
      <c r="G112" s="13" t="n">
        <v>49</v>
      </c>
      <c r="H112" s="16" t="n">
        <v>36.3</v>
      </c>
      <c r="I112" s="13" t="n">
        <v>135</v>
      </c>
      <c r="J112" s="13" t="n">
        <v>0</v>
      </c>
      <c r="K112" s="13">
        <f>G112-J112</f>
        <v/>
      </c>
      <c r="L112" s="13">
        <f>K112*$L$1</f>
        <v/>
      </c>
      <c r="M112" s="15">
        <f>F112/K112</f>
        <v/>
      </c>
      <c r="N112" s="10">
        <f>IF(M112&lt;3.5,"SI",IF(M112&lt;4.5,IF(K112&gt;=100,"SI",IF(K112&gt;=40,"CUIDADO","NO")),IF(AND(M112&lt;5.5,F112&gt;=500,K112&gt;=80),"CUIDADO","NO")))</f>
        <v/>
      </c>
    </row>
    <row r="113" ht="15.75" customHeight="1" s="98">
      <c r="A113" s="5" t="inlineStr">
        <is>
          <t>Hevea</t>
        </is>
      </c>
      <c r="B113" s="5" t="inlineStr">
        <is>
          <t>base-de-parasol-25-kg</t>
        </is>
      </c>
      <c r="C113" s="5" t="inlineStr">
        <is>
          <t>921-0026</t>
        </is>
      </c>
      <c r="D113" s="6" t="inlineStr">
        <is>
          <t>BASE DE PARASOL 25KG</t>
        </is>
      </c>
      <c r="E113" s="7" t="n">
        <v>41</v>
      </c>
      <c r="F113" s="7" t="n">
        <v>78.65000000000001</v>
      </c>
      <c r="G113" s="7" t="n">
        <v>24</v>
      </c>
      <c r="H113" s="17" t="n">
        <v>36.92</v>
      </c>
      <c r="I113" s="7" t="n">
        <v>65</v>
      </c>
      <c r="J113" s="7" t="n">
        <v>0</v>
      </c>
      <c r="K113" s="7">
        <f>G113-J113</f>
        <v/>
      </c>
      <c r="L113" s="7">
        <f>K113*$L$1</f>
        <v/>
      </c>
      <c r="M113" s="9">
        <f>F113/K113</f>
        <v/>
      </c>
      <c r="N113" s="10">
        <f>IF(M113&lt;3.5,"SI",IF(M113&lt;4.5,IF(K113&gt;=100,"SI",IF(K113&gt;=40,"CUIDADO","NO")),IF(AND(M113&lt;5.5,F113&gt;=500,K113&gt;=80),"CUIDADO","NO")))</f>
        <v/>
      </c>
    </row>
    <row r="114" ht="15.75" customHeight="1" s="98">
      <c r="A114" s="11" t="inlineStr">
        <is>
          <t>Hevea</t>
        </is>
      </c>
      <c r="B114" s="11" t="inlineStr">
        <is>
          <t>set-losas-cemento-para-base-de-parasol</t>
        </is>
      </c>
      <c r="C114" s="11" t="inlineStr">
        <is>
          <t>921-0009</t>
        </is>
      </c>
      <c r="D114" s="12" t="inlineStr">
        <is>
          <t>JUEGO 4 LOSAS CEMENTO BASE PARASOL GRANITE</t>
        </is>
      </c>
      <c r="E114" s="13" t="n">
        <v>114</v>
      </c>
      <c r="F114" s="13" t="n">
        <v>217.8</v>
      </c>
      <c r="G114" s="13" t="n">
        <v>66</v>
      </c>
      <c r="H114" s="14" t="n">
        <v>36.67</v>
      </c>
      <c r="I114" s="13" t="n">
        <v>180</v>
      </c>
      <c r="J114" s="13" t="n">
        <v>0</v>
      </c>
      <c r="K114" s="13">
        <f>G114-J114</f>
        <v/>
      </c>
      <c r="L114" s="13">
        <f>K114*$L$1</f>
        <v/>
      </c>
      <c r="M114" s="15">
        <f>F114/K114</f>
        <v/>
      </c>
      <c r="N114" s="10">
        <f>IF(M114&lt;3.5,"SI",IF(M114&lt;4.5,IF(K114&gt;=100,"SI",IF(K114&gt;=40,"CUIDADO","NO")),IF(AND(M114&lt;5.5,F114&gt;=500,K114&gt;=80),"CUIDADO","NO")))</f>
        <v/>
      </c>
    </row>
    <row r="115" ht="15.75" customHeight="1" s="98">
      <c r="A115" s="5" t="inlineStr">
        <is>
          <t>Hevea</t>
        </is>
      </c>
      <c r="B115" s="5" t="inlineStr">
        <is>
          <t>balancin-jardin-exterior-148194-cm</t>
        </is>
      </c>
      <c r="C115" s="5" t="inlineStr">
        <is>
          <t>557-010143</t>
        </is>
      </c>
      <c r="D115" s="6" t="inlineStr">
        <is>
          <t>BALANCÍN SIDNEY</t>
        </is>
      </c>
      <c r="E115" s="7" t="n">
        <v>939</v>
      </c>
      <c r="F115" s="7" t="n">
        <v>1802.9</v>
      </c>
      <c r="G115" s="7" t="n">
        <v>551</v>
      </c>
      <c r="H115" s="8" t="n">
        <v>36.98</v>
      </c>
      <c r="I115" s="7" t="n">
        <v>1490</v>
      </c>
      <c r="J115" s="7" t="n">
        <v>0</v>
      </c>
      <c r="K115" s="7">
        <f>G115-J115</f>
        <v/>
      </c>
      <c r="L115" s="7">
        <f>K115*$L$1</f>
        <v/>
      </c>
      <c r="M115" s="9">
        <f>F115/K115</f>
        <v/>
      </c>
      <c r="N115" s="10">
        <f>IF(M115&lt;3.5,"SI",IF(M115&lt;4.5,IF(K115&gt;=100,"SI",IF(K115&gt;=40,"CUIDADO","NO")),IF(AND(M115&lt;5.5,F115&gt;=500,K115&gt;=80),"CUIDADO","NO")))</f>
        <v/>
      </c>
    </row>
    <row r="116" ht="15.75" customHeight="1" s="98">
      <c r="A116" s="11" t="inlineStr">
        <is>
          <t>Hevea</t>
        </is>
      </c>
      <c r="B116" s="11" t="inlineStr">
        <is>
          <t>banco-jardin-con-mesa-integrada-220-cm</t>
        </is>
      </c>
      <c r="C116" s="11" t="inlineStr">
        <is>
          <t>557-010947</t>
        </is>
      </c>
      <c r="D116" s="12" t="inlineStr">
        <is>
          <t>YULIEN BANCO CON MESA / YULIEN BENCH WITH TABLE / BANC YULIEN AVEC TABLE</t>
        </is>
      </c>
      <c r="E116" s="13" t="n">
        <v>1509</v>
      </c>
      <c r="F116" s="13" t="n">
        <v>2897.95</v>
      </c>
      <c r="G116" s="13" t="n">
        <v>886</v>
      </c>
      <c r="H116" s="14" t="n">
        <v>36.99</v>
      </c>
      <c r="I116" s="13" t="n">
        <v>2395</v>
      </c>
      <c r="J116" s="13" t="n">
        <v>0</v>
      </c>
      <c r="K116" s="13">
        <f>G116-J116</f>
        <v/>
      </c>
      <c r="L116" s="13">
        <f>K116*$L$1</f>
        <v/>
      </c>
      <c r="M116" s="15">
        <f>F116/K116</f>
        <v/>
      </c>
      <c r="N116" s="10">
        <f>IF(M116&lt;3.5,"SI",IF(M116&lt;4.5,IF(K116&gt;=100,"SI",IF(K116&gt;=40,"CUIDADO","NO")),IF(AND(M116&lt;5.5,F116&gt;=500,K116&gt;=80),"CUIDADO","NO")))</f>
        <v/>
      </c>
    </row>
    <row r="117" ht="15.75" customHeight="1" s="98">
      <c r="A117" s="5" t="inlineStr">
        <is>
          <t>Hevea</t>
        </is>
      </c>
      <c r="B117" s="5" t="inlineStr">
        <is>
          <t>banco-de-exterior-150-cm</t>
        </is>
      </c>
      <c r="C117" s="5" t="inlineStr">
        <is>
          <t>557-010016</t>
        </is>
      </c>
      <c r="D117" s="6" t="inlineStr">
        <is>
          <t>GULLIVER BANCO / GULLIVER BENCH / BANC GULLIVER</t>
        </is>
      </c>
      <c r="E117" s="7" t="n">
        <v>221</v>
      </c>
      <c r="F117" s="7" t="n">
        <v>423.5</v>
      </c>
      <c r="G117" s="7" t="n">
        <v>129</v>
      </c>
      <c r="H117" s="17" t="n">
        <v>36.86</v>
      </c>
      <c r="I117" s="7" t="n">
        <v>350</v>
      </c>
      <c r="J117" s="7" t="n">
        <v>50</v>
      </c>
      <c r="K117" s="7">
        <f>G117-J117</f>
        <v/>
      </c>
      <c r="L117" s="7">
        <f>K117*$L$1</f>
        <v/>
      </c>
      <c r="M117" s="9">
        <f>F117/K117</f>
        <v/>
      </c>
      <c r="N117" s="10">
        <f>IF(M117&lt;3.5,"SI",IF(M117&lt;4.5,IF(K117&gt;=100,"SI",IF(K117&gt;=40,"CUIDADO","NO")),IF(AND(M117&lt;5.5,F117&gt;=500,K117&gt;=80),"CUIDADO","NO")))</f>
        <v/>
      </c>
    </row>
    <row r="118" ht="15.75" customHeight="1" s="98">
      <c r="A118" s="11" t="inlineStr">
        <is>
          <t>Hevea</t>
        </is>
      </c>
      <c r="B118" s="11" t="inlineStr">
        <is>
          <t>banco-de-exterior-108-cm</t>
        </is>
      </c>
      <c r="C118" s="11" t="inlineStr">
        <is>
          <t>557-011350</t>
        </is>
      </c>
      <c r="D118" s="12" t="inlineStr">
        <is>
          <t>SEVILLA BANCO / SEVILLA BENCH / BANC SEVILLA</t>
        </is>
      </c>
      <c r="E118" s="13" t="n">
        <v>199</v>
      </c>
      <c r="F118" s="13" t="n">
        <v>381.15</v>
      </c>
      <c r="G118" s="13" t="n">
        <v>116</v>
      </c>
      <c r="H118" s="16" t="n">
        <v>36.83</v>
      </c>
      <c r="I118" s="13" t="n">
        <v>315</v>
      </c>
      <c r="J118" s="13" t="n">
        <v>50</v>
      </c>
      <c r="K118" s="13">
        <f>G118-J118</f>
        <v/>
      </c>
      <c r="L118" s="13">
        <f>K118*$L$1</f>
        <v/>
      </c>
      <c r="M118" s="15">
        <f>F118/K118</f>
        <v/>
      </c>
      <c r="N118" s="10">
        <f>IF(M118&lt;3.5,"SI",IF(M118&lt;4.5,IF(K118&gt;=100,"SI",IF(K118&gt;=40,"CUIDADO","NO")),IF(AND(M118&lt;5.5,F118&gt;=500,K118&gt;=80),"CUIDADO","NO")))</f>
        <v/>
      </c>
    </row>
    <row r="119" ht="15.75" customHeight="1" s="98">
      <c r="A119" s="5" t="inlineStr">
        <is>
          <t>Balliu</t>
        </is>
      </c>
      <c r="B119" s="5" t="inlineStr">
        <is>
          <t>balliu-tumbona-de-exterior-resina-923110d9</t>
        </is>
      </c>
      <c r="C119" s="5" t="inlineStr">
        <is>
          <t>BALLIU_EVA_PRO_TUMBONA_CHASIS_BLANCO_TA_923110D9</t>
        </is>
      </c>
      <c r="D119" s="6" t="inlineStr">
        <is>
          <t>Tumbona de exterior resina</t>
        </is>
      </c>
      <c r="E119" s="7" t="n">
        <v>112.55</v>
      </c>
      <c r="F119" s="7" t="n">
        <v>219.66</v>
      </c>
      <c r="G119" s="7" t="n">
        <v>68.98999999999999</v>
      </c>
      <c r="H119" s="8" t="n">
        <v>38</v>
      </c>
      <c r="I119" s="7" t="n">
        <v>181.54</v>
      </c>
      <c r="J119" s="7" t="n">
        <v>0</v>
      </c>
      <c r="K119" s="7">
        <f>G119-J119</f>
        <v/>
      </c>
      <c r="L119" s="7">
        <f>K119*$L$1</f>
        <v/>
      </c>
      <c r="M119" s="9">
        <f>F119/K119</f>
        <v/>
      </c>
      <c r="N119" s="10">
        <f>IF(M119&lt;3.5,"SI",IF(M119&lt;4.5,IF(K119&gt;=100,"SI",IF(K119&gt;=40,"CUIDADO","NO")),IF(AND(M119&lt;5.5,F119&gt;=500,K119&gt;=80),"CUIDADO","NO")))</f>
        <v/>
      </c>
    </row>
    <row r="120" ht="15.75" customHeight="1" s="98">
      <c r="A120" s="11" t="inlineStr">
        <is>
          <t>Balliu</t>
        </is>
      </c>
      <c r="B120" s="11" t="inlineStr">
        <is>
          <t>balliu-tumbona-de-exterior-resina-73-cm-b19af1ea</t>
        </is>
      </c>
      <c r="C120" s="11" t="inlineStr">
        <is>
          <t>BALLIU_EVA_PRO_TUMBONA_CHASIS_BLANCO_TE_B19AF1EA</t>
        </is>
      </c>
      <c r="D120" s="12" t="inlineStr">
        <is>
          <t>Tumbona de exterior resina</t>
        </is>
      </c>
      <c r="E120" s="13" t="n">
        <v>117.05</v>
      </c>
      <c r="F120" s="13" t="n">
        <v>228.44</v>
      </c>
      <c r="G120" s="13" t="n">
        <v>71.73999999999999</v>
      </c>
      <c r="H120" s="14" t="n">
        <v>38</v>
      </c>
      <c r="I120" s="13" t="n">
        <v>188.79</v>
      </c>
      <c r="J120" s="13" t="n">
        <v>0</v>
      </c>
      <c r="K120" s="13">
        <f>G120-J120</f>
        <v/>
      </c>
      <c r="L120" s="13">
        <f>K120*$L$1</f>
        <v/>
      </c>
      <c r="M120" s="15">
        <f>F120/K120</f>
        <v/>
      </c>
      <c r="N120" s="10">
        <f>IF(M120&lt;3.5,"SI",IF(M120&lt;4.5,IF(K120&gt;=100,"SI",IF(K120&gt;=40,"CUIDADO","NO")),IF(AND(M120&lt;5.5,F120&gt;=500,K120&gt;=80),"CUIDADO","NO")))</f>
        <v/>
      </c>
    </row>
    <row r="121" ht="15.75" customHeight="1" s="98">
      <c r="A121" s="5" t="inlineStr">
        <is>
          <t>Balliu</t>
        </is>
      </c>
      <c r="B121" s="5" t="inlineStr">
        <is>
          <t>balliu-tumbona-de-exterior-resina-ddeeef3f</t>
        </is>
      </c>
      <c r="C121" s="5" t="inlineStr">
        <is>
          <t>BALLIU_EVA_PRO_TUMBONA_CHASIS_PRESTIGE__DDEEEF3F</t>
        </is>
      </c>
      <c r="D121" s="6" t="inlineStr">
        <is>
          <t>Tumbona de exterior resina</t>
        </is>
      </c>
      <c r="E121" s="7" t="n">
        <v>124.07</v>
      </c>
      <c r="F121" s="7" t="n">
        <v>242.13</v>
      </c>
      <c r="G121" s="7" t="n">
        <v>76.04000000000001</v>
      </c>
      <c r="H121" s="8" t="n">
        <v>38</v>
      </c>
      <c r="I121" s="7" t="n">
        <v>200.11</v>
      </c>
      <c r="J121" s="7" t="n">
        <v>0</v>
      </c>
      <c r="K121" s="7">
        <f>G121-J121</f>
        <v/>
      </c>
      <c r="L121" s="7">
        <f>K121*$L$1</f>
        <v/>
      </c>
      <c r="M121" s="9">
        <f>F121/K121</f>
        <v/>
      </c>
      <c r="N121" s="10">
        <f>IF(M121&lt;3.5,"SI",IF(M121&lt;4.5,IF(K121&gt;=100,"SI",IF(K121&gt;=40,"CUIDADO","NO")),IF(AND(M121&lt;5.5,F121&gt;=500,K121&gt;=80),"CUIDADO","NO")))</f>
        <v/>
      </c>
    </row>
    <row r="122" ht="15.75" customHeight="1" s="98">
      <c r="A122" s="11" t="inlineStr">
        <is>
          <t>Balliu</t>
        </is>
      </c>
      <c r="B122" s="11" t="inlineStr">
        <is>
          <t>balliu-tumbona-de-exterior-resina-75-cm-009e68e4</t>
        </is>
      </c>
      <c r="C122" s="11" t="inlineStr">
        <is>
          <t>BALLIU_CARMEN_TUMBONA_CHASIS_BLANCO_TA_ADD04DFC</t>
        </is>
      </c>
      <c r="D122" s="12" t="inlineStr">
        <is>
          <t>Tumbona de exterior resina | 75 cm</t>
        </is>
      </c>
      <c r="E122" s="13" t="n">
        <v>107.1</v>
      </c>
      <c r="F122" s="13" t="n">
        <v>209.03</v>
      </c>
      <c r="G122" s="13" t="n">
        <v>65.65000000000001</v>
      </c>
      <c r="H122" s="14" t="n">
        <v>38</v>
      </c>
      <c r="I122" s="13" t="n">
        <v>172.75</v>
      </c>
      <c r="J122" s="13" t="n">
        <v>0</v>
      </c>
      <c r="K122" s="13">
        <f>G122-J122</f>
        <v/>
      </c>
      <c r="L122" s="13">
        <f>K122*$L$1</f>
        <v/>
      </c>
      <c r="M122" s="15">
        <f>F122/K122</f>
        <v/>
      </c>
      <c r="N122" s="10">
        <f>IF(M122&lt;3.5,"SI",IF(M122&lt;4.5,IF(K122&gt;=100,"SI",IF(K122&gt;=40,"CUIDADO","NO")),IF(AND(M122&lt;5.5,F122&gt;=500,K122&gt;=80),"CUIDADO","NO")))</f>
        <v/>
      </c>
    </row>
    <row r="123" ht="15.75" customHeight="1" s="98">
      <c r="A123" s="5" t="inlineStr">
        <is>
          <t>Balliu</t>
        </is>
      </c>
      <c r="B123" s="5" t="inlineStr">
        <is>
          <t>balliu-tumbona-de-exterior-resina-75-cm-009e68e4</t>
        </is>
      </c>
      <c r="C123" s="5" t="inlineStr">
        <is>
          <t>BALLIU_CARMEN_TUMBONA_CHASIS_PRESTIGE__3B908F70</t>
        </is>
      </c>
      <c r="D123" s="6" t="inlineStr">
        <is>
          <t>Tumbona de exterior resina | 75 cm</t>
        </is>
      </c>
      <c r="E123" s="7" t="n">
        <v>112.55</v>
      </c>
      <c r="F123" s="7" t="n">
        <v>219.66</v>
      </c>
      <c r="G123" s="7" t="n">
        <v>68.98999999999999</v>
      </c>
      <c r="H123" s="8" t="n">
        <v>38</v>
      </c>
      <c r="I123" s="7" t="n">
        <v>181.54</v>
      </c>
      <c r="J123" s="7" t="n">
        <v>0</v>
      </c>
      <c r="K123" s="7">
        <f>G123-J123</f>
        <v/>
      </c>
      <c r="L123" s="7">
        <f>K123*$L$1</f>
        <v/>
      </c>
      <c r="M123" s="9">
        <f>F123/K123</f>
        <v/>
      </c>
      <c r="N123" s="10">
        <f>IF(M123&lt;3.5,"SI",IF(M123&lt;4.5,IF(K123&gt;=100,"SI",IF(K123&gt;=40,"CUIDADO","NO")),IF(AND(M123&lt;5.5,F123&gt;=500,K123&gt;=80),"CUIDADO","NO")))</f>
        <v/>
      </c>
    </row>
    <row r="124" ht="15.75" customHeight="1" s="98">
      <c r="A124" s="11" t="inlineStr">
        <is>
          <t>Balliu</t>
        </is>
      </c>
      <c r="B124" s="11" t="inlineStr">
        <is>
          <t>balliu-tumbona-de-exterior-resina-75-cm-009e68e4</t>
        </is>
      </c>
      <c r="C124" s="11" t="inlineStr">
        <is>
          <t>BALLIU_CARMEN_TUMBONA_CHASIS_BLANCO_TE_009E68E4</t>
        </is>
      </c>
      <c r="D124" s="12" t="inlineStr">
        <is>
          <t>Tumbona de exterior resina | 75 cm</t>
        </is>
      </c>
      <c r="E124" s="13" t="n">
        <v>93.89</v>
      </c>
      <c r="F124" s="13" t="n">
        <v>183.23</v>
      </c>
      <c r="G124" s="13" t="n">
        <v>57.54</v>
      </c>
      <c r="H124" s="14" t="n">
        <v>38</v>
      </c>
      <c r="I124" s="13" t="n">
        <v>151.43</v>
      </c>
      <c r="J124" s="13" t="n">
        <v>0</v>
      </c>
      <c r="K124" s="13">
        <f>G124-J124</f>
        <v/>
      </c>
      <c r="L124" s="13">
        <f>K124*$L$1</f>
        <v/>
      </c>
      <c r="M124" s="15">
        <f>F124/K124</f>
        <v/>
      </c>
      <c r="N124" s="10">
        <f>IF(M124&lt;3.5,"SI",IF(M124&lt;4.5,IF(K124&gt;=100,"SI",IF(K124&gt;=40,"CUIDADO","NO")),IF(AND(M124&lt;5.5,F124&gt;=500,K124&gt;=80),"CUIDADO","NO")))</f>
        <v/>
      </c>
    </row>
    <row r="125" ht="15.75" customHeight="1" s="98">
      <c r="A125" s="5" t="inlineStr">
        <is>
          <t>Balliu</t>
        </is>
      </c>
      <c r="B125" s="5" t="inlineStr">
        <is>
          <t>balliu-tumbona-de-exterior-resina-75-cm-009e68e4</t>
        </is>
      </c>
      <c r="C125" s="5" t="inlineStr">
        <is>
          <t>BALLIU_CARMEN_TUMBONA_CHASIS_PRESTIGE__16A6D4DB</t>
        </is>
      </c>
      <c r="D125" s="6" t="inlineStr">
        <is>
          <t>Tumbona de exterior resina | 75 cm</t>
        </is>
      </c>
      <c r="E125" s="7" t="n">
        <v>96.47</v>
      </c>
      <c r="F125" s="7" t="n">
        <v>188.28</v>
      </c>
      <c r="G125" s="7" t="n">
        <v>59.13</v>
      </c>
      <c r="H125" s="8" t="n">
        <v>38</v>
      </c>
      <c r="I125" s="7" t="n">
        <v>155.6</v>
      </c>
      <c r="J125" s="7" t="n">
        <v>0</v>
      </c>
      <c r="K125" s="7">
        <f>G125-J125</f>
        <v/>
      </c>
      <c r="L125" s="7">
        <f>K125*$L$1</f>
        <v/>
      </c>
      <c r="M125" s="9">
        <f>F125/K125</f>
        <v/>
      </c>
      <c r="N125" s="10">
        <f>IF(M125&lt;3.5,"SI",IF(M125&lt;4.5,IF(K125&gt;=100,"SI",IF(K125&gt;=40,"CUIDADO","NO")),IF(AND(M125&lt;5.5,F125&gt;=500,K125&gt;=80),"CUIDADO","NO")))</f>
        <v/>
      </c>
    </row>
    <row r="126" ht="15.75" customHeight="1" s="98">
      <c r="A126" s="11" t="inlineStr">
        <is>
          <t>Balliu</t>
        </is>
      </c>
      <c r="B126" s="11" t="inlineStr">
        <is>
          <t>balliu-tumbona-de-exterior-resina-75-cm-aca076ae</t>
        </is>
      </c>
      <c r="C126" s="11" t="inlineStr">
        <is>
          <t>BALLIU_LOLA_TUMBONA_CHASIS_BLANCO_TA_3D8CA52F</t>
        </is>
      </c>
      <c r="D126" s="12" t="inlineStr">
        <is>
          <t>Tumbona de exterior resina | 75 cm</t>
        </is>
      </c>
      <c r="E126" s="13" t="n">
        <v>106.97</v>
      </c>
      <c r="F126" s="13" t="n">
        <v>208.76</v>
      </c>
      <c r="G126" s="13" t="n">
        <v>65.56</v>
      </c>
      <c r="H126" s="14" t="n">
        <v>38</v>
      </c>
      <c r="I126" s="13" t="n">
        <v>172.53</v>
      </c>
      <c r="J126" s="13" t="n">
        <v>0</v>
      </c>
      <c r="K126" s="13">
        <f>G126-J126</f>
        <v/>
      </c>
      <c r="L126" s="13">
        <f>K126*$L$1</f>
        <v/>
      </c>
      <c r="M126" s="15">
        <f>F126/K126</f>
        <v/>
      </c>
      <c r="N126" s="10">
        <f>IF(M126&lt;3.5,"SI",IF(M126&lt;4.5,IF(K126&gt;=100,"SI",IF(K126&gt;=40,"CUIDADO","NO")),IF(AND(M126&lt;5.5,F126&gt;=500,K126&gt;=80),"CUIDADO","NO")))</f>
        <v/>
      </c>
    </row>
    <row r="127" ht="15.75" customHeight="1" s="98">
      <c r="A127" s="5" t="inlineStr">
        <is>
          <t>Balliu</t>
        </is>
      </c>
      <c r="B127" s="5" t="inlineStr">
        <is>
          <t>balliu-tumbona-de-exterior-resina-75-cm-aca076ae</t>
        </is>
      </c>
      <c r="C127" s="5" t="inlineStr">
        <is>
          <t>BALLIU_LOLA_TUMBONA_CHASIS_PRESTIGE__9F313C12</t>
        </is>
      </c>
      <c r="D127" s="6" t="inlineStr">
        <is>
          <t>Tumbona de exterior resina | 75 cm</t>
        </is>
      </c>
      <c r="E127" s="7" t="n">
        <v>108.81</v>
      </c>
      <c r="F127" s="7" t="n">
        <v>212.34</v>
      </c>
      <c r="G127" s="7" t="n">
        <v>66.68000000000001</v>
      </c>
      <c r="H127" s="8" t="n">
        <v>38</v>
      </c>
      <c r="I127" s="7" t="n">
        <v>175.49</v>
      </c>
      <c r="J127" s="7" t="n">
        <v>0</v>
      </c>
      <c r="K127" s="7">
        <f>G127-J127</f>
        <v/>
      </c>
      <c r="L127" s="7">
        <f>K127*$L$1</f>
        <v/>
      </c>
      <c r="M127" s="9">
        <f>F127/K127</f>
        <v/>
      </c>
      <c r="N127" s="10">
        <f>IF(M127&lt;3.5,"SI",IF(M127&lt;4.5,IF(K127&gt;=100,"SI",IF(K127&gt;=40,"CUIDADO","NO")),IF(AND(M127&lt;5.5,F127&gt;=500,K127&gt;=80),"CUIDADO","NO")))</f>
        <v/>
      </c>
    </row>
    <row r="128" ht="15.75" customHeight="1" s="98">
      <c r="A128" s="11" t="inlineStr">
        <is>
          <t>Balliu</t>
        </is>
      </c>
      <c r="B128" s="11" t="inlineStr">
        <is>
          <t>balliu-tumbona-de-exterior-resina-75-cm-aca076ae</t>
        </is>
      </c>
      <c r="C128" s="11" t="inlineStr">
        <is>
          <t>BALLIU_LOLA_TUMBONA_CHASIS_BLANCO_TE_ACA076AE</t>
        </is>
      </c>
      <c r="D128" s="12" t="inlineStr">
        <is>
          <t>Tumbona de exterior resina | 75 cm</t>
        </is>
      </c>
      <c r="E128" s="13" t="n">
        <v>93.34</v>
      </c>
      <c r="F128" s="13" t="n">
        <v>182.17</v>
      </c>
      <c r="G128" s="13" t="n">
        <v>57.21</v>
      </c>
      <c r="H128" s="14" t="n">
        <v>38</v>
      </c>
      <c r="I128" s="13" t="n">
        <v>150.55</v>
      </c>
      <c r="J128" s="13" t="n">
        <v>0</v>
      </c>
      <c r="K128" s="13">
        <f>G128-J128</f>
        <v/>
      </c>
      <c r="L128" s="13">
        <f>K128*$L$1</f>
        <v/>
      </c>
      <c r="M128" s="15">
        <f>F128/K128</f>
        <v/>
      </c>
      <c r="N128" s="10">
        <f>IF(M128&lt;3.5,"SI",IF(M128&lt;4.5,IF(K128&gt;=100,"SI",IF(K128&gt;=40,"CUIDADO","NO")),IF(AND(M128&lt;5.5,F128&gt;=500,K128&gt;=80),"CUIDADO","NO")))</f>
        <v/>
      </c>
    </row>
    <row r="129" ht="15.75" customHeight="1" s="98">
      <c r="A129" s="5" t="inlineStr">
        <is>
          <t>Balliu</t>
        </is>
      </c>
      <c r="B129" s="5" t="inlineStr">
        <is>
          <t>balliu-tumbona-de-exterior-resina-75-cm-aca076ae</t>
        </is>
      </c>
      <c r="C129" s="5" t="inlineStr">
        <is>
          <t>BALLIU_LOLA_TUMBONA_CHASIS_PRESTIGE__B52B3A7F</t>
        </is>
      </c>
      <c r="D129" s="6" t="inlineStr">
        <is>
          <t>Tumbona de exterior resina | 75 cm</t>
        </is>
      </c>
      <c r="E129" s="7" t="n">
        <v>96.2</v>
      </c>
      <c r="F129" s="7" t="n">
        <v>187.74</v>
      </c>
      <c r="G129" s="7" t="n">
        <v>58.96</v>
      </c>
      <c r="H129" s="8" t="n">
        <v>38</v>
      </c>
      <c r="I129" s="7" t="n">
        <v>155.16</v>
      </c>
      <c r="J129" s="7" t="n">
        <v>0</v>
      </c>
      <c r="K129" s="7">
        <f>G129-J129</f>
        <v/>
      </c>
      <c r="L129" s="7">
        <f>K129*$L$1</f>
        <v/>
      </c>
      <c r="M129" s="9">
        <f>F129/K129</f>
        <v/>
      </c>
      <c r="N129" s="10">
        <f>IF(M129&lt;3.5,"SI",IF(M129&lt;4.5,IF(K129&gt;=100,"SI",IF(K129&gt;=40,"CUIDADO","NO")),IF(AND(M129&lt;5.5,F129&gt;=500,K129&gt;=80),"CUIDADO","NO")))</f>
        <v/>
      </c>
    </row>
    <row r="130" ht="15.75" customHeight="1" s="98">
      <c r="A130" s="11" t="inlineStr">
        <is>
          <t>Balliu</t>
        </is>
      </c>
      <c r="B130" s="11" t="inlineStr">
        <is>
          <t>balliu-tumbona-de-exterior-resina-73-cm-b19af1ea</t>
        </is>
      </c>
      <c r="C130" s="11" t="inlineStr">
        <is>
          <t>BALLIU_EVA_PRO_TUMBONA_CHASIS_BLANCO_TE_B19AF1EA</t>
        </is>
      </c>
      <c r="D130" s="12" t="inlineStr">
        <is>
          <t>Tumbona de exterior resina | 73 cm</t>
        </is>
      </c>
      <c r="E130" s="13" t="n">
        <v>82.84999999999999</v>
      </c>
      <c r="F130" s="13" t="n">
        <v>161.69</v>
      </c>
      <c r="G130" s="13" t="n">
        <v>50.78</v>
      </c>
      <c r="H130" s="14" t="n">
        <v>38</v>
      </c>
      <c r="I130" s="13" t="n">
        <v>133.63</v>
      </c>
      <c r="J130" s="13" t="n">
        <v>0</v>
      </c>
      <c r="K130" s="13">
        <f>G130-J130</f>
        <v/>
      </c>
      <c r="L130" s="13">
        <f>K130*$L$1</f>
        <v/>
      </c>
      <c r="M130" s="15">
        <f>F130/K130</f>
        <v/>
      </c>
      <c r="N130" s="10">
        <f>IF(M130&lt;3.5,"SI",IF(M130&lt;4.5,IF(K130&gt;=100,"SI",IF(K130&gt;=40,"CUIDADO","NO")),IF(AND(M130&lt;5.5,F130&gt;=500,K130&gt;=80),"CUIDADO","NO")))</f>
        <v/>
      </c>
    </row>
    <row r="131" ht="15.75" customHeight="1" s="98">
      <c r="A131" s="5" t="inlineStr">
        <is>
          <t>Balliu</t>
        </is>
      </c>
      <c r="B131" s="5" t="inlineStr">
        <is>
          <t>balliu-tumbona-de-exterior-resina-73-cm-32a6c0ea</t>
        </is>
      </c>
      <c r="C131" s="5" t="inlineStr">
        <is>
          <t>BALLIU_EVA_PRO_TUMBONA_CHASIS_BLANCO_TA_32A6C0EA</t>
        </is>
      </c>
      <c r="D131" s="6" t="inlineStr">
        <is>
          <t>Tumbona de exterior resina | 73 cm</t>
        </is>
      </c>
      <c r="E131" s="7" t="n">
        <v>89.39</v>
      </c>
      <c r="F131" s="7" t="n">
        <v>174.46</v>
      </c>
      <c r="G131" s="7" t="n">
        <v>54.79</v>
      </c>
      <c r="H131" s="8" t="n">
        <v>38</v>
      </c>
      <c r="I131" s="7" t="n">
        <v>144.18</v>
      </c>
      <c r="J131" s="7" t="n">
        <v>0</v>
      </c>
      <c r="K131" s="7">
        <f>G131-J131</f>
        <v/>
      </c>
      <c r="L131" s="7">
        <f>K131*$L$1</f>
        <v/>
      </c>
      <c r="M131" s="9">
        <f>F131/K131</f>
        <v/>
      </c>
      <c r="N131" s="10">
        <f>IF(M131&lt;3.5,"SI",IF(M131&lt;4.5,IF(K131&gt;=100,"SI",IF(K131&gt;=40,"CUIDADO","NO")),IF(AND(M131&lt;5.5,F131&gt;=500,K131&gt;=80),"CUIDADO","NO")))</f>
        <v/>
      </c>
    </row>
    <row r="132" ht="15.75" customHeight="1" s="98">
      <c r="A132" s="11" t="inlineStr">
        <is>
          <t>Balliu</t>
        </is>
      </c>
      <c r="B132" s="11" t="inlineStr">
        <is>
          <t>balliu-tumbona-de-exterior-resina-73-cm-d369d964</t>
        </is>
      </c>
      <c r="C132" s="11" t="inlineStr">
        <is>
          <t>BALLIU_EVA_RG_TUMBONA_CHASIS_BLANCO_TE_D369D964</t>
        </is>
      </c>
      <c r="D132" s="12" t="inlineStr">
        <is>
          <t>Tumbona de exterior resina | 73 cm</t>
        </is>
      </c>
      <c r="E132" s="13" t="n">
        <v>94.7</v>
      </c>
      <c r="F132" s="13" t="n">
        <v>184.83</v>
      </c>
      <c r="G132" s="13" t="n">
        <v>58.05</v>
      </c>
      <c r="H132" s="14" t="n">
        <v>38</v>
      </c>
      <c r="I132" s="13" t="n">
        <v>152.75</v>
      </c>
      <c r="J132" s="13" t="n">
        <v>0</v>
      </c>
      <c r="K132" s="13">
        <f>G132-J132</f>
        <v/>
      </c>
      <c r="L132" s="13">
        <f>K132*$L$1</f>
        <v/>
      </c>
      <c r="M132" s="15">
        <f>F132/K132</f>
        <v/>
      </c>
      <c r="N132" s="10">
        <f>IF(M132&lt;3.5,"SI",IF(M132&lt;4.5,IF(K132&gt;=100,"SI",IF(K132&gt;=40,"CUIDADO","NO")),IF(AND(M132&lt;5.5,F132&gt;=500,K132&gt;=80),"CUIDADO","NO")))</f>
        <v/>
      </c>
    </row>
    <row r="133" ht="15.75" customHeight="1" s="98">
      <c r="A133" s="5" t="inlineStr">
        <is>
          <t>Balliu</t>
        </is>
      </c>
      <c r="B133" s="5" t="inlineStr">
        <is>
          <t>balliu-tumbona-de-exterior-resina-73-cm-d369d964</t>
        </is>
      </c>
      <c r="C133" s="5" t="inlineStr">
        <is>
          <t>BALLIU_EVA_RG_TUMBONA_CHASIS_ARENA_TEL_D8285FFB</t>
        </is>
      </c>
      <c r="D133" s="6" t="inlineStr">
        <is>
          <t>Tumbona de exterior resina | 73 cm</t>
        </is>
      </c>
      <c r="E133" s="7" t="n">
        <v>98.52</v>
      </c>
      <c r="F133" s="7" t="n">
        <v>192.27</v>
      </c>
      <c r="G133" s="7" t="n">
        <v>60.38</v>
      </c>
      <c r="H133" s="8" t="n">
        <v>38</v>
      </c>
      <c r="I133" s="7" t="n">
        <v>158.9</v>
      </c>
      <c r="J133" s="7" t="n">
        <v>0</v>
      </c>
      <c r="K133" s="7">
        <f>G133-J133</f>
        <v/>
      </c>
      <c r="L133" s="7">
        <f>K133*$L$1</f>
        <v/>
      </c>
      <c r="M133" s="9">
        <f>F133/K133</f>
        <v/>
      </c>
      <c r="N133" s="10">
        <f>IF(M133&lt;3.5,"SI",IF(M133&lt;4.5,IF(K133&gt;=100,"SI",IF(K133&gt;=40,"CUIDADO","NO")),IF(AND(M133&lt;5.5,F133&gt;=500,K133&gt;=80),"CUIDADO","NO")))</f>
        <v/>
      </c>
    </row>
    <row r="134" ht="15.75" customHeight="1" s="98">
      <c r="A134" s="11" t="inlineStr">
        <is>
          <t>Balliu</t>
        </is>
      </c>
      <c r="B134" s="11" t="inlineStr">
        <is>
          <t>balliu-tumbona-de-exterior-resina-73-cm-0648657b</t>
        </is>
      </c>
      <c r="C134" s="11" t="inlineStr">
        <is>
          <t>BALLIU_EVA_RTG_TUMBONA_CHASIS_BLANCO_TA_0648657B</t>
        </is>
      </c>
      <c r="D134" s="12" t="inlineStr">
        <is>
          <t>Tumbona de exterior resina | 73 cm</t>
        </is>
      </c>
      <c r="E134" s="13" t="n">
        <v>97.43000000000001</v>
      </c>
      <c r="F134" s="13" t="n">
        <v>190.14</v>
      </c>
      <c r="G134" s="13" t="n">
        <v>59.71</v>
      </c>
      <c r="H134" s="14" t="n">
        <v>38</v>
      </c>
      <c r="I134" s="13" t="n">
        <v>157.14</v>
      </c>
      <c r="J134" s="13" t="n">
        <v>0</v>
      </c>
      <c r="K134" s="13">
        <f>G134-J134</f>
        <v/>
      </c>
      <c r="L134" s="13">
        <f>K134*$L$1</f>
        <v/>
      </c>
      <c r="M134" s="15">
        <f>F134/K134</f>
        <v/>
      </c>
      <c r="N134" s="10">
        <f>IF(M134&lt;3.5,"SI",IF(M134&lt;4.5,IF(K134&gt;=100,"SI",IF(K134&gt;=40,"CUIDADO","NO")),IF(AND(M134&lt;5.5,F134&gt;=500,K134&gt;=80),"CUIDADO","NO")))</f>
        <v/>
      </c>
    </row>
    <row r="135" ht="15.75" customHeight="1" s="98">
      <c r="A135" s="5" t="inlineStr">
        <is>
          <t>Balliu</t>
        </is>
      </c>
      <c r="B135" s="5" t="inlineStr">
        <is>
          <t>balliu-tumbona-de-exterior-resina-28ff014d</t>
        </is>
      </c>
      <c r="C135" s="5" t="inlineStr">
        <is>
          <t>BALLIU_NOA_TUMBONA_CHASIS_BLANCO_TE_28FF014D</t>
        </is>
      </c>
      <c r="D135" s="6" t="inlineStr">
        <is>
          <t>Tumbona de exterior resina</t>
        </is>
      </c>
      <c r="E135" s="7" t="n">
        <v>215.24</v>
      </c>
      <c r="F135" s="7" t="n">
        <v>400.68</v>
      </c>
      <c r="G135" s="7" t="n">
        <v>115.9</v>
      </c>
      <c r="H135" s="8" t="n">
        <v>35</v>
      </c>
      <c r="I135" s="7" t="n">
        <v>331.14</v>
      </c>
      <c r="J135" s="7" t="n">
        <v>0</v>
      </c>
      <c r="K135" s="7">
        <f>G135-J135</f>
        <v/>
      </c>
      <c r="L135" s="7">
        <f>K135*$L$1</f>
        <v/>
      </c>
      <c r="M135" s="9">
        <f>F135/K135</f>
        <v/>
      </c>
      <c r="N135" s="10">
        <f>IF(M135&lt;3.5,"SI",IF(M135&lt;4.5,IF(K135&gt;=100,"SI",IF(K135&gt;=40,"CUIDADO","NO")),IF(AND(M135&lt;5.5,F135&gt;=500,K135&gt;=80),"CUIDADO","NO")))</f>
        <v/>
      </c>
    </row>
    <row r="136" ht="15.75" customHeight="1" s="98">
      <c r="A136" s="11" t="inlineStr">
        <is>
          <t>Balliu</t>
        </is>
      </c>
      <c r="B136" s="11" t="inlineStr">
        <is>
          <t>balliu-tumbona-de-exterior-resina-28ff014d</t>
        </is>
      </c>
      <c r="C136" s="11" t="inlineStr">
        <is>
          <t>BALLIU_NOA_TUMBONA_CHASIS_PRESTIGE__E5BE2A33</t>
        </is>
      </c>
      <c r="D136" s="12" t="inlineStr">
        <is>
          <t>Tumbona de exterior resina</t>
        </is>
      </c>
      <c r="E136" s="13" t="n">
        <v>225.25</v>
      </c>
      <c r="F136" s="13" t="n">
        <v>419.31</v>
      </c>
      <c r="G136" s="13" t="n">
        <v>121.29</v>
      </c>
      <c r="H136" s="14" t="n">
        <v>35</v>
      </c>
      <c r="I136" s="13" t="n">
        <v>346.54</v>
      </c>
      <c r="J136" s="13" t="n">
        <v>0</v>
      </c>
      <c r="K136" s="13">
        <f>G136-J136</f>
        <v/>
      </c>
      <c r="L136" s="13">
        <f>K136*$L$1</f>
        <v/>
      </c>
      <c r="M136" s="15">
        <f>F136/K136</f>
        <v/>
      </c>
      <c r="N136" s="10">
        <f>IF(M136&lt;3.5,"SI",IF(M136&lt;4.5,IF(K136&gt;=100,"SI",IF(K136&gt;=40,"CUIDADO","NO")),IF(AND(M136&lt;5.5,F136&gt;=500,K136&gt;=80),"CUIDADO","NO")))</f>
        <v/>
      </c>
    </row>
    <row r="137" ht="15.75" customHeight="1" s="98">
      <c r="A137" s="5" t="inlineStr">
        <is>
          <t>Balliu</t>
        </is>
      </c>
      <c r="B137" s="5" t="inlineStr">
        <is>
          <t>balliu-tumbona-de-exterior-sin-ruedas-aluminio-da3f5c24</t>
        </is>
      </c>
      <c r="C137" s="5" t="inlineStr">
        <is>
          <t>BALLIU_OLIMPIA_TUMBONA_SIN_RUEDAS_DA3F5C24</t>
        </is>
      </c>
      <c r="D137" s="6" t="inlineStr">
        <is>
          <t>Tumbona de exterior sin ruedas aluminio</t>
        </is>
      </c>
      <c r="E137" s="7" t="n">
        <v>287.64</v>
      </c>
      <c r="F137" s="7" t="n">
        <v>535.45</v>
      </c>
      <c r="G137" s="7" t="n">
        <v>154.88</v>
      </c>
      <c r="H137" s="8" t="n">
        <v>35</v>
      </c>
      <c r="I137" s="7" t="n">
        <v>442.52</v>
      </c>
      <c r="J137" s="7" t="n">
        <v>0</v>
      </c>
      <c r="K137" s="7">
        <f>G137-J137</f>
        <v/>
      </c>
      <c r="L137" s="7">
        <f>K137*$L$1</f>
        <v/>
      </c>
      <c r="M137" s="9">
        <f>F137/K137</f>
        <v/>
      </c>
      <c r="N137" s="10">
        <f>IF(M137&lt;3.5,"SI",IF(M137&lt;4.5,IF(K137&gt;=100,"SI",IF(K137&gt;=40,"CUIDADO","NO")),IF(AND(M137&lt;5.5,F137&gt;=500,K137&gt;=80),"CUIDADO","NO")))</f>
        <v/>
      </c>
    </row>
    <row r="138" ht="15.75" customHeight="1" s="98">
      <c r="A138" s="11" t="inlineStr">
        <is>
          <t>Balliu</t>
        </is>
      </c>
      <c r="B138" s="11" t="inlineStr">
        <is>
          <t>balliu-tumbona-de-exterior-sin-ruedas-aluminio-da3f5c24</t>
        </is>
      </c>
      <c r="C138" s="11" t="inlineStr">
        <is>
          <t>BALLIU_OLIMPIA_TUMBONA_CON_RUEDAS_82D4D0A8</t>
        </is>
      </c>
      <c r="D138" s="12" t="inlineStr">
        <is>
          <t>Tumbona de exterior con ruedas aluminio</t>
        </is>
      </c>
      <c r="E138" s="13" t="n">
        <v>315.63</v>
      </c>
      <c r="F138" s="13" t="n">
        <v>587.5599999999999</v>
      </c>
      <c r="G138" s="13" t="n">
        <v>169.96</v>
      </c>
      <c r="H138" s="14" t="n">
        <v>35</v>
      </c>
      <c r="I138" s="13" t="n">
        <v>485.59</v>
      </c>
      <c r="J138" s="13" t="n">
        <v>0</v>
      </c>
      <c r="K138" s="13">
        <f>G138-J138</f>
        <v/>
      </c>
      <c r="L138" s="13">
        <f>K138*$L$1</f>
        <v/>
      </c>
      <c r="M138" s="15">
        <f>F138/K138</f>
        <v/>
      </c>
      <c r="N138" s="10">
        <f>IF(M138&lt;3.5,"SI",IF(M138&lt;4.5,IF(K138&gt;=100,"SI",IF(K138&gt;=40,"CUIDADO","NO")),IF(AND(M138&lt;5.5,F138&gt;=500,K138&gt;=80),"CUIDADO","NO")))</f>
        <v/>
      </c>
    </row>
    <row r="139" ht="15.75" customHeight="1" s="98">
      <c r="A139" s="5" t="inlineStr">
        <is>
          <t>Balliu</t>
        </is>
      </c>
      <c r="B139" s="5" t="inlineStr">
        <is>
          <t>balliu-tumbona-de-exterior-aluminio-36870d09</t>
        </is>
      </c>
      <c r="C139" s="5" t="inlineStr">
        <is>
          <t>BALLIU_ETNA_TUMBONA_TELA_BALLIU_36870D09</t>
        </is>
      </c>
      <c r="D139" s="6" t="inlineStr">
        <is>
          <t>Tumbona de exterior aluminio</t>
        </is>
      </c>
      <c r="E139" s="7" t="n">
        <v>229.08</v>
      </c>
      <c r="F139" s="7" t="n">
        <v>426.44</v>
      </c>
      <c r="G139" s="7" t="n">
        <v>123.35</v>
      </c>
      <c r="H139" s="8" t="n">
        <v>35</v>
      </c>
      <c r="I139" s="7" t="n">
        <v>352.43</v>
      </c>
      <c r="J139" s="7" t="n">
        <v>0</v>
      </c>
      <c r="K139" s="7">
        <f>G139-J139</f>
        <v/>
      </c>
      <c r="L139" s="7">
        <f>K139*$L$1</f>
        <v/>
      </c>
      <c r="M139" s="9">
        <f>F139/K139</f>
        <v/>
      </c>
      <c r="N139" s="10">
        <f>IF(M139&lt;3.5,"SI",IF(M139&lt;4.5,IF(K139&gt;=100,"SI",IF(K139&gt;=40,"CUIDADO","NO")),IF(AND(M139&lt;5.5,F139&gt;=500,K139&gt;=80),"CUIDADO","NO")))</f>
        <v/>
      </c>
    </row>
    <row r="140" ht="15.75" customHeight="1" s="98">
      <c r="A140" s="11" t="inlineStr">
        <is>
          <t>Balliu</t>
        </is>
      </c>
      <c r="B140" s="11" t="inlineStr">
        <is>
          <t>balliu-tumbona-de-exterior-aluminio-36870d09</t>
        </is>
      </c>
      <c r="C140" s="11" t="inlineStr">
        <is>
          <t>BALLIU_ETNA_TUMBONA_TELA_BALLIU_CON__AFBA154C</t>
        </is>
      </c>
      <c r="D140" s="12" t="inlineStr">
        <is>
          <t>Tumbona de exterior con ruedas aluminio</t>
        </is>
      </c>
      <c r="E140" s="13" t="n">
        <v>252.74</v>
      </c>
      <c r="F140" s="13" t="n">
        <v>470.48</v>
      </c>
      <c r="G140" s="13" t="n">
        <v>136.09</v>
      </c>
      <c r="H140" s="14" t="n">
        <v>35</v>
      </c>
      <c r="I140" s="13" t="n">
        <v>388.83</v>
      </c>
      <c r="J140" s="13" t="n">
        <v>0</v>
      </c>
      <c r="K140" s="13">
        <f>G140-J140</f>
        <v/>
      </c>
      <c r="L140" s="13">
        <f>K140*$L$1</f>
        <v/>
      </c>
      <c r="M140" s="15">
        <f>F140/K140</f>
        <v/>
      </c>
      <c r="N140" s="10">
        <f>IF(M140&lt;3.5,"SI",IF(M140&lt;4.5,IF(K140&gt;=100,"SI",IF(K140&gt;=40,"CUIDADO","NO")),IF(AND(M140&lt;5.5,F140&gt;=500,K140&gt;=80),"CUIDADO","NO")))</f>
        <v/>
      </c>
    </row>
    <row r="141" ht="15.75" customHeight="1" s="98">
      <c r="A141" s="5" t="inlineStr">
        <is>
          <t>Balliu</t>
        </is>
      </c>
      <c r="B141" s="5" t="inlineStr">
        <is>
          <t>balliu-tumbona-de-exterior-aluminio-d08586c1</t>
        </is>
      </c>
      <c r="C141" s="5" t="inlineStr">
        <is>
          <t>BALLIU_ETNA_ALTA_TUMBONA_AL_TELA_BALLIU_D08586C1</t>
        </is>
      </c>
      <c r="D141" s="6" t="inlineStr">
        <is>
          <t>Tumbona de exterior aluminio</t>
        </is>
      </c>
      <c r="E141" s="7" t="n">
        <v>248.76</v>
      </c>
      <c r="F141" s="7" t="n">
        <v>463.07</v>
      </c>
      <c r="G141" s="7" t="n">
        <v>133.94</v>
      </c>
      <c r="H141" s="8" t="n">
        <v>35</v>
      </c>
      <c r="I141" s="7" t="n">
        <v>382.7</v>
      </c>
      <c r="J141" s="7" t="n">
        <v>0</v>
      </c>
      <c r="K141" s="7">
        <f>G141-J141</f>
        <v/>
      </c>
      <c r="L141" s="7">
        <f>K141*$L$1</f>
        <v/>
      </c>
      <c r="M141" s="9">
        <f>F141/K141</f>
        <v/>
      </c>
      <c r="N141" s="10">
        <f>IF(M141&lt;3.5,"SI",IF(M141&lt;4.5,IF(K141&gt;=100,"SI",IF(K141&gt;=40,"CUIDADO","NO")),IF(AND(M141&lt;5.5,F141&gt;=500,K141&gt;=80),"CUIDADO","NO")))</f>
        <v/>
      </c>
    </row>
    <row r="142" ht="15.75" customHeight="1" s="98">
      <c r="A142" s="11" t="inlineStr">
        <is>
          <t>Balliu</t>
        </is>
      </c>
      <c r="B142" s="11" t="inlineStr">
        <is>
          <t>balliu-tumbona-de-exterior-aluminio-d08586c1</t>
        </is>
      </c>
      <c r="C142" s="11" t="inlineStr">
        <is>
          <t>BALLIU_ETNA_ALTA_TUMBONA_AL_TELA_BALLIU_CON__9E0F219D</t>
        </is>
      </c>
      <c r="D142" s="12" t="inlineStr">
        <is>
          <t>Tumbona de exterior con ruedas aluminio</t>
        </is>
      </c>
      <c r="E142" s="13" t="n">
        <v>266.56</v>
      </c>
      <c r="F142" s="13" t="n">
        <v>496.21</v>
      </c>
      <c r="G142" s="13" t="n">
        <v>143.53</v>
      </c>
      <c r="H142" s="14" t="n">
        <v>35</v>
      </c>
      <c r="I142" s="13" t="n">
        <v>410.09</v>
      </c>
      <c r="J142" s="13" t="n">
        <v>0</v>
      </c>
      <c r="K142" s="13">
        <f>G142-J142</f>
        <v/>
      </c>
      <c r="L142" s="13">
        <f>K142*$L$1</f>
        <v/>
      </c>
      <c r="M142" s="15">
        <f>F142/K142</f>
        <v/>
      </c>
      <c r="N142" s="10">
        <f>IF(M142&lt;3.5,"SI",IF(M142&lt;4.5,IF(K142&gt;=100,"SI",IF(K142&gt;=40,"CUIDADO","NO")),IF(AND(M142&lt;5.5,F142&gt;=500,K142&gt;=80),"CUIDADO","NO")))</f>
        <v/>
      </c>
    </row>
    <row r="143" ht="15.75" customHeight="1" s="98">
      <c r="A143" s="5" t="inlineStr">
        <is>
          <t>Balliu</t>
        </is>
      </c>
      <c r="B143" s="5" t="inlineStr">
        <is>
          <t>balliu-tumbona-de-exterior-con-ruedas-aluminio-58-cm-9064b7b9</t>
        </is>
      </c>
      <c r="C143" s="5" t="inlineStr">
        <is>
          <t>BALLIU_IRIS_TUMBONA_CON_RUEDAS_9064B7B9</t>
        </is>
      </c>
      <c r="D143" s="6" t="inlineStr">
        <is>
          <t>Tumbona de exterior con ruedas aluminio | 58 cm</t>
        </is>
      </c>
      <c r="E143" s="7" t="n">
        <v>337.77</v>
      </c>
      <c r="F143" s="7" t="n">
        <v>628.76</v>
      </c>
      <c r="G143" s="7" t="n">
        <v>181.87</v>
      </c>
      <c r="H143" s="8" t="n">
        <v>35</v>
      </c>
      <c r="I143" s="7" t="n">
        <v>519.64</v>
      </c>
      <c r="J143" s="7" t="n">
        <v>0</v>
      </c>
      <c r="K143" s="7">
        <f>G143-J143</f>
        <v/>
      </c>
      <c r="L143" s="7">
        <f>K143*$L$1</f>
        <v/>
      </c>
      <c r="M143" s="9">
        <f>F143/K143</f>
        <v/>
      </c>
      <c r="N143" s="10">
        <f>IF(M143&lt;3.5,"SI",IF(M143&lt;4.5,IF(K143&gt;=100,"SI",IF(K143&gt;=40,"CUIDADO","NO")),IF(AND(M143&lt;5.5,F143&gt;=500,K143&gt;=80),"CUIDADO","NO")))</f>
        <v/>
      </c>
    </row>
    <row r="144" ht="15.75" customHeight="1" s="98">
      <c r="A144" s="11" t="inlineStr">
        <is>
          <t>Balliu</t>
        </is>
      </c>
      <c r="B144" s="11" t="inlineStr">
        <is>
          <t>balliu-tumbona-de-exterior-aluminio-68-cm-f7ab4da8</t>
        </is>
      </c>
      <c r="C144" s="11" t="inlineStr">
        <is>
          <t>BALLIU_MARINA_TUMBONA_TELA_BALLIU_F7AB4DA8</t>
        </is>
      </c>
      <c r="D144" s="12" t="inlineStr">
        <is>
          <t>Tumbona de exterior aluminio | 68 cm</t>
        </is>
      </c>
      <c r="E144" s="13" t="n">
        <v>173.92</v>
      </c>
      <c r="F144" s="13" t="n">
        <v>323.76</v>
      </c>
      <c r="G144" s="13" t="n">
        <v>93.65000000000001</v>
      </c>
      <c r="H144" s="14" t="n">
        <v>35</v>
      </c>
      <c r="I144" s="13" t="n">
        <v>267.57</v>
      </c>
      <c r="J144" s="13" t="n">
        <v>0</v>
      </c>
      <c r="K144" s="13">
        <f>G144-J144</f>
        <v/>
      </c>
      <c r="L144" s="13">
        <f>K144*$L$1</f>
        <v/>
      </c>
      <c r="M144" s="15">
        <f>F144/K144</f>
        <v/>
      </c>
      <c r="N144" s="10">
        <f>IF(M144&lt;3.5,"SI",IF(M144&lt;4.5,IF(K144&gt;=100,"SI",IF(K144&gt;=40,"CUIDADO","NO")),IF(AND(M144&lt;5.5,F144&gt;=500,K144&gt;=80),"CUIDADO","NO")))</f>
        <v/>
      </c>
    </row>
    <row r="145" ht="15.75" customHeight="1" s="98">
      <c r="A145" s="5" t="inlineStr">
        <is>
          <t>Balliu</t>
        </is>
      </c>
      <c r="B145" s="5" t="inlineStr">
        <is>
          <t>balliu-tumbona-de-exterior-20620134</t>
        </is>
      </c>
      <c r="C145" s="5" t="inlineStr">
        <is>
          <t>BALLIU_ALBA_TUMBONA_TELA_BALLIU_20620134</t>
        </is>
      </c>
      <c r="D145" s="6" t="inlineStr">
        <is>
          <t>Tumbona de exterior</t>
        </is>
      </c>
      <c r="E145" s="7" t="n">
        <v>226.62</v>
      </c>
      <c r="F145" s="7" t="n">
        <v>421.87</v>
      </c>
      <c r="G145" s="7" t="n">
        <v>122.03</v>
      </c>
      <c r="H145" s="8" t="n">
        <v>35</v>
      </c>
      <c r="I145" s="7" t="n">
        <v>348.65</v>
      </c>
      <c r="J145" s="7" t="n">
        <v>0</v>
      </c>
      <c r="K145" s="7">
        <f>G145-J145</f>
        <v/>
      </c>
      <c r="L145" s="7">
        <f>K145*$L$1</f>
        <v/>
      </c>
      <c r="M145" s="9">
        <f>F145/K145</f>
        <v/>
      </c>
      <c r="N145" s="10">
        <f>IF(M145&lt;3.5,"SI",IF(M145&lt;4.5,IF(K145&gt;=100,"SI",IF(K145&gt;=40,"CUIDADO","NO")),IF(AND(M145&lt;5.5,F145&gt;=500,K145&gt;=80),"CUIDADO","NO")))</f>
        <v/>
      </c>
    </row>
    <row r="146" ht="15.75" customHeight="1" s="98">
      <c r="A146" s="11" t="inlineStr">
        <is>
          <t>Balliu</t>
        </is>
      </c>
      <c r="B146" s="11" t="inlineStr">
        <is>
          <t>balliu-mini-tumbona-de-exterior-aluminio-62-cm-5a6f53eb</t>
        </is>
      </c>
      <c r="C146" s="11" t="inlineStr">
        <is>
          <t>BALLIU_CANNES_MINI_TUMBONA_MINI_TUMBONA_CAN_5A6F53EB</t>
        </is>
      </c>
      <c r="D146" s="12" t="inlineStr">
        <is>
          <t>Mini tumbona de exterior aluminio | 62 cm</t>
        </is>
      </c>
      <c r="E146" s="13" t="n">
        <v>140.89</v>
      </c>
      <c r="F146" s="13" t="n">
        <v>262.28</v>
      </c>
      <c r="G146" s="13" t="n">
        <v>75.87</v>
      </c>
      <c r="H146" s="14" t="n">
        <v>35</v>
      </c>
      <c r="I146" s="13" t="n">
        <v>216.76</v>
      </c>
      <c r="J146" s="13" t="n">
        <v>0</v>
      </c>
      <c r="K146" s="13">
        <f>G146-J146</f>
        <v/>
      </c>
      <c r="L146" s="13">
        <f>K146*$L$1</f>
        <v/>
      </c>
      <c r="M146" s="15">
        <f>F146/K146</f>
        <v/>
      </c>
      <c r="N146" s="10">
        <f>IF(M146&lt;3.5,"SI",IF(M146&lt;4.5,IF(K146&gt;=100,"SI",IF(K146&gt;=40,"CUIDADO","NO")),IF(AND(M146&lt;5.5,F146&gt;=500,K146&gt;=80),"CUIDADO","NO")))</f>
        <v/>
      </c>
    </row>
    <row r="147" ht="15.75" customHeight="1" s="98">
      <c r="A147" s="5" t="inlineStr">
        <is>
          <t>Balliu</t>
        </is>
      </c>
      <c r="B147" s="5" t="inlineStr">
        <is>
          <t>balliu-mini-tumbona-de-exterior-madera-59-cm-fa211c70</t>
        </is>
      </c>
      <c r="C147" s="5" t="inlineStr">
        <is>
          <t>BALLIU_BRISTOL_MINI_TUMBONA_MINI_TUMBONA_BRI_FA211C70</t>
        </is>
      </c>
      <c r="D147" s="6" t="inlineStr">
        <is>
          <t>Mini tumbona de exterior madera | 59 cm</t>
        </is>
      </c>
      <c r="E147" s="7" t="n">
        <v>139.67</v>
      </c>
      <c r="F147" s="7" t="n">
        <v>304.51</v>
      </c>
      <c r="G147" s="7" t="n">
        <v>111.99</v>
      </c>
      <c r="H147" s="8" t="n">
        <v>44.5</v>
      </c>
      <c r="I147" s="7" t="n">
        <v>251.66</v>
      </c>
      <c r="J147" s="7" t="n">
        <v>0</v>
      </c>
      <c r="K147" s="7">
        <f>G147-J147</f>
        <v/>
      </c>
      <c r="L147" s="7">
        <f>K147*$L$1</f>
        <v/>
      </c>
      <c r="M147" s="9">
        <f>F147/K147</f>
        <v/>
      </c>
      <c r="N147" s="10">
        <f>IF(M147&lt;3.5,"SI",IF(M147&lt;4.5,IF(K147&gt;=100,"SI",IF(K147&gt;=40,"CUIDADO","NO")),IF(AND(M147&lt;5.5,F147&gt;=500,K147&gt;=80),"CUIDADO","NO")))</f>
        <v/>
      </c>
    </row>
    <row r="148" ht="15.75" customHeight="1" s="98">
      <c r="A148" s="11" t="inlineStr">
        <is>
          <t>Balliu</t>
        </is>
      </c>
      <c r="B148" s="11" t="inlineStr">
        <is>
          <t>balliu-mini-tumbona-de-exterior-aluminio-57-cm-98ab84ce</t>
        </is>
      </c>
      <c r="C148" s="11" t="inlineStr">
        <is>
          <t>BALLIU_MARINA_MINI_TUMBONA_MINI_TUMBONA_MAR_98AB84CE</t>
        </is>
      </c>
      <c r="D148" s="12" t="inlineStr">
        <is>
          <t>Mini tumbona de exterior aluminio | 57 cm</t>
        </is>
      </c>
      <c r="E148" s="13" t="n">
        <v>114.6</v>
      </c>
      <c r="F148" s="13" t="n">
        <v>213.34</v>
      </c>
      <c r="G148" s="13" t="n">
        <v>61.71</v>
      </c>
      <c r="H148" s="14" t="n">
        <v>35</v>
      </c>
      <c r="I148" s="13" t="n">
        <v>176.31</v>
      </c>
      <c r="J148" s="13" t="n">
        <v>0</v>
      </c>
      <c r="K148" s="13">
        <f>G148-J148</f>
        <v/>
      </c>
      <c r="L148" s="13">
        <f>K148*$L$1</f>
        <v/>
      </c>
      <c r="M148" s="15">
        <f>F148/K148</f>
        <v/>
      </c>
      <c r="N148" s="10">
        <f>IF(M148&lt;3.5,"SI",IF(M148&lt;4.5,IF(K148&gt;=100,"SI",IF(K148&gt;=40,"CUIDADO","NO")),IF(AND(M148&lt;5.5,F148&gt;=500,K148&gt;=80),"CUIDADO","NO")))</f>
        <v/>
      </c>
    </row>
    <row r="149" ht="15.75" customHeight="1" s="98">
      <c r="A149" s="5" t="inlineStr">
        <is>
          <t>Balliu</t>
        </is>
      </c>
      <c r="B149" s="5" t="inlineStr">
        <is>
          <t>balliu-cama-balinesa-exterior-aluminio-estilo-sofisticado-160-cm-2bd3a7a4</t>
        </is>
      </c>
      <c r="C149" s="5" t="inlineStr">
        <is>
          <t>BALLIU_AURA_CAMA_BALINESA_TELA_NAUTICA_2BD3A7A4</t>
        </is>
      </c>
      <c r="D149" s="6" t="inlineStr">
        <is>
          <t>Cama balinesa exterior aluminio · estilo sofisticado | 160 cm</t>
        </is>
      </c>
      <c r="E149" s="7" t="n">
        <v>1073.61</v>
      </c>
      <c r="F149" s="7" t="n">
        <v>1998.57</v>
      </c>
      <c r="G149" s="7" t="n">
        <v>578.1</v>
      </c>
      <c r="H149" s="8" t="n">
        <v>35</v>
      </c>
      <c r="I149" s="7" t="n">
        <v>1651.71</v>
      </c>
      <c r="J149" s="7" t="n">
        <v>0</v>
      </c>
      <c r="K149" s="7">
        <f>G149-J149</f>
        <v/>
      </c>
      <c r="L149" s="7">
        <f>K149*$L$1</f>
        <v/>
      </c>
      <c r="M149" s="9">
        <f>F149/K149</f>
        <v/>
      </c>
      <c r="N149" s="10">
        <f>IF(M149&lt;3.5,"SI",IF(M149&lt;4.5,IF(K149&gt;=100,"SI",IF(K149&gt;=40,"CUIDADO","NO")),IF(AND(M149&lt;5.5,F149&gt;=500,K149&gt;=80),"CUIDADO","NO")))</f>
        <v/>
      </c>
    </row>
    <row r="150" ht="15.75" customHeight="1" s="98">
      <c r="A150" s="11" t="inlineStr">
        <is>
          <t>Balliu</t>
        </is>
      </c>
      <c r="B150" s="11" t="inlineStr">
        <is>
          <t>balliu-cama-balinesa-exterior-aluminio-estilo-minimalista-198-cm-dcaf71d8</t>
        </is>
      </c>
      <c r="C150" s="11" t="inlineStr">
        <is>
          <t>BALLIU_ALMA_CAMA_BALINESA_TELA_NAUTICA_DCAF71D8</t>
        </is>
      </c>
      <c r="D150" s="12" t="inlineStr">
        <is>
          <t>Cama balinesa exterior aluminio · estilo minimalista | 198 cm</t>
        </is>
      </c>
      <c r="E150" s="13" t="n">
        <v>1510.81</v>
      </c>
      <c r="F150" s="13" t="n">
        <v>2812.43</v>
      </c>
      <c r="G150" s="13" t="n">
        <v>813.51</v>
      </c>
      <c r="H150" s="14" t="n">
        <v>35</v>
      </c>
      <c r="I150" s="13" t="n">
        <v>2324.32</v>
      </c>
      <c r="J150" s="13" t="n">
        <v>0</v>
      </c>
      <c r="K150" s="13">
        <f>G150-J150</f>
        <v/>
      </c>
      <c r="L150" s="13">
        <f>K150*$L$1</f>
        <v/>
      </c>
      <c r="M150" s="15">
        <f>F150/K150</f>
        <v/>
      </c>
      <c r="N150" s="10">
        <f>IF(M150&lt;3.5,"SI",IF(M150&lt;4.5,IF(K150&gt;=100,"SI",IF(K150&gt;=40,"CUIDADO","NO")),IF(AND(M150&lt;5.5,F150&gt;=500,K150&gt;=80),"CUIDADO","NO")))</f>
        <v/>
      </c>
    </row>
    <row r="151" ht="15.75" customHeight="1" s="98">
      <c r="A151" s="5" t="inlineStr">
        <is>
          <t>Balliu</t>
        </is>
      </c>
      <c r="B151" s="5" t="inlineStr">
        <is>
          <t>balliu-taburete-exterior-aluminio-estilo-elegante-56-cm-a66b4a0a</t>
        </is>
      </c>
      <c r="C151" s="5" t="inlineStr">
        <is>
          <t>BALLIU_ETNA_SILLA_TABURETE_ETNA_AL_A66B4A0A</t>
        </is>
      </c>
      <c r="D151" s="6" t="inlineStr">
        <is>
          <t>Taburete exterior aluminio · estilo elegante | 56 cm</t>
        </is>
      </c>
      <c r="E151" s="7" t="n">
        <v>100.25</v>
      </c>
      <c r="F151" s="7" t="n">
        <v>186.62</v>
      </c>
      <c r="G151" s="7" t="n">
        <v>53.98</v>
      </c>
      <c r="H151" s="8" t="n">
        <v>35</v>
      </c>
      <c r="I151" s="7" t="n">
        <v>154.23</v>
      </c>
      <c r="J151" s="7" t="n">
        <v>0</v>
      </c>
      <c r="K151" s="7">
        <f>G151-J151</f>
        <v/>
      </c>
      <c r="L151" s="7">
        <f>K151*$L$1</f>
        <v/>
      </c>
      <c r="M151" s="9">
        <f>F151/K151</f>
        <v/>
      </c>
      <c r="N151" s="10">
        <f>IF(M151&lt;3.5,"SI",IF(M151&lt;4.5,IF(K151&gt;=100,"SI",IF(K151&gt;=40,"CUIDADO","NO")),IF(AND(M151&lt;5.5,F151&gt;=500,K151&gt;=80),"CUIDADO","NO")))</f>
        <v/>
      </c>
    </row>
    <row r="152" ht="15.75" customHeight="1" s="98">
      <c r="A152" s="11" t="inlineStr">
        <is>
          <t>Balliu</t>
        </is>
      </c>
      <c r="B152" s="11" t="inlineStr">
        <is>
          <t>balliu-silla-exterior-con-brazos-aluminio-estilo-elegante-56-cm-5c88bd77</t>
        </is>
      </c>
      <c r="C152" s="11" t="inlineStr">
        <is>
          <t>BALLIU_ETNA_SILLA_CON_BRAZOS_5C88BD77</t>
        </is>
      </c>
      <c r="D152" s="12" t="inlineStr">
        <is>
          <t>Silla exterior con brazos aluminio · estilo elegante | 56 cm</t>
        </is>
      </c>
      <c r="E152" s="13" t="n">
        <v>97.70999999999999</v>
      </c>
      <c r="F152" s="13" t="n">
        <v>181.89</v>
      </c>
      <c r="G152" s="13" t="n">
        <v>52.61</v>
      </c>
      <c r="H152" s="14" t="n">
        <v>35</v>
      </c>
      <c r="I152" s="13" t="n">
        <v>150.32</v>
      </c>
      <c r="J152" s="13" t="n">
        <v>0</v>
      </c>
      <c r="K152" s="13">
        <f>G152-J152</f>
        <v/>
      </c>
      <c r="L152" s="13">
        <f>K152*$L$1</f>
        <v/>
      </c>
      <c r="M152" s="15">
        <f>F152/K152</f>
        <v/>
      </c>
      <c r="N152" s="10">
        <f>IF(M152&lt;3.5,"SI",IF(M152&lt;4.5,IF(K152&gt;=100,"SI",IF(K152&gt;=40,"CUIDADO","NO")),IF(AND(M152&lt;5.5,F152&gt;=500,K152&gt;=80),"CUIDADO","NO")))</f>
        <v/>
      </c>
    </row>
    <row r="153" ht="15.75" customHeight="1" s="98">
      <c r="A153" s="5" t="inlineStr">
        <is>
          <t>Balliu</t>
        </is>
      </c>
      <c r="B153" s="5" t="inlineStr">
        <is>
          <t>balliu-silla-exterior-con-brazos-aluminio-estilo-elegante-56-cm-eaf4a34a</t>
        </is>
      </c>
      <c r="C153" s="5" t="inlineStr">
        <is>
          <t>BALLIU_ETNA_SILLA_ALTA_CON_BRAZOS_EAF4A34A</t>
        </is>
      </c>
      <c r="D153" s="6" t="inlineStr">
        <is>
          <t>Silla exterior con brazos aluminio · estilo elegante | 56 cm</t>
        </is>
      </c>
      <c r="E153" s="7" t="n">
        <v>102.17</v>
      </c>
      <c r="F153" s="7" t="n">
        <v>190.2</v>
      </c>
      <c r="G153" s="7" t="n">
        <v>55.02</v>
      </c>
      <c r="H153" s="8" t="n">
        <v>35</v>
      </c>
      <c r="I153" s="7" t="n">
        <v>157.19</v>
      </c>
      <c r="J153" s="7" t="n">
        <v>0</v>
      </c>
      <c r="K153" s="7">
        <f>G153-J153</f>
        <v/>
      </c>
      <c r="L153" s="7">
        <f>K153*$L$1</f>
        <v/>
      </c>
      <c r="M153" s="9">
        <f>F153/K153</f>
        <v/>
      </c>
      <c r="N153" s="10">
        <f>IF(M153&lt;3.5,"SI",IF(M153&lt;4.5,IF(K153&gt;=100,"SI",IF(K153&gt;=40,"CUIDADO","NO")),IF(AND(M153&lt;5.5,F153&gt;=500,K153&gt;=80),"CUIDADO","NO")))</f>
        <v/>
      </c>
    </row>
    <row r="154" ht="15.75" customHeight="1" s="98">
      <c r="A154" s="11" t="inlineStr">
        <is>
          <t>Balliu</t>
        </is>
      </c>
      <c r="B154" s="11" t="inlineStr">
        <is>
          <t>balliu-silla-exterior-resina-estilo-minimalista-484cbea0</t>
        </is>
      </c>
      <c r="C154" s="11" t="inlineStr">
        <is>
          <t>BALLIU_DUNA_SILLA_BLANCA_484CBEA0</t>
        </is>
      </c>
      <c r="D154" s="12" t="inlineStr">
        <is>
          <t>Silla exterior resina · estilo minimalista</t>
        </is>
      </c>
      <c r="E154" s="13" t="n">
        <v>41.58</v>
      </c>
      <c r="F154" s="13" t="n">
        <v>77.39</v>
      </c>
      <c r="G154" s="13" t="n">
        <v>22.38</v>
      </c>
      <c r="H154" s="14" t="n">
        <v>34.99</v>
      </c>
      <c r="I154" s="13" t="n">
        <v>63.96</v>
      </c>
      <c r="J154" s="13" t="n">
        <v>0</v>
      </c>
      <c r="K154" s="13">
        <f>G154-J154</f>
        <v/>
      </c>
      <c r="L154" s="13">
        <f>K154*$L$1</f>
        <v/>
      </c>
      <c r="M154" s="15">
        <f>F154/K154</f>
        <v/>
      </c>
      <c r="N154" s="10">
        <f>IF(M154&lt;3.5,"SI",IF(M154&lt;4.5,IF(K154&gt;=100,"SI",IF(K154&gt;=40,"CUIDADO","NO")),IF(AND(M154&lt;5.5,F154&gt;=500,K154&gt;=80),"CUIDADO","NO")))</f>
        <v/>
      </c>
    </row>
    <row r="155" ht="15.75" customHeight="1" s="98">
      <c r="A155" s="5" t="inlineStr">
        <is>
          <t>Balliu</t>
        </is>
      </c>
      <c r="B155" s="5" t="inlineStr">
        <is>
          <t>balliu-silla-exterior-resina-estilo-minimalista-484cbea0</t>
        </is>
      </c>
      <c r="C155" s="5" t="inlineStr">
        <is>
          <t>BALLIU_DUNA_SILLA_COLOR_NEGRO_TORT_611D28CC</t>
        </is>
      </c>
      <c r="D155" s="6" t="inlineStr">
        <is>
          <t>Silla exterior resina · estilo minimalista</t>
        </is>
      </c>
      <c r="E155" s="7" t="n">
        <v>43.92</v>
      </c>
      <c r="F155" s="7" t="n">
        <v>81.76000000000001</v>
      </c>
      <c r="G155" s="7" t="n">
        <v>23.65</v>
      </c>
      <c r="H155" s="8" t="n">
        <v>35</v>
      </c>
      <c r="I155" s="7" t="n">
        <v>67.56999999999999</v>
      </c>
      <c r="J155" s="7" t="n">
        <v>0</v>
      </c>
      <c r="K155" s="7">
        <f>G155-J155</f>
        <v/>
      </c>
      <c r="L155" s="7">
        <f>K155*$L$1</f>
        <v/>
      </c>
      <c r="M155" s="9">
        <f>F155/K155</f>
        <v/>
      </c>
      <c r="N155" s="10">
        <f>IF(M155&lt;3.5,"SI",IF(M155&lt;4.5,IF(K155&gt;=100,"SI",IF(K155&gt;=40,"CUIDADO","NO")),IF(AND(M155&lt;5.5,F155&gt;=500,K155&gt;=80),"CUIDADO","NO")))</f>
        <v/>
      </c>
    </row>
    <row r="156" ht="15.75" customHeight="1" s="98">
      <c r="A156" s="11" t="inlineStr">
        <is>
          <t>Balliu</t>
        </is>
      </c>
      <c r="B156" s="11" t="inlineStr">
        <is>
          <t>balliu-silla-exterior-resina-estilo-clasico-57-cm-8164cc65</t>
        </is>
      </c>
      <c r="C156" s="11" t="inlineStr">
        <is>
          <t>BALLIU_BIMBA_SILLA_BLANCA_8164CC65</t>
        </is>
      </c>
      <c r="D156" s="12" t="inlineStr">
        <is>
          <t>Silla exterior resina · estilo clásico | 57 cm</t>
        </is>
      </c>
      <c r="E156" s="13" t="n">
        <v>54.81</v>
      </c>
      <c r="F156" s="13" t="n">
        <v>102.03</v>
      </c>
      <c r="G156" s="13" t="n">
        <v>29.51</v>
      </c>
      <c r="H156" s="14" t="n">
        <v>35</v>
      </c>
      <c r="I156" s="13" t="n">
        <v>84.31999999999999</v>
      </c>
      <c r="J156" s="13" t="n">
        <v>0</v>
      </c>
      <c r="K156" s="13">
        <f>G156-J156</f>
        <v/>
      </c>
      <c r="L156" s="13">
        <f>K156*$L$1</f>
        <v/>
      </c>
      <c r="M156" s="15">
        <f>F156/K156</f>
        <v/>
      </c>
      <c r="N156" s="10">
        <f>IF(M156&lt;3.5,"SI",IF(M156&lt;4.5,IF(K156&gt;=100,"SI",IF(K156&gt;=40,"CUIDADO","NO")),IF(AND(M156&lt;5.5,F156&gt;=500,K156&gt;=80),"CUIDADO","NO")))</f>
        <v/>
      </c>
    </row>
    <row r="157" ht="15.75" customHeight="1" s="98">
      <c r="A157" s="5" t="inlineStr">
        <is>
          <t>Balliu</t>
        </is>
      </c>
      <c r="B157" s="5" t="inlineStr">
        <is>
          <t>balliu-silla-exterior-resina-estilo-clasico-57-cm-8164cc65</t>
        </is>
      </c>
      <c r="C157" s="5" t="inlineStr">
        <is>
          <t>BALLIU_BIMBA_SILLA_NEGRA_5F329445</t>
        </is>
      </c>
      <c r="D157" s="6" t="inlineStr">
        <is>
          <t>Silla exterior resina · estilo clásico | 57 cm</t>
        </is>
      </c>
      <c r="E157" s="7" t="n">
        <v>55.63</v>
      </c>
      <c r="F157" s="7" t="n">
        <v>103.56</v>
      </c>
      <c r="G157" s="7" t="n">
        <v>29.96</v>
      </c>
      <c r="H157" s="8" t="n">
        <v>35</v>
      </c>
      <c r="I157" s="7" t="n">
        <v>85.59</v>
      </c>
      <c r="J157" s="7" t="n">
        <v>0</v>
      </c>
      <c r="K157" s="7">
        <f>G157-J157</f>
        <v/>
      </c>
      <c r="L157" s="7">
        <f>K157*$L$1</f>
        <v/>
      </c>
      <c r="M157" s="9">
        <f>F157/K157</f>
        <v/>
      </c>
      <c r="N157" s="10">
        <f>IF(M157&lt;3.5,"SI",IF(M157&lt;4.5,IF(K157&gt;=100,"SI",IF(K157&gt;=40,"CUIDADO","NO")),IF(AND(M157&lt;5.5,F157&gt;=500,K157&gt;=80),"CUIDADO","NO")))</f>
        <v/>
      </c>
    </row>
    <row r="158" ht="15.75" customHeight="1" s="98">
      <c r="A158" s="11" t="inlineStr">
        <is>
          <t>Balliu</t>
        </is>
      </c>
      <c r="B158" s="11" t="inlineStr">
        <is>
          <t>balliu-silla-exterior-resina-estilo-funcional-0b607ec7</t>
        </is>
      </c>
      <c r="C158" s="11" t="inlineStr">
        <is>
          <t>BALLIU_SELVA_SILLA_BLANCA_0B607EC7</t>
        </is>
      </c>
      <c r="D158" s="12" t="inlineStr">
        <is>
          <t>Silla exterior resina · estilo funcional</t>
        </is>
      </c>
      <c r="E158" s="13" t="n">
        <v>17.17</v>
      </c>
      <c r="F158" s="13" t="n">
        <v>33.5</v>
      </c>
      <c r="G158" s="13" t="n">
        <v>10.52</v>
      </c>
      <c r="H158" s="14" t="n">
        <v>37.99</v>
      </c>
      <c r="I158" s="13" t="n">
        <v>27.69</v>
      </c>
      <c r="J158" s="13" t="n">
        <v>0</v>
      </c>
      <c r="K158" s="13">
        <f>G158-J158</f>
        <v/>
      </c>
      <c r="L158" s="13">
        <f>K158*$L$1</f>
        <v/>
      </c>
      <c r="M158" s="15">
        <f>F158/K158</f>
        <v/>
      </c>
      <c r="N158" s="10">
        <f>IF(M158&lt;3.5,"SI",IF(M158&lt;4.5,IF(K158&gt;=100,"SI",IF(K158&gt;=40,"CUIDADO","NO")),IF(AND(M158&lt;5.5,F158&gt;=500,K158&gt;=80),"CUIDADO","NO")))</f>
        <v/>
      </c>
    </row>
    <row r="159" ht="15.75" customHeight="1" s="98">
      <c r="A159" s="5" t="inlineStr">
        <is>
          <t>Balliu</t>
        </is>
      </c>
      <c r="B159" s="5" t="inlineStr">
        <is>
          <t>balliu-silla-exterior-resina-estilo-funcional-0b607ec7</t>
        </is>
      </c>
      <c r="C159" s="5" t="inlineStr">
        <is>
          <t>BALLIU_SELVA_SILLA_COLOR_5FDA60B0</t>
        </is>
      </c>
      <c r="D159" s="6" t="inlineStr">
        <is>
          <t>Silla exterior resina · estilo funcional</t>
        </is>
      </c>
      <c r="E159" s="7" t="n">
        <v>20.77</v>
      </c>
      <c r="F159" s="7" t="n">
        <v>40.52</v>
      </c>
      <c r="G159" s="7" t="n">
        <v>12.72</v>
      </c>
      <c r="H159" s="8" t="n">
        <v>37.98</v>
      </c>
      <c r="I159" s="7" t="n">
        <v>33.49</v>
      </c>
      <c r="J159" s="7" t="n">
        <v>0</v>
      </c>
      <c r="K159" s="7">
        <f>G159-J159</f>
        <v/>
      </c>
      <c r="L159" s="7">
        <f>K159*$L$1</f>
        <v/>
      </c>
      <c r="M159" s="9">
        <f>F159/K159</f>
        <v/>
      </c>
      <c r="N159" s="10">
        <f>IF(M159&lt;3.5,"SI",IF(M159&lt;4.5,IF(K159&gt;=100,"SI",IF(K159&gt;=40,"CUIDADO","NO")),IF(AND(M159&lt;5.5,F159&gt;=500,K159&gt;=80),"CUIDADO","NO")))</f>
        <v/>
      </c>
    </row>
    <row r="160" ht="15.75" customHeight="1" s="98">
      <c r="A160" s="11" t="inlineStr">
        <is>
          <t>Balliu</t>
        </is>
      </c>
      <c r="B160" s="11" t="inlineStr">
        <is>
          <t>balliu-silla-exterior-sin-brazos-resina-estilo-contemporaneo-49-cm-af080e9c</t>
        </is>
      </c>
      <c r="C160" s="11" t="inlineStr">
        <is>
          <t>BALLIU_BRUNA_SILLA_SIN_BRAZOS_AF080E9C</t>
        </is>
      </c>
      <c r="D160" s="12" t="inlineStr">
        <is>
          <t>Silla exterior sin brazos resina · estilo contemporáneo | 49 cm</t>
        </is>
      </c>
      <c r="E160" s="13" t="n">
        <v>43.89</v>
      </c>
      <c r="F160" s="13" t="n">
        <v>70.81</v>
      </c>
      <c r="G160" s="13" t="n">
        <v>14.63</v>
      </c>
      <c r="H160" s="14" t="n">
        <v>25</v>
      </c>
      <c r="I160" s="13" t="n">
        <v>58.52</v>
      </c>
      <c r="J160" s="13" t="n">
        <v>0</v>
      </c>
      <c r="K160" s="13">
        <f>G160-J160</f>
        <v/>
      </c>
      <c r="L160" s="13">
        <f>K160*$L$1</f>
        <v/>
      </c>
      <c r="M160" s="15">
        <f>F160/K160</f>
        <v/>
      </c>
      <c r="N160" s="10">
        <f>IF(M160&lt;3.5,"SI",IF(M160&lt;4.5,IF(K160&gt;=100,"SI",IF(K160&gt;=40,"CUIDADO","NO")),IF(AND(M160&lt;5.5,F160&gt;=500,K160&gt;=80),"CUIDADO","NO")))</f>
        <v/>
      </c>
    </row>
    <row r="161" ht="15.75" customHeight="1" s="98">
      <c r="A161" s="5" t="inlineStr">
        <is>
          <t>Balliu</t>
        </is>
      </c>
      <c r="B161" s="5" t="inlineStr">
        <is>
          <t>balliu-silla-exterior-sin-brazos-resina-estilo-contemporaneo-49-cm-af080e9c</t>
        </is>
      </c>
      <c r="C161" s="5" t="inlineStr">
        <is>
          <t>BALLIU_BRUNA_SILLA_CON_BRAZOS_D52BECC5</t>
        </is>
      </c>
      <c r="D161" s="6" t="inlineStr">
        <is>
          <t>Silla exterior con brazos resina · estilo contemporáneo | 49 cm</t>
        </is>
      </c>
      <c r="E161" s="7" t="n">
        <v>52.19</v>
      </c>
      <c r="F161" s="7" t="n">
        <v>84.19</v>
      </c>
      <c r="G161" s="7" t="n">
        <v>17.39</v>
      </c>
      <c r="H161" s="8" t="n">
        <v>24.99</v>
      </c>
      <c r="I161" s="7" t="n">
        <v>69.58</v>
      </c>
      <c r="J161" s="7" t="n">
        <v>0</v>
      </c>
      <c r="K161" s="7">
        <f>G161-J161</f>
        <v/>
      </c>
      <c r="L161" s="7">
        <f>K161*$L$1</f>
        <v/>
      </c>
      <c r="M161" s="9">
        <f>F161/K161</f>
        <v/>
      </c>
      <c r="N161" s="10">
        <f>IF(M161&lt;3.5,"SI",IF(M161&lt;4.5,IF(K161&gt;=100,"SI",IF(K161&gt;=40,"CUIDADO","NO")),IF(AND(M161&lt;5.5,F161&gt;=500,K161&gt;=80),"CUIDADO","NO")))</f>
        <v/>
      </c>
    </row>
    <row r="162" ht="15.75" customHeight="1" s="98">
      <c r="A162" s="11" t="inlineStr">
        <is>
          <t>Balliu</t>
        </is>
      </c>
      <c r="B162" s="11" t="inlineStr">
        <is>
          <t>balliu-silla-exterior-sin-brazos-resina-estilo-funcional-daabcdaf</t>
        </is>
      </c>
      <c r="C162" s="11" t="inlineStr">
        <is>
          <t>BALLIU_VERA_SILLA_SIN_BRAZOS_DAABCDAF</t>
        </is>
      </c>
      <c r="D162" s="12" t="inlineStr">
        <is>
          <t>Silla exterior sin brazos resina · estilo funcional</t>
        </is>
      </c>
      <c r="E162" s="13" t="n">
        <v>48.33</v>
      </c>
      <c r="F162" s="13" t="n">
        <v>77.97</v>
      </c>
      <c r="G162" s="13" t="n">
        <v>16.11</v>
      </c>
      <c r="H162" s="14" t="n">
        <v>25</v>
      </c>
      <c r="I162" s="13" t="n">
        <v>64.44</v>
      </c>
      <c r="J162" s="13" t="n">
        <v>0</v>
      </c>
      <c r="K162" s="13">
        <f>G162-J162</f>
        <v/>
      </c>
      <c r="L162" s="13">
        <f>K162*$L$1</f>
        <v/>
      </c>
      <c r="M162" s="15">
        <f>F162/K162</f>
        <v/>
      </c>
      <c r="N162" s="10">
        <f>IF(M162&lt;3.5,"SI",IF(M162&lt;4.5,IF(K162&gt;=100,"SI",IF(K162&gt;=40,"CUIDADO","NO")),IF(AND(M162&lt;5.5,F162&gt;=500,K162&gt;=80),"CUIDADO","NO")))</f>
        <v/>
      </c>
    </row>
    <row r="163" ht="15.75" customHeight="1" s="98">
      <c r="A163" s="5" t="inlineStr">
        <is>
          <t>Balliu</t>
        </is>
      </c>
      <c r="B163" s="5" t="inlineStr">
        <is>
          <t>balliu-silla-exterior-sin-brazos-resina-estilo-funcional-daabcdaf</t>
        </is>
      </c>
      <c r="C163" s="5" t="inlineStr">
        <is>
          <t>BALLIU_VERA_SILLA_CON_BRAZOS_75353330</t>
        </is>
      </c>
      <c r="D163" s="6" t="inlineStr">
        <is>
          <t>Silla exterior con brazos resina · estilo funcional</t>
        </is>
      </c>
      <c r="E163" s="7" t="n">
        <v>49.44</v>
      </c>
      <c r="F163" s="7" t="n">
        <v>79.76000000000001</v>
      </c>
      <c r="G163" s="7" t="n">
        <v>16.48</v>
      </c>
      <c r="H163" s="8" t="n">
        <v>25</v>
      </c>
      <c r="I163" s="7" t="n">
        <v>65.92</v>
      </c>
      <c r="J163" s="7" t="n">
        <v>0</v>
      </c>
      <c r="K163" s="7">
        <f>G163-J163</f>
        <v/>
      </c>
      <c r="L163" s="7">
        <f>K163*$L$1</f>
        <v/>
      </c>
      <c r="M163" s="9">
        <f>F163/K163</f>
        <v/>
      </c>
      <c r="N163" s="10">
        <f>IF(M163&lt;3.5,"SI",IF(M163&lt;4.5,IF(K163&gt;=100,"SI",IF(K163&gt;=40,"CUIDADO","NO")),IF(AND(M163&lt;5.5,F163&gt;=500,K163&gt;=80),"CUIDADO","NO")))</f>
        <v/>
      </c>
    </row>
    <row r="164" ht="15.75" customHeight="1" s="98">
      <c r="A164" s="11" t="inlineStr">
        <is>
          <t>Balliu</t>
        </is>
      </c>
      <c r="B164" s="11" t="inlineStr">
        <is>
          <t>balliu-silla-exterior-sin-brazos-resina-estilo-funcional-daabcdaf</t>
        </is>
      </c>
      <c r="C164" s="11" t="inlineStr">
        <is>
          <t>BALLIU_VERA_SILLA_L_CON_BRAZOS_51F30794</t>
        </is>
      </c>
      <c r="D164" s="12" t="inlineStr">
        <is>
          <t>Silla exterior con brazos resina · estilo funcional</t>
        </is>
      </c>
      <c r="E164" s="13" t="n">
        <v>71.33</v>
      </c>
      <c r="F164" s="13" t="n">
        <v>115.08</v>
      </c>
      <c r="G164" s="13" t="n">
        <v>23.78</v>
      </c>
      <c r="H164" s="14" t="n">
        <v>25</v>
      </c>
      <c r="I164" s="13" t="n">
        <v>95.11</v>
      </c>
      <c r="J164" s="13" t="n">
        <v>0</v>
      </c>
      <c r="K164" s="13">
        <f>G164-J164</f>
        <v/>
      </c>
      <c r="L164" s="13">
        <f>K164*$L$1</f>
        <v/>
      </c>
      <c r="M164" s="15">
        <f>F164/K164</f>
        <v/>
      </c>
      <c r="N164" s="10">
        <f>IF(M164&lt;3.5,"SI",IF(M164&lt;4.5,IF(K164&gt;=100,"SI",IF(K164&gt;=40,"CUIDADO","NO")),IF(AND(M164&lt;5.5,F164&gt;=500,K164&gt;=80),"CUIDADO","NO")))</f>
        <v/>
      </c>
    </row>
    <row r="165" ht="15.75" customHeight="1" s="98">
      <c r="A165" s="5" t="inlineStr">
        <is>
          <t>Balliu</t>
        </is>
      </c>
      <c r="B165" s="5" t="inlineStr">
        <is>
          <t>balliu-silla-exterior-sin-brazos-estilo-contemporaneo-53-cm-cd07e7d6</t>
        </is>
      </c>
      <c r="C165" s="5" t="inlineStr">
        <is>
          <t>BALLIU_SILLA_VENUS_SIN_BRAZOS_CD07E7D6</t>
        </is>
      </c>
      <c r="D165" s="6" t="inlineStr">
        <is>
          <t>Silla exterior sin brazos · estilo contemporáneo | 53 cm</t>
        </is>
      </c>
      <c r="E165" s="7" t="n">
        <v>40.56</v>
      </c>
      <c r="F165" s="7" t="n">
        <v>65.42</v>
      </c>
      <c r="G165" s="7" t="n">
        <v>13.51</v>
      </c>
      <c r="H165" s="8" t="n">
        <v>24.99</v>
      </c>
      <c r="I165" s="7" t="n">
        <v>54.07</v>
      </c>
      <c r="J165" s="7" t="n">
        <v>0</v>
      </c>
      <c r="K165" s="7">
        <f>G165-J165</f>
        <v/>
      </c>
      <c r="L165" s="7">
        <f>K165*$L$1</f>
        <v/>
      </c>
      <c r="M165" s="9">
        <f>F165/K165</f>
        <v/>
      </c>
      <c r="N165" s="10">
        <f>IF(M165&lt;3.5,"SI",IF(M165&lt;4.5,IF(K165&gt;=100,"SI",IF(K165&gt;=40,"CUIDADO","NO")),IF(AND(M165&lt;5.5,F165&gt;=500,K165&gt;=80),"CUIDADO","NO")))</f>
        <v/>
      </c>
    </row>
    <row r="166" ht="15.75" customHeight="1" s="98">
      <c r="A166" s="11" t="inlineStr">
        <is>
          <t>Balliu</t>
        </is>
      </c>
      <c r="B166" s="11" t="inlineStr">
        <is>
          <t>balliu-silla-exterior-con-brazos-estilo-contemporaneo-53-cm-c654c52f</t>
        </is>
      </c>
      <c r="C166" s="11" t="inlineStr">
        <is>
          <t>BALLIU_SILLA_VENUS_CON_BRAZOS_C654C52F</t>
        </is>
      </c>
      <c r="D166" s="12" t="inlineStr">
        <is>
          <t>Silla exterior con brazos · estilo contemporáneo | 53 cm</t>
        </is>
      </c>
      <c r="E166" s="13" t="n">
        <v>43.83</v>
      </c>
      <c r="F166" s="13" t="n">
        <v>70.70999999999999</v>
      </c>
      <c r="G166" s="13" t="n">
        <v>14.61</v>
      </c>
      <c r="H166" s="14" t="n">
        <v>25</v>
      </c>
      <c r="I166" s="13" t="n">
        <v>58.44</v>
      </c>
      <c r="J166" s="13" t="n">
        <v>0</v>
      </c>
      <c r="K166" s="13">
        <f>G166-J166</f>
        <v/>
      </c>
      <c r="L166" s="13">
        <f>K166*$L$1</f>
        <v/>
      </c>
      <c r="M166" s="15">
        <f>F166/K166</f>
        <v/>
      </c>
      <c r="N166" s="10">
        <f>IF(M166&lt;3.5,"SI",IF(M166&lt;4.5,IF(K166&gt;=100,"SI",IF(K166&gt;=40,"CUIDADO","NO")),IF(AND(M166&lt;5.5,F166&gt;=500,K166&gt;=80),"CUIDADO","NO")))</f>
        <v/>
      </c>
    </row>
    <row r="167" ht="15.75" customHeight="1" s="98">
      <c r="A167" s="5" t="inlineStr">
        <is>
          <t>Balliu</t>
        </is>
      </c>
      <c r="B167" s="5" t="inlineStr">
        <is>
          <t>balliu-silla-exterior-con-brazos-resina-estilo-funcional-94b6e5b5-2</t>
        </is>
      </c>
      <c r="C167" s="5" t="inlineStr">
        <is>
          <t>BALLIU_BRUNA_SILLA_CON_BRAZ_94B6E5B5</t>
        </is>
      </c>
      <c r="D167" s="6" t="inlineStr">
        <is>
          <t>Silla exterior con brazos resina · estilo funcional</t>
        </is>
      </c>
      <c r="E167" s="7" t="n">
        <v>55.51</v>
      </c>
      <c r="F167" s="7" t="n">
        <v>89.55</v>
      </c>
      <c r="G167" s="7" t="n">
        <v>18.5</v>
      </c>
      <c r="H167" s="8" t="n">
        <v>25</v>
      </c>
      <c r="I167" s="7" t="n">
        <v>74.01000000000001</v>
      </c>
      <c r="J167" s="7" t="n">
        <v>0</v>
      </c>
      <c r="K167" s="7">
        <f>G167-J167</f>
        <v/>
      </c>
      <c r="L167" s="7">
        <f>K167*$L$1</f>
        <v/>
      </c>
      <c r="M167" s="9">
        <f>F167/K167</f>
        <v/>
      </c>
      <c r="N167" s="10">
        <f>IF(M167&lt;3.5,"SI",IF(M167&lt;4.5,IF(K167&gt;=100,"SI",IF(K167&gt;=40,"CUIDADO","NO")),IF(AND(M167&lt;5.5,F167&gt;=500,K167&gt;=80),"CUIDADO","NO")))</f>
        <v/>
      </c>
    </row>
    <row r="168" ht="15.75" customHeight="1" s="98">
      <c r="A168" s="11" t="inlineStr">
        <is>
          <t>Balliu</t>
        </is>
      </c>
      <c r="B168" s="11" t="inlineStr">
        <is>
          <t>balliu-silla-exterior-con-brazos-aluminio-estilo-elegante-58-cm-bc0c02ec</t>
        </is>
      </c>
      <c r="C168" s="11" t="inlineStr">
        <is>
          <t>BALLIU_MILA_SILLA_CON_BRAZOS_BC0C02EC</t>
        </is>
      </c>
      <c r="D168" s="12" t="inlineStr">
        <is>
          <t>Silla exterior con brazos aluminio · estilo elegante | 58 cm</t>
        </is>
      </c>
      <c r="E168" s="13" t="n">
        <v>60.67</v>
      </c>
      <c r="F168" s="13" t="n">
        <v>97.88</v>
      </c>
      <c r="G168" s="13" t="n">
        <v>20.22</v>
      </c>
      <c r="H168" s="14" t="n">
        <v>25</v>
      </c>
      <c r="I168" s="13" t="n">
        <v>80.89</v>
      </c>
      <c r="J168" s="13" t="n">
        <v>0</v>
      </c>
      <c r="K168" s="13">
        <f>G168-J168</f>
        <v/>
      </c>
      <c r="L168" s="13">
        <f>K168*$L$1</f>
        <v/>
      </c>
      <c r="M168" s="15">
        <f>F168/K168</f>
        <v/>
      </c>
      <c r="N168" s="10">
        <f>IF(M168&lt;3.5,"SI",IF(M168&lt;4.5,IF(K168&gt;=100,"SI",IF(K168&gt;=40,"CUIDADO","NO")),IF(AND(M168&lt;5.5,F168&gt;=500,K168&gt;=80),"CUIDADO","NO")))</f>
        <v/>
      </c>
    </row>
    <row r="169" ht="15.75" customHeight="1" s="98">
      <c r="A169" s="5" t="inlineStr">
        <is>
          <t>Balliu</t>
        </is>
      </c>
      <c r="B169" s="5" t="inlineStr">
        <is>
          <t>balliu-silla-exterior-con-brazos-resina-estilo-funcional-94b6e5b5-2</t>
        </is>
      </c>
      <c r="C169" s="5" t="inlineStr">
        <is>
          <t>BALLIU_BRUNA_SILLA_CON_BRAZ_94B6E5B5</t>
        </is>
      </c>
      <c r="D169" s="6" t="inlineStr">
        <is>
          <t>Silla exterior con brazos resina · estilo funcional</t>
        </is>
      </c>
      <c r="E169" s="7" t="n">
        <v>122.56</v>
      </c>
      <c r="F169" s="7" t="n">
        <v>197.73</v>
      </c>
      <c r="G169" s="7" t="n">
        <v>40.85</v>
      </c>
      <c r="H169" s="8" t="n">
        <v>25</v>
      </c>
      <c r="I169" s="7" t="n">
        <v>163.41</v>
      </c>
      <c r="J169" s="7" t="n">
        <v>0</v>
      </c>
      <c r="K169" s="7">
        <f>G169-J169</f>
        <v/>
      </c>
      <c r="L169" s="7">
        <f>K169*$L$1</f>
        <v/>
      </c>
      <c r="M169" s="9">
        <f>F169/K169</f>
        <v/>
      </c>
      <c r="N169" s="10">
        <f>IF(M169&lt;3.5,"SI",IF(M169&lt;4.5,IF(K169&gt;=100,"SI",IF(K169&gt;=40,"CUIDADO","NO")),IF(AND(M169&lt;5.5,F169&gt;=500,K169&gt;=80),"CUIDADO","NO")))</f>
        <v/>
      </c>
    </row>
    <row r="170" ht="15.75" customHeight="1" s="98">
      <c r="A170" s="11" t="inlineStr">
        <is>
          <t>Balliu</t>
        </is>
      </c>
      <c r="B170" s="11" t="inlineStr">
        <is>
          <t>balliu-silla-exterior-aluminio-estilo-contemporaneo-afd89221</t>
        </is>
      </c>
      <c r="C170" s="11" t="inlineStr">
        <is>
          <t>BALLIU_GRETA_SILLA_ALUMINIO_AFD89221</t>
        </is>
      </c>
      <c r="D170" s="12" t="inlineStr">
        <is>
          <t>Silla exterior aluminio · estilo contemporáneo</t>
        </is>
      </c>
      <c r="E170" s="13" t="n">
        <v>96.11</v>
      </c>
      <c r="F170" s="13" t="n">
        <v>155.06</v>
      </c>
      <c r="G170" s="13" t="n">
        <v>32.04</v>
      </c>
      <c r="H170" s="14" t="n">
        <v>25</v>
      </c>
      <c r="I170" s="13" t="n">
        <v>128.15</v>
      </c>
      <c r="J170" s="13" t="n">
        <v>0</v>
      </c>
      <c r="K170" s="13">
        <f>G170-J170</f>
        <v/>
      </c>
      <c r="L170" s="13">
        <f>K170*$L$1</f>
        <v/>
      </c>
      <c r="M170" s="15">
        <f>F170/K170</f>
        <v/>
      </c>
      <c r="N170" s="10">
        <f>IF(M170&lt;3.5,"SI",IF(M170&lt;4.5,IF(K170&gt;=100,"SI",IF(K170&gt;=40,"CUIDADO","NO")),IF(AND(M170&lt;5.5,F170&gt;=500,K170&gt;=80),"CUIDADO","NO")))</f>
        <v/>
      </c>
    </row>
    <row r="171" ht="15.75" customHeight="1" s="98">
      <c r="A171" s="5" t="inlineStr">
        <is>
          <t>Balliu</t>
        </is>
      </c>
      <c r="B171" s="5" t="inlineStr">
        <is>
          <t>balliu-mesa-exterior-aluminio-9e30ca7f</t>
        </is>
      </c>
      <c r="C171" s="5" t="inlineStr">
        <is>
          <t>BALLIU_GRETA_MESA_TABLERO_ALUMINIO_9E30CA7F</t>
        </is>
      </c>
      <c r="D171" s="6" t="inlineStr">
        <is>
          <t>Mesa exterior aluminio</t>
        </is>
      </c>
      <c r="E171" s="7" t="n">
        <v>67.33</v>
      </c>
      <c r="F171" s="7" t="n">
        <v>108.63</v>
      </c>
      <c r="G171" s="7" t="n">
        <v>22.45</v>
      </c>
      <c r="H171" s="8" t="n">
        <v>25.01</v>
      </c>
      <c r="I171" s="7" t="n">
        <v>89.78</v>
      </c>
      <c r="J171" s="7" t="n">
        <v>0</v>
      </c>
      <c r="K171" s="7">
        <f>G171-J171</f>
        <v/>
      </c>
      <c r="L171" s="7">
        <f>K171*$L$1</f>
        <v/>
      </c>
      <c r="M171" s="9">
        <f>F171/K171</f>
        <v/>
      </c>
      <c r="N171" s="10">
        <f>IF(M171&lt;3.5,"SI",IF(M171&lt;4.5,IF(K171&gt;=100,"SI",IF(K171&gt;=40,"CUIDADO","NO")),IF(AND(M171&lt;5.5,F171&gt;=500,K171&gt;=80),"CUIDADO","NO")))</f>
        <v/>
      </c>
    </row>
    <row r="172" ht="15.75" customHeight="1" s="98">
      <c r="A172" s="11" t="inlineStr">
        <is>
          <t>Balliu</t>
        </is>
      </c>
      <c r="B172" s="11" t="inlineStr">
        <is>
          <t>balliu-mesa-exterior-5d0fb586</t>
        </is>
      </c>
      <c r="C172" s="11" t="inlineStr">
        <is>
          <t>BALLIU_MINI_MESA_COLOR_BLANCO_5D0FB586</t>
        </is>
      </c>
      <c r="D172" s="12" t="inlineStr">
        <is>
          <t>Mesa exterior</t>
        </is>
      </c>
      <c r="E172" s="13" t="n">
        <v>14.17</v>
      </c>
      <c r="F172" s="13" t="n">
        <v>27.66</v>
      </c>
      <c r="G172" s="13" t="n">
        <v>8.69</v>
      </c>
      <c r="H172" s="14" t="n">
        <v>38.01</v>
      </c>
      <c r="I172" s="13" t="n">
        <v>22.86</v>
      </c>
      <c r="J172" s="13" t="n">
        <v>0</v>
      </c>
      <c r="K172" s="13">
        <f>G172-J172</f>
        <v/>
      </c>
      <c r="L172" s="13">
        <f>K172*$L$1</f>
        <v/>
      </c>
      <c r="M172" s="15">
        <f>F172/K172</f>
        <v/>
      </c>
      <c r="N172" s="10">
        <f>IF(M172&lt;3.5,"SI",IF(M172&lt;4.5,IF(K172&gt;=100,"SI",IF(K172&gt;=40,"CUIDADO","NO")),IF(AND(M172&lt;5.5,F172&gt;=500,K172&gt;=80),"CUIDADO","NO")))</f>
        <v/>
      </c>
    </row>
    <row r="173" ht="15.75" customHeight="1" s="98">
      <c r="A173" s="5" t="inlineStr">
        <is>
          <t>Balliu</t>
        </is>
      </c>
      <c r="B173" s="5" t="inlineStr">
        <is>
          <t>balliu-mesa-exterior-1cf4d3d5</t>
        </is>
      </c>
      <c r="C173" s="5" t="inlineStr">
        <is>
          <t>BALLIU_MINI_MESA_COLOR_NATURAL_PR_1CF4D3D5</t>
        </is>
      </c>
      <c r="D173" s="6" t="inlineStr">
        <is>
          <t>Mesa exterior</t>
        </is>
      </c>
      <c r="E173" s="7" t="n">
        <v>14.95</v>
      </c>
      <c r="F173" s="7" t="n">
        <v>29.17</v>
      </c>
      <c r="G173" s="7" t="n">
        <v>9.16</v>
      </c>
      <c r="H173" s="8" t="n">
        <v>37.99</v>
      </c>
      <c r="I173" s="7" t="n">
        <v>24.11</v>
      </c>
      <c r="J173" s="7" t="n">
        <v>0</v>
      </c>
      <c r="K173" s="7">
        <f>G173-J173</f>
        <v/>
      </c>
      <c r="L173" s="7">
        <f>K173*$L$1</f>
        <v/>
      </c>
      <c r="M173" s="9">
        <f>F173/K173</f>
        <v/>
      </c>
      <c r="N173" s="10">
        <f>IF(M173&lt;3.5,"SI",IF(M173&lt;4.5,IF(K173&gt;=100,"SI",IF(K173&gt;=40,"CUIDADO","NO")),IF(AND(M173&lt;5.5,F173&gt;=500,K173&gt;=80),"CUIDADO","NO")))</f>
        <v/>
      </c>
    </row>
    <row r="174" ht="15.75" customHeight="1" s="98">
      <c r="A174" s="11" t="inlineStr">
        <is>
          <t>Balliu</t>
        </is>
      </c>
      <c r="B174" s="11" t="inlineStr">
        <is>
          <t>balliu-mesa-auxiliar-exterior-resina-48-cm-de421a42</t>
        </is>
      </c>
      <c r="C174" s="11" t="inlineStr">
        <is>
          <t>BALLIU_EVA_PRO_MINI_MESA_AU_COLOR_BLANCO_DE421A42</t>
        </is>
      </c>
      <c r="D174" s="12" t="inlineStr">
        <is>
          <t>Mesa auxiliar exterior resina | 48 cm</t>
        </is>
      </c>
      <c r="E174" s="13" t="n">
        <v>17.13</v>
      </c>
      <c r="F174" s="13" t="n">
        <v>33.43</v>
      </c>
      <c r="G174" s="13" t="n">
        <v>10.5</v>
      </c>
      <c r="H174" s="14" t="n">
        <v>38</v>
      </c>
      <c r="I174" s="13" t="n">
        <v>27.63</v>
      </c>
      <c r="J174" s="13" t="n">
        <v>0</v>
      </c>
      <c r="K174" s="13">
        <f>G174-J174</f>
        <v/>
      </c>
      <c r="L174" s="13">
        <f>K174*$L$1</f>
        <v/>
      </c>
      <c r="M174" s="15">
        <f>F174/K174</f>
        <v/>
      </c>
      <c r="N174" s="10">
        <f>IF(M174&lt;3.5,"SI",IF(M174&lt;4.5,IF(K174&gt;=100,"SI",IF(K174&gt;=40,"CUIDADO","NO")),IF(AND(M174&lt;5.5,F174&gt;=500,K174&gt;=80),"CUIDADO","NO")))</f>
        <v/>
      </c>
    </row>
    <row r="175" ht="15.75" customHeight="1" s="98">
      <c r="A175" s="5" t="inlineStr">
        <is>
          <t>Balliu</t>
        </is>
      </c>
      <c r="B175" s="5" t="inlineStr">
        <is>
          <t>balliu-mesa-auxiliar-exterior-resina-48-cm-911a77ba</t>
        </is>
      </c>
      <c r="C175" s="5" t="inlineStr">
        <is>
          <t>BALLIU_EVA_PRO_MINI_MESA_AU_COLOR_NATURAL_PR_911A77BA</t>
        </is>
      </c>
      <c r="D175" s="6" t="inlineStr">
        <is>
          <t>Mesa auxiliar exterior resina | 48 cm</t>
        </is>
      </c>
      <c r="E175" s="7" t="n">
        <v>17.63</v>
      </c>
      <c r="F175" s="7" t="n">
        <v>34.41</v>
      </c>
      <c r="G175" s="7" t="n">
        <v>10.81</v>
      </c>
      <c r="H175" s="8" t="n">
        <v>38.01</v>
      </c>
      <c r="I175" s="7" t="n">
        <v>28.44</v>
      </c>
      <c r="J175" s="7" t="n">
        <v>0</v>
      </c>
      <c r="K175" s="7">
        <f>G175-J175</f>
        <v/>
      </c>
      <c r="L175" s="7">
        <f>K175*$L$1</f>
        <v/>
      </c>
      <c r="M175" s="9">
        <f>F175/K175</f>
        <v/>
      </c>
      <c r="N175" s="10">
        <f>IF(M175&lt;3.5,"SI",IF(M175&lt;4.5,IF(K175&gt;=100,"SI",IF(K175&gt;=40,"CUIDADO","NO")),IF(AND(M175&lt;5.5,F175&gt;=500,K175&gt;=80),"CUIDADO","NO")))</f>
        <v/>
      </c>
    </row>
    <row r="176" ht="15.75" customHeight="1" s="98">
      <c r="A176" s="11" t="inlineStr">
        <is>
          <t>Balliu</t>
        </is>
      </c>
      <c r="B176" s="11" t="inlineStr">
        <is>
          <t>balliu-mesa-auxiliar-exterior-resina-48-cm-35554775</t>
        </is>
      </c>
      <c r="C176" s="11" t="inlineStr">
        <is>
          <t>BALLIU_EVA_PRO_BCN_MESA_AUX_COLOR_BLANCO_35554775</t>
        </is>
      </c>
      <c r="D176" s="12" t="inlineStr">
        <is>
          <t>Mesa auxiliar exterior resina | 48 cm</t>
        </is>
      </c>
      <c r="E176" s="13" t="n">
        <v>18.44</v>
      </c>
      <c r="F176" s="13" t="n">
        <v>35.99</v>
      </c>
      <c r="G176" s="13" t="n">
        <v>11.3</v>
      </c>
      <c r="H176" s="14" t="n">
        <v>38</v>
      </c>
      <c r="I176" s="13" t="n">
        <v>29.74</v>
      </c>
      <c r="J176" s="13" t="n">
        <v>0</v>
      </c>
      <c r="K176" s="13">
        <f>G176-J176</f>
        <v/>
      </c>
      <c r="L176" s="13">
        <f>K176*$L$1</f>
        <v/>
      </c>
      <c r="M176" s="15">
        <f>F176/K176</f>
        <v/>
      </c>
      <c r="N176" s="10">
        <f>IF(M176&lt;3.5,"SI",IF(M176&lt;4.5,IF(K176&gt;=100,"SI",IF(K176&gt;=40,"CUIDADO","NO")),IF(AND(M176&lt;5.5,F176&gt;=500,K176&gt;=80),"CUIDADO","NO")))</f>
        <v/>
      </c>
    </row>
    <row r="177" ht="15.75" customHeight="1" s="98">
      <c r="A177" s="5" t="inlineStr">
        <is>
          <t>Balliu</t>
        </is>
      </c>
      <c r="B177" s="5" t="inlineStr">
        <is>
          <t>balliu-mesa-auxiliar-exterior-resina-48-cm-25cd2ede</t>
        </is>
      </c>
      <c r="C177" s="5" t="inlineStr">
        <is>
          <t>BALLIU_EVA_PRO_BCN_MESA_AUX_COLOR_NATURAL_PR_25CD2EDE</t>
        </is>
      </c>
      <c r="D177" s="6" t="inlineStr">
        <is>
          <t>Mesa auxiliar exterior resina | 48 cm</t>
        </is>
      </c>
      <c r="E177" s="7" t="n">
        <v>19.36</v>
      </c>
      <c r="F177" s="7" t="n">
        <v>37.79</v>
      </c>
      <c r="G177" s="7" t="n">
        <v>11.87</v>
      </c>
      <c r="H177" s="8" t="n">
        <v>38.01</v>
      </c>
      <c r="I177" s="7" t="n">
        <v>31.23</v>
      </c>
      <c r="J177" s="7" t="n">
        <v>0</v>
      </c>
      <c r="K177" s="7">
        <f>G177-J177</f>
        <v/>
      </c>
      <c r="L177" s="7">
        <f>K177*$L$1</f>
        <v/>
      </c>
      <c r="M177" s="9">
        <f>F177/K177</f>
        <v/>
      </c>
      <c r="N177" s="10">
        <f>IF(M177&lt;3.5,"SI",IF(M177&lt;4.5,IF(K177&gt;=100,"SI",IF(K177&gt;=40,"CUIDADO","NO")),IF(AND(M177&lt;5.5,F177&gt;=500,K177&gt;=80),"CUIDADO","NO")))</f>
        <v/>
      </c>
    </row>
    <row r="178" ht="15.75" customHeight="1" s="98">
      <c r="A178" s="11" t="inlineStr">
        <is>
          <t>Balliu</t>
        </is>
      </c>
      <c r="B178" s="11" t="inlineStr">
        <is>
          <t>balliu-mesa-auxiliar-exterior-aluminio-54-cm-6c7a42d9</t>
        </is>
      </c>
      <c r="C178" s="11" t="inlineStr">
        <is>
          <t>BALLIU_OLIMPIA_MESA_AUXILIA_TELA_BALLIU_6C7A42D9</t>
        </is>
      </c>
      <c r="D178" s="12" t="inlineStr">
        <is>
          <t>Mesa auxiliar exterior aluminio | 54 cm</t>
        </is>
      </c>
      <c r="E178" s="13" t="n">
        <v>84.68000000000001</v>
      </c>
      <c r="F178" s="13" t="n">
        <v>157.63</v>
      </c>
      <c r="G178" s="13" t="n">
        <v>45.59</v>
      </c>
      <c r="H178" s="14" t="n">
        <v>35</v>
      </c>
      <c r="I178" s="13" t="n">
        <v>130.27</v>
      </c>
      <c r="J178" s="13" t="n">
        <v>0</v>
      </c>
      <c r="K178" s="13">
        <f>G178-J178</f>
        <v/>
      </c>
      <c r="L178" s="13">
        <f>K178*$L$1</f>
        <v/>
      </c>
      <c r="M178" s="15">
        <f>F178/K178</f>
        <v/>
      </c>
      <c r="N178" s="10">
        <f>IF(M178&lt;3.5,"SI",IF(M178&lt;4.5,IF(K178&gt;=100,"SI",IF(K178&gt;=40,"CUIDADO","NO")),IF(AND(M178&lt;5.5,F178&gt;=500,K178&gt;=80),"CUIDADO","NO")))</f>
        <v/>
      </c>
    </row>
    <row r="179" ht="15.75" customHeight="1" s="98">
      <c r="A179" s="5" t="inlineStr">
        <is>
          <t>Balliu</t>
        </is>
      </c>
      <c r="B179" s="5" t="inlineStr">
        <is>
          <t>balliu-mesa-auxiliar-exterior-aluminio-90b11e5b</t>
        </is>
      </c>
      <c r="C179" s="5" t="inlineStr">
        <is>
          <t>BALLIU_NOA_MESA_AUXILIAR_COLOR_BLANCO_90B11E5B</t>
        </is>
      </c>
      <c r="D179" s="6" t="inlineStr">
        <is>
          <t>Mesa auxiliar exterior aluminio</t>
        </is>
      </c>
      <c r="E179" s="7" t="n">
        <v>69.97</v>
      </c>
      <c r="F179" s="7" t="n">
        <v>130.24</v>
      </c>
      <c r="G179" s="7" t="n">
        <v>37.67</v>
      </c>
      <c r="H179" s="8" t="n">
        <v>35</v>
      </c>
      <c r="I179" s="7" t="n">
        <v>107.64</v>
      </c>
      <c r="J179" s="7" t="n">
        <v>0</v>
      </c>
      <c r="K179" s="7">
        <f>G179-J179</f>
        <v/>
      </c>
      <c r="L179" s="7">
        <f>K179*$L$1</f>
        <v/>
      </c>
      <c r="M179" s="9">
        <f>F179/K179</f>
        <v/>
      </c>
      <c r="N179" s="10">
        <f>IF(M179&lt;3.5,"SI",IF(M179&lt;4.5,IF(K179&gt;=100,"SI",IF(K179&gt;=40,"CUIDADO","NO")),IF(AND(M179&lt;5.5,F179&gt;=500,K179&gt;=80),"CUIDADO","NO")))</f>
        <v/>
      </c>
    </row>
    <row r="180" ht="15.75" customHeight="1" s="98">
      <c r="A180" s="11" t="inlineStr">
        <is>
          <t>Balliu</t>
        </is>
      </c>
      <c r="B180" s="11" t="inlineStr">
        <is>
          <t>balliu-mesa-auxiliar-exterior-aluminio-27ce9446</t>
        </is>
      </c>
      <c r="C180" s="11" t="inlineStr">
        <is>
          <t>BALLIU_NOA_MESA_AUXILIAR_COLOR_NATURAL_PR_27CE9446</t>
        </is>
      </c>
      <c r="D180" s="12" t="inlineStr">
        <is>
          <t>Mesa auxiliar exterior aluminio</t>
        </is>
      </c>
      <c r="E180" s="13" t="n">
        <v>73.58</v>
      </c>
      <c r="F180" s="13" t="n">
        <v>136.98</v>
      </c>
      <c r="G180" s="13" t="n">
        <v>39.63</v>
      </c>
      <c r="H180" s="14" t="n">
        <v>35.01</v>
      </c>
      <c r="I180" s="13" t="n">
        <v>113.21</v>
      </c>
      <c r="J180" s="13" t="n">
        <v>0</v>
      </c>
      <c r="K180" s="13">
        <f>G180-J180</f>
        <v/>
      </c>
      <c r="L180" s="13">
        <f>K180*$L$1</f>
        <v/>
      </c>
      <c r="M180" s="15">
        <f>F180/K180</f>
        <v/>
      </c>
      <c r="N180" s="10">
        <f>IF(M180&lt;3.5,"SI",IF(M180&lt;4.5,IF(K180&gt;=100,"SI",IF(K180&gt;=40,"CUIDADO","NO")),IF(AND(M180&lt;5.5,F180&gt;=500,K180&gt;=80),"CUIDADO","NO")))</f>
        <v/>
      </c>
    </row>
    <row r="181" ht="15.75" customHeight="1" s="98">
      <c r="A181" s="5" t="inlineStr">
        <is>
          <t>Balliu</t>
        </is>
      </c>
      <c r="B181" s="5" t="inlineStr">
        <is>
          <t>balliu-mesa-auxiliar-exterior-aluminio-60-cm-9c991818</t>
        </is>
      </c>
      <c r="C181" s="5" t="inlineStr">
        <is>
          <t>BALLIU_ETNA_MESA_AUXILIAR_TABLERO_HPL_C5331CE8</t>
        </is>
      </c>
      <c r="D181" s="6" t="inlineStr">
        <is>
          <t>Mesa auxiliar exterior aluminio | 60 cm</t>
        </is>
      </c>
      <c r="E181" s="7" t="n">
        <v>89.70999999999999</v>
      </c>
      <c r="F181" s="7" t="n">
        <v>167</v>
      </c>
      <c r="G181" s="7" t="n">
        <v>48.31</v>
      </c>
      <c r="H181" s="8" t="n">
        <v>35</v>
      </c>
      <c r="I181" s="7" t="n">
        <v>138.02</v>
      </c>
      <c r="J181" s="7" t="n">
        <v>0</v>
      </c>
      <c r="K181" s="7">
        <f>G181-J181</f>
        <v/>
      </c>
      <c r="L181" s="7">
        <f>K181*$L$1</f>
        <v/>
      </c>
      <c r="M181" s="9">
        <f>F181/K181</f>
        <v/>
      </c>
      <c r="N181" s="10">
        <f>IF(M181&lt;3.5,"SI",IF(M181&lt;4.5,IF(K181&gt;=100,"SI",IF(K181&gt;=40,"CUIDADO","NO")),IF(AND(M181&lt;5.5,F181&gt;=500,K181&gt;=80),"CUIDADO","NO")))</f>
        <v/>
      </c>
    </row>
    <row r="182" ht="15.75" customHeight="1" s="98">
      <c r="A182" s="11" t="inlineStr">
        <is>
          <t>Balliu</t>
        </is>
      </c>
      <c r="B182" s="11" t="inlineStr">
        <is>
          <t>balliu-mesa-auxiliar-exterior-aluminio-60-cm-9c991818</t>
        </is>
      </c>
      <c r="C182" s="11" t="inlineStr">
        <is>
          <t>BALLIU_ETNA_MESA_AUXILIAR_TABLERO_HPL_GD_7664D255</t>
        </is>
      </c>
      <c r="D182" s="12" t="inlineStr">
        <is>
          <t>Mesa auxiliar exterior aluminio | 60 cm</t>
        </is>
      </c>
      <c r="E182" s="13" t="n">
        <v>94.05</v>
      </c>
      <c r="F182" s="13" t="n">
        <v>175.06</v>
      </c>
      <c r="G182" s="13" t="n">
        <v>50.63</v>
      </c>
      <c r="H182" s="14" t="n">
        <v>34.99</v>
      </c>
      <c r="I182" s="13" t="n">
        <v>144.68</v>
      </c>
      <c r="J182" s="13" t="n">
        <v>0</v>
      </c>
      <c r="K182" s="13">
        <f>G182-J182</f>
        <v/>
      </c>
      <c r="L182" s="13">
        <f>K182*$L$1</f>
        <v/>
      </c>
      <c r="M182" s="15">
        <f>F182/K182</f>
        <v/>
      </c>
      <c r="N182" s="10">
        <f>IF(M182&lt;3.5,"SI",IF(M182&lt;4.5,IF(K182&gt;=100,"SI",IF(K182&gt;=40,"CUIDADO","NO")),IF(AND(M182&lt;5.5,F182&gt;=500,K182&gt;=80),"CUIDADO","NO")))</f>
        <v/>
      </c>
    </row>
    <row r="183" ht="15.75" customHeight="1" s="98">
      <c r="A183" s="5" t="inlineStr">
        <is>
          <t>Balliu</t>
        </is>
      </c>
      <c r="B183" s="5" t="inlineStr">
        <is>
          <t>balliu-mesa-auxiliar-exterior-aluminio-60-cm-9c991818</t>
        </is>
      </c>
      <c r="C183" s="5" t="inlineStr">
        <is>
          <t>BALLIU_ETNA_MESA_AUXILIAR_DIAMETRO_60_WERZ_9C991818</t>
        </is>
      </c>
      <c r="D183" s="6" t="inlineStr">
        <is>
          <t>Mesa auxiliar exterior aluminio | 60 cm</t>
        </is>
      </c>
      <c r="E183" s="7" t="n">
        <v>84.79000000000001</v>
      </c>
      <c r="F183" s="7" t="n">
        <v>157.84</v>
      </c>
      <c r="G183" s="7" t="n">
        <v>45.66</v>
      </c>
      <c r="H183" s="8" t="n">
        <v>35</v>
      </c>
      <c r="I183" s="7" t="n">
        <v>130.45</v>
      </c>
      <c r="J183" s="7" t="n">
        <v>0</v>
      </c>
      <c r="K183" s="7">
        <f>G183-J183</f>
        <v/>
      </c>
      <c r="L183" s="7">
        <f>K183*$L$1</f>
        <v/>
      </c>
      <c r="M183" s="9">
        <f>F183/K183</f>
        <v/>
      </c>
      <c r="N183" s="10">
        <f>IF(M183&lt;3.5,"SI",IF(M183&lt;4.5,IF(K183&gt;=100,"SI",IF(K183&gt;=40,"CUIDADO","NO")),IF(AND(M183&lt;5.5,F183&gt;=500,K183&gt;=80),"CUIDADO","NO")))</f>
        <v/>
      </c>
    </row>
    <row r="184" ht="15.75" customHeight="1" s="98">
      <c r="A184" s="11" t="inlineStr">
        <is>
          <t>Balliu</t>
        </is>
      </c>
      <c r="B184" s="11" t="inlineStr">
        <is>
          <t>balliu-mesa-exterior-resina-70-cm-33ce1613</t>
        </is>
      </c>
      <c r="C184" s="11" t="inlineStr">
        <is>
          <t>BALLIU_SELVA_MESA_DIAMETRO_70_WERZ_33CE1613</t>
        </is>
      </c>
      <c r="D184" s="12" t="inlineStr">
        <is>
          <t>Mesa exterior resina | Ø70 cm</t>
        </is>
      </c>
      <c r="E184" s="13" t="n">
        <v>97.55</v>
      </c>
      <c r="F184" s="13" t="n">
        <v>181.58</v>
      </c>
      <c r="G184" s="13" t="n">
        <v>52.52</v>
      </c>
      <c r="H184" s="14" t="n">
        <v>35</v>
      </c>
      <c r="I184" s="13" t="n">
        <v>150.07</v>
      </c>
      <c r="J184" s="13" t="n">
        <v>0</v>
      </c>
      <c r="K184" s="13">
        <f>G184-J184</f>
        <v/>
      </c>
      <c r="L184" s="13">
        <f>K184*$L$1</f>
        <v/>
      </c>
      <c r="M184" s="15">
        <f>F184/K184</f>
        <v/>
      </c>
      <c r="N184" s="10">
        <f>IF(M184&lt;3.5,"SI",IF(M184&lt;4.5,IF(K184&gt;=100,"SI",IF(K184&gt;=40,"CUIDADO","NO")),IF(AND(M184&lt;5.5,F184&gt;=500,K184&gt;=80),"CUIDADO","NO")))</f>
        <v/>
      </c>
    </row>
    <row r="185" ht="15.75" customHeight="1" s="98">
      <c r="A185" s="5" t="inlineStr">
        <is>
          <t>Balliu</t>
        </is>
      </c>
      <c r="B185" s="5" t="inlineStr">
        <is>
          <t>balliu-mesa-exterior-resina-80-cm-eb565c3e</t>
        </is>
      </c>
      <c r="C185" s="5" t="inlineStr">
        <is>
          <t>BALLIU_SELVA_MESA_DIAMETRO_80_WERZ_EB565C3E</t>
        </is>
      </c>
      <c r="D185" s="6" t="inlineStr">
        <is>
          <t>Mesa exterior resina | Ø80 cm</t>
        </is>
      </c>
      <c r="E185" s="7" t="n">
        <v>101.49</v>
      </c>
      <c r="F185" s="7" t="n">
        <v>188.93</v>
      </c>
      <c r="G185" s="7" t="n">
        <v>54.65</v>
      </c>
      <c r="H185" s="8" t="n">
        <v>35</v>
      </c>
      <c r="I185" s="7" t="n">
        <v>156.14</v>
      </c>
      <c r="J185" s="7" t="n">
        <v>0</v>
      </c>
      <c r="K185" s="7">
        <f>G185-J185</f>
        <v/>
      </c>
      <c r="L185" s="7">
        <f>K185*$L$1</f>
        <v/>
      </c>
      <c r="M185" s="9">
        <f>F185/K185</f>
        <v/>
      </c>
      <c r="N185" s="10">
        <f>IF(M185&lt;3.5,"SI",IF(M185&lt;4.5,IF(K185&gt;=100,"SI",IF(K185&gt;=40,"CUIDADO","NO")),IF(AND(M185&lt;5.5,F185&gt;=500,K185&gt;=80),"CUIDADO","NO")))</f>
        <v/>
      </c>
    </row>
    <row r="186" ht="15.75" customHeight="1" s="98">
      <c r="A186" s="11" t="inlineStr">
        <is>
          <t>Balliu</t>
        </is>
      </c>
      <c r="B186" s="11" t="inlineStr">
        <is>
          <t>balliu-mesa-exterior-resina-90-cm-871df608</t>
        </is>
      </c>
      <c r="C186" s="11" t="inlineStr">
        <is>
          <t>BALLIU_SELVA_MESA_DIAMETRO_90_WERZ_871DF608</t>
        </is>
      </c>
      <c r="D186" s="12" t="inlineStr">
        <is>
          <t>Mesa exterior resina | Ø90 cm</t>
        </is>
      </c>
      <c r="E186" s="13" t="n">
        <v>118.78</v>
      </c>
      <c r="F186" s="13" t="n">
        <v>221.12</v>
      </c>
      <c r="G186" s="13" t="n">
        <v>63.96</v>
      </c>
      <c r="H186" s="14" t="n">
        <v>35</v>
      </c>
      <c r="I186" s="13" t="n">
        <v>182.74</v>
      </c>
      <c r="J186" s="13" t="n">
        <v>0</v>
      </c>
      <c r="K186" s="13">
        <f>G186-J186</f>
        <v/>
      </c>
      <c r="L186" s="13">
        <f>K186*$L$1</f>
        <v/>
      </c>
      <c r="M186" s="15">
        <f>F186/K186</f>
        <v/>
      </c>
      <c r="N186" s="10">
        <f>IF(M186&lt;3.5,"SI",IF(M186&lt;4.5,IF(K186&gt;=100,"SI",IF(K186&gt;=40,"CUIDADO","NO")),IF(AND(M186&lt;5.5,F186&gt;=500,K186&gt;=80),"CUIDADO","NO")))</f>
        <v/>
      </c>
    </row>
    <row r="187" ht="15.75" customHeight="1" s="98">
      <c r="A187" s="5" t="inlineStr">
        <is>
          <t>Balliu</t>
        </is>
      </c>
      <c r="B187" s="5" t="inlineStr">
        <is>
          <t>balliu-mesa-exterior-resina-7070-cm-7ab14c9a</t>
        </is>
      </c>
      <c r="C187" s="5" t="inlineStr">
        <is>
          <t>BALLIU_SELVA_MESA_70_X_70_WERZALIT_7AB14C9A</t>
        </is>
      </c>
      <c r="D187" s="6" t="inlineStr">
        <is>
          <t>Mesa exterior resina | 70×70 cm</t>
        </is>
      </c>
      <c r="E187" s="7" t="n">
        <v>118.31</v>
      </c>
      <c r="F187" s="7" t="n">
        <v>220.24</v>
      </c>
      <c r="G187" s="7" t="n">
        <v>63.71</v>
      </c>
      <c r="H187" s="8" t="n">
        <v>35</v>
      </c>
      <c r="I187" s="7" t="n">
        <v>182.02</v>
      </c>
      <c r="J187" s="7" t="n">
        <v>0</v>
      </c>
      <c r="K187" s="7">
        <f>G187-J187</f>
        <v/>
      </c>
      <c r="L187" s="7">
        <f>K187*$L$1</f>
        <v/>
      </c>
      <c r="M187" s="9">
        <f>F187/K187</f>
        <v/>
      </c>
      <c r="N187" s="10">
        <f>IF(M187&lt;3.5,"SI",IF(M187&lt;4.5,IF(K187&gt;=100,"SI",IF(K187&gt;=40,"CUIDADO","NO")),IF(AND(M187&lt;5.5,F187&gt;=500,K187&gt;=80),"CUIDADO","NO")))</f>
        <v/>
      </c>
    </row>
    <row r="188" ht="15.75" customHeight="1" s="98">
      <c r="A188" s="11" t="inlineStr">
        <is>
          <t>Balliu</t>
        </is>
      </c>
      <c r="B188" s="11" t="inlineStr">
        <is>
          <t>balliu-mesa-exterior-resina-8080-cm-1a5a5005</t>
        </is>
      </c>
      <c r="C188" s="11" t="inlineStr">
        <is>
          <t>BALLIU_SELVA_MESA_80_X_80_WERZALIT_1A5A5005</t>
        </is>
      </c>
      <c r="D188" s="12" t="inlineStr">
        <is>
          <t>Mesa exterior resina | 80×80 cm</t>
        </is>
      </c>
      <c r="E188" s="13" t="n">
        <v>131.01</v>
      </c>
      <c r="F188" s="13" t="n">
        <v>243.88</v>
      </c>
      <c r="G188" s="13" t="n">
        <v>70.54000000000001</v>
      </c>
      <c r="H188" s="14" t="n">
        <v>35</v>
      </c>
      <c r="I188" s="13" t="n">
        <v>201.55</v>
      </c>
      <c r="J188" s="13" t="n">
        <v>0</v>
      </c>
      <c r="K188" s="13">
        <f>G188-J188</f>
        <v/>
      </c>
      <c r="L188" s="13">
        <f>K188*$L$1</f>
        <v/>
      </c>
      <c r="M188" s="15">
        <f>F188/K188</f>
        <v/>
      </c>
      <c r="N188" s="10">
        <f>IF(M188&lt;3.5,"SI",IF(M188&lt;4.5,IF(K188&gt;=100,"SI",IF(K188&gt;=40,"CUIDADO","NO")),IF(AND(M188&lt;5.5,F188&gt;=500,K188&gt;=80),"CUIDADO","NO")))</f>
        <v/>
      </c>
    </row>
    <row r="189" ht="15.75" customHeight="1" s="98">
      <c r="A189" s="5" t="inlineStr">
        <is>
          <t>Balliu</t>
        </is>
      </c>
      <c r="B189" s="5" t="inlineStr">
        <is>
          <t>balliu-mesa-exterior-resina-12080-cm-747885bd</t>
        </is>
      </c>
      <c r="C189" s="5" t="inlineStr">
        <is>
          <t>BALLIU_SELVA_MESA_120_X_80_WERZALI_747885BD</t>
        </is>
      </c>
      <c r="D189" s="6" t="inlineStr">
        <is>
          <t>Mesa exterior resina | 120×80 cm</t>
        </is>
      </c>
      <c r="E189" s="7" t="n">
        <v>169.64</v>
      </c>
      <c r="F189" s="7" t="n">
        <v>315.8</v>
      </c>
      <c r="G189" s="7" t="n">
        <v>91.34999999999999</v>
      </c>
      <c r="H189" s="8" t="n">
        <v>35</v>
      </c>
      <c r="I189" s="7" t="n">
        <v>260.99</v>
      </c>
      <c r="J189" s="7" t="n">
        <v>0</v>
      </c>
      <c r="K189" s="7">
        <f>G189-J189</f>
        <v/>
      </c>
      <c r="L189" s="7">
        <f>K189*$L$1</f>
        <v/>
      </c>
      <c r="M189" s="9">
        <f>F189/K189</f>
        <v/>
      </c>
      <c r="N189" s="10">
        <f>IF(M189&lt;3.5,"SI",IF(M189&lt;4.5,IF(K189&gt;=100,"SI",IF(K189&gt;=40,"CUIDADO","NO")),IF(AND(M189&lt;5.5,F189&gt;=500,K189&gt;=80),"CUIDADO","NO")))</f>
        <v/>
      </c>
    </row>
    <row r="190" ht="15.75" customHeight="1" s="98">
      <c r="A190" s="11" t="inlineStr">
        <is>
          <t>Balliu</t>
        </is>
      </c>
      <c r="B190" s="11" t="inlineStr">
        <is>
          <t>balliu-mesa-exterior-aluminio-8080-cm-ef580ae2</t>
        </is>
      </c>
      <c r="C190" s="11" t="inlineStr">
        <is>
          <t>BALLIU_BRUNEI_MESA_80X80_TABLERO_HP_EF580AE2</t>
        </is>
      </c>
      <c r="D190" s="12" t="inlineStr">
        <is>
          <t>Mesa exterior aluminio | 80×80 cm</t>
        </is>
      </c>
      <c r="E190" s="13" t="n">
        <v>257.19</v>
      </c>
      <c r="F190" s="13" t="n">
        <v>478.77</v>
      </c>
      <c r="G190" s="13" t="n">
        <v>138.49</v>
      </c>
      <c r="H190" s="14" t="n">
        <v>35</v>
      </c>
      <c r="I190" s="13" t="n">
        <v>395.68</v>
      </c>
      <c r="J190" s="13" t="n">
        <v>0</v>
      </c>
      <c r="K190" s="13">
        <f>G190-J190</f>
        <v/>
      </c>
      <c r="L190" s="13">
        <f>K190*$L$1</f>
        <v/>
      </c>
      <c r="M190" s="15">
        <f>F190/K190</f>
        <v/>
      </c>
      <c r="N190" s="10">
        <f>IF(M190&lt;3.5,"SI",IF(M190&lt;4.5,IF(K190&gt;=100,"SI",IF(K190&gt;=40,"CUIDADO","NO")),IF(AND(M190&lt;5.5,F190&gt;=500,K190&gt;=80),"CUIDADO","NO")))</f>
        <v/>
      </c>
    </row>
    <row r="191" ht="15.75" customHeight="1" s="98">
      <c r="A191" s="5" t="inlineStr">
        <is>
          <t>Balliu</t>
        </is>
      </c>
      <c r="B191" s="5" t="inlineStr">
        <is>
          <t>balliu-mesa-exterior-aluminio-8080-cm-ef580ae2</t>
        </is>
      </c>
      <c r="C191" s="5" t="inlineStr">
        <is>
          <t>BALLIU_BRUNEI_MESA_80X80_TABLERO_HP_FCE3B8BD</t>
        </is>
      </c>
      <c r="D191" s="6" t="inlineStr">
        <is>
          <t>Mesa exterior aluminio | 80×80 cm</t>
        </is>
      </c>
      <c r="E191" s="7" t="n">
        <v>290.22</v>
      </c>
      <c r="F191" s="7" t="n">
        <v>540.25</v>
      </c>
      <c r="G191" s="7" t="n">
        <v>156.27</v>
      </c>
      <c r="H191" s="8" t="n">
        <v>35</v>
      </c>
      <c r="I191" s="7" t="n">
        <v>446.49</v>
      </c>
      <c r="J191" s="7" t="n">
        <v>0</v>
      </c>
      <c r="K191" s="7">
        <f>G191-J191</f>
        <v/>
      </c>
      <c r="L191" s="7">
        <f>K191*$L$1</f>
        <v/>
      </c>
      <c r="M191" s="9">
        <f>F191/K191</f>
        <v/>
      </c>
      <c r="N191" s="10">
        <f>IF(M191&lt;3.5,"SI",IF(M191&lt;4.5,IF(K191&gt;=100,"SI",IF(K191&gt;=40,"CUIDADO","NO")),IF(AND(M191&lt;5.5,F191&gt;=500,K191&gt;=80),"CUIDADO","NO")))</f>
        <v/>
      </c>
    </row>
    <row r="192" ht="15.75" customHeight="1" s="98">
      <c r="A192" s="11" t="inlineStr">
        <is>
          <t>Balliu</t>
        </is>
      </c>
      <c r="B192" s="11" t="inlineStr">
        <is>
          <t>balliu-mesa-exterior-aluminio-8080-cm-ef580ae2</t>
        </is>
      </c>
      <c r="C192" s="11" t="inlineStr">
        <is>
          <t>BALLIU_BRUNEI_MESA_130X80_TABLERO_H_DF7C872B</t>
        </is>
      </c>
      <c r="D192" s="12" t="inlineStr">
        <is>
          <t>Mesa exterior aluminio | 130×80 cm</t>
        </is>
      </c>
      <c r="E192" s="13" t="n">
        <v>342.68</v>
      </c>
      <c r="F192" s="13" t="n">
        <v>637.92</v>
      </c>
      <c r="G192" s="13" t="n">
        <v>184.53</v>
      </c>
      <c r="H192" s="14" t="n">
        <v>35</v>
      </c>
      <c r="I192" s="13" t="n">
        <v>527.21</v>
      </c>
      <c r="J192" s="13" t="n">
        <v>0</v>
      </c>
      <c r="K192" s="13">
        <f>G192-J192</f>
        <v/>
      </c>
      <c r="L192" s="13">
        <f>K192*$L$1</f>
        <v/>
      </c>
      <c r="M192" s="15">
        <f>F192/K192</f>
        <v/>
      </c>
      <c r="N192" s="10">
        <f>IF(M192&lt;3.5,"SI",IF(M192&lt;4.5,IF(K192&gt;=100,"SI",IF(K192&gt;=40,"CUIDADO","NO")),IF(AND(M192&lt;5.5,F192&gt;=500,K192&gt;=80),"CUIDADO","NO")))</f>
        <v/>
      </c>
    </row>
    <row r="193" ht="15.75" customHeight="1" s="98">
      <c r="A193" s="5" t="inlineStr">
        <is>
          <t>Balliu</t>
        </is>
      </c>
      <c r="B193" s="5" t="inlineStr">
        <is>
          <t>balliu-mesa-exterior-aluminio-8080-cm-ef580ae2</t>
        </is>
      </c>
      <c r="C193" s="5" t="inlineStr">
        <is>
          <t>BALLIU_BRUNEI_MESA_130X80_TABLERO_H_5068224E</t>
        </is>
      </c>
      <c r="D193" s="6" t="inlineStr">
        <is>
          <t>Mesa exterior aluminio | 130×80 cm</t>
        </is>
      </c>
      <c r="E193" s="7" t="n">
        <v>396.09</v>
      </c>
      <c r="F193" s="7" t="n">
        <v>737.34</v>
      </c>
      <c r="G193" s="7" t="n">
        <v>213.28</v>
      </c>
      <c r="H193" s="8" t="n">
        <v>35</v>
      </c>
      <c r="I193" s="7" t="n">
        <v>609.37</v>
      </c>
      <c r="J193" s="7" t="n">
        <v>0</v>
      </c>
      <c r="K193" s="7">
        <f>G193-J193</f>
        <v/>
      </c>
      <c r="L193" s="7">
        <f>K193*$L$1</f>
        <v/>
      </c>
      <c r="M193" s="9">
        <f>F193/K193</f>
        <v/>
      </c>
      <c r="N193" s="10">
        <f>IF(M193&lt;3.5,"SI",IF(M193&lt;4.5,IF(K193&gt;=100,"SI",IF(K193&gt;=40,"CUIDADO","NO")),IF(AND(M193&lt;5.5,F193&gt;=500,K193&gt;=80),"CUIDADO","NO")))</f>
        <v/>
      </c>
    </row>
    <row r="194" ht="15.75" customHeight="1" s="98">
      <c r="A194" s="11" t="inlineStr">
        <is>
          <t>Balliu</t>
        </is>
      </c>
      <c r="B194" s="11" t="inlineStr">
        <is>
          <t>balliu-mesa-exterior-aluminio-8080-cm-ef580ae2</t>
        </is>
      </c>
      <c r="C194" s="11" t="inlineStr">
        <is>
          <t>BALLIU_BRUNEI_MESA_160X90_TABLERO_H_11303F43</t>
        </is>
      </c>
      <c r="D194" s="12" t="inlineStr">
        <is>
          <t>Mesa exterior aluminio | 160×90 cm</t>
        </is>
      </c>
      <c r="E194" s="13" t="n">
        <v>412.95</v>
      </c>
      <c r="F194" s="13" t="n">
        <v>768.74</v>
      </c>
      <c r="G194" s="13" t="n">
        <v>222.37</v>
      </c>
      <c r="H194" s="14" t="n">
        <v>35</v>
      </c>
      <c r="I194" s="13" t="n">
        <v>635.3200000000001</v>
      </c>
      <c r="J194" s="13" t="n">
        <v>0</v>
      </c>
      <c r="K194" s="13">
        <f>G194-J194</f>
        <v/>
      </c>
      <c r="L194" s="13">
        <f>K194*$L$1</f>
        <v/>
      </c>
      <c r="M194" s="15">
        <f>F194/K194</f>
        <v/>
      </c>
      <c r="N194" s="10">
        <f>IF(M194&lt;3.5,"SI",IF(M194&lt;4.5,IF(K194&gt;=100,"SI",IF(K194&gt;=40,"CUIDADO","NO")),IF(AND(M194&lt;5.5,F194&gt;=500,K194&gt;=80),"CUIDADO","NO")))</f>
        <v/>
      </c>
    </row>
    <row r="195" ht="15.75" customHeight="1" s="98">
      <c r="A195" s="5" t="inlineStr">
        <is>
          <t>Balliu</t>
        </is>
      </c>
      <c r="B195" s="5" t="inlineStr">
        <is>
          <t>balliu-mesa-exterior-aluminio-8080-cm-ef580ae2</t>
        </is>
      </c>
      <c r="C195" s="5" t="inlineStr">
        <is>
          <t>BALLIU_BRUNEI_MESA_160X90_TABLERO_H_C39E3349</t>
        </is>
      </c>
      <c r="D195" s="6" t="inlineStr">
        <is>
          <t>Mesa exterior aluminio | 160×90 cm</t>
        </is>
      </c>
      <c r="E195" s="7" t="n">
        <v>479.59</v>
      </c>
      <c r="F195" s="7" t="n">
        <v>892.79</v>
      </c>
      <c r="G195" s="7" t="n">
        <v>258.25</v>
      </c>
      <c r="H195" s="8" t="n">
        <v>35</v>
      </c>
      <c r="I195" s="7" t="n">
        <v>737.84</v>
      </c>
      <c r="J195" s="7" t="n">
        <v>0</v>
      </c>
      <c r="K195" s="7">
        <f>G195-J195</f>
        <v/>
      </c>
      <c r="L195" s="7">
        <f>K195*$L$1</f>
        <v/>
      </c>
      <c r="M195" s="9">
        <f>F195/K195</f>
        <v/>
      </c>
      <c r="N195" s="10">
        <f>IF(M195&lt;3.5,"SI",IF(M195&lt;4.5,IF(K195&gt;=100,"SI",IF(K195&gt;=40,"CUIDADO","NO")),IF(AND(M195&lt;5.5,F195&gt;=500,K195&gt;=80),"CUIDADO","NO")))</f>
        <v/>
      </c>
    </row>
    <row r="196" ht="15.75" customHeight="1" s="98">
      <c r="A196" s="11" t="inlineStr">
        <is>
          <t>Balliu</t>
        </is>
      </c>
      <c r="B196" s="11" t="inlineStr">
        <is>
          <t>balliu-mesa-exterior-aluminio-8080-cm-ef580ae2</t>
        </is>
      </c>
      <c r="C196" s="11" t="inlineStr">
        <is>
          <t>BALLIU_BRUNEI_MESA_190X90_TABLERO_H_4D2D1E60</t>
        </is>
      </c>
      <c r="D196" s="12" t="inlineStr">
        <is>
          <t>Mesa exterior aluminio | 190×90 cm</t>
        </is>
      </c>
      <c r="E196" s="13" t="n">
        <v>506.65</v>
      </c>
      <c r="F196" s="13" t="n">
        <v>943.15</v>
      </c>
      <c r="G196" s="13" t="n">
        <v>272.81</v>
      </c>
      <c r="H196" s="14" t="n">
        <v>35</v>
      </c>
      <c r="I196" s="13" t="n">
        <v>779.46</v>
      </c>
      <c r="J196" s="13" t="n">
        <v>0</v>
      </c>
      <c r="K196" s="13">
        <f>G196-J196</f>
        <v/>
      </c>
      <c r="L196" s="13">
        <f>K196*$L$1</f>
        <v/>
      </c>
      <c r="M196" s="15">
        <f>F196/K196</f>
        <v/>
      </c>
      <c r="N196" s="10">
        <f>IF(M196&lt;3.5,"SI",IF(M196&lt;4.5,IF(K196&gt;=100,"SI",IF(K196&gt;=40,"CUIDADO","NO")),IF(AND(M196&lt;5.5,F196&gt;=500,K196&gt;=80),"CUIDADO","NO")))</f>
        <v/>
      </c>
    </row>
    <row r="197" ht="15.75" customHeight="1" s="98">
      <c r="A197" s="5" t="inlineStr">
        <is>
          <t>Balliu</t>
        </is>
      </c>
      <c r="B197" s="5" t="inlineStr">
        <is>
          <t>balliu-mesa-exterior-aluminio-8080-cm-ef580ae2</t>
        </is>
      </c>
      <c r="C197" s="5" t="inlineStr">
        <is>
          <t>BALLIU_BRUNEI_MESA_190X90_TABLERO_H_7FCC116E</t>
        </is>
      </c>
      <c r="D197" s="6" t="inlineStr">
        <is>
          <t>Mesa exterior aluminio | 190×90 cm</t>
        </is>
      </c>
      <c r="E197" s="7" t="n">
        <v>603.5</v>
      </c>
      <c r="F197" s="7" t="n">
        <v>1123.45</v>
      </c>
      <c r="G197" s="7" t="n">
        <v>324.97</v>
      </c>
      <c r="H197" s="8" t="n">
        <v>35</v>
      </c>
      <c r="I197" s="7" t="n">
        <v>928.47</v>
      </c>
      <c r="J197" s="7" t="n">
        <v>0</v>
      </c>
      <c r="K197" s="7">
        <f>G197-J197</f>
        <v/>
      </c>
      <c r="L197" s="7">
        <f>K197*$L$1</f>
        <v/>
      </c>
      <c r="M197" s="9">
        <f>F197/K197</f>
        <v/>
      </c>
      <c r="N197" s="10">
        <f>IF(M197&lt;3.5,"SI",IF(M197&lt;4.5,IF(K197&gt;=100,"SI",IF(K197&gt;=40,"CUIDADO","NO")),IF(AND(M197&lt;5.5,F197&gt;=500,K197&gt;=80),"CUIDADO","NO")))</f>
        <v/>
      </c>
    </row>
    <row r="198" ht="15.75" customHeight="1" s="98">
      <c r="A198" s="11" t="inlineStr">
        <is>
          <t>Balliu</t>
        </is>
      </c>
      <c r="B198" s="11" t="inlineStr">
        <is>
          <t>balliu-mesa-exterior-hpl-24090-cm-78358691</t>
        </is>
      </c>
      <c r="C198" s="11" t="inlineStr">
        <is>
          <t>BALLIU_ATLANTA_MESA_240X90_TABLERO_H_78358691</t>
        </is>
      </c>
      <c r="D198" s="12" t="inlineStr">
        <is>
          <t>Mesa exterior HPL | 240×90 cm</t>
        </is>
      </c>
      <c r="E198" s="13" t="n">
        <v>689</v>
      </c>
      <c r="F198" s="13" t="n">
        <v>1282.6</v>
      </c>
      <c r="G198" s="13" t="n">
        <v>371</v>
      </c>
      <c r="H198" s="14" t="n">
        <v>35</v>
      </c>
      <c r="I198" s="13" t="n">
        <v>1060</v>
      </c>
      <c r="J198" s="13" t="n">
        <v>0</v>
      </c>
      <c r="K198" s="13">
        <f>G198-J198</f>
        <v/>
      </c>
      <c r="L198" s="13">
        <f>K198*$L$1</f>
        <v/>
      </c>
      <c r="M198" s="15">
        <f>F198/K198</f>
        <v/>
      </c>
      <c r="N198" s="10">
        <f>IF(M198&lt;3.5,"SI",IF(M198&lt;4.5,IF(K198&gt;=100,"SI",IF(K198&gt;=40,"CUIDADO","NO")),IF(AND(M198&lt;5.5,F198&gt;=500,K198&gt;=80),"CUIDADO","NO")))</f>
        <v/>
      </c>
    </row>
    <row r="199" ht="15.75" customHeight="1" s="98">
      <c r="A199" s="5" t="inlineStr">
        <is>
          <t>Balliu</t>
        </is>
      </c>
      <c r="B199" s="5" t="inlineStr">
        <is>
          <t>balliu-mesa-exterior-hpl-24090-cm-d4e471c5</t>
        </is>
      </c>
      <c r="C199" s="5" t="inlineStr">
        <is>
          <t>BALLIU_ATLANTA_MESA_240X90_TABLERO_H_D4E471C5</t>
        </is>
      </c>
      <c r="D199" s="6" t="inlineStr">
        <is>
          <t>Mesa exterior HPL | 240×90 cm</t>
        </is>
      </c>
      <c r="E199" s="7" t="n">
        <v>694.04</v>
      </c>
      <c r="F199" s="7" t="n">
        <v>1291.98</v>
      </c>
      <c r="G199" s="7" t="n">
        <v>373.71</v>
      </c>
      <c r="H199" s="8" t="n">
        <v>35</v>
      </c>
      <c r="I199" s="7" t="n">
        <v>1067.75</v>
      </c>
      <c r="J199" s="7" t="n">
        <v>0</v>
      </c>
      <c r="K199" s="7">
        <f>G199-J199</f>
        <v/>
      </c>
      <c r="L199" s="7">
        <f>K199*$L$1</f>
        <v/>
      </c>
      <c r="M199" s="9">
        <f>F199/K199</f>
        <v/>
      </c>
      <c r="N199" s="10">
        <f>IF(M199&lt;3.5,"SI",IF(M199&lt;4.5,IF(K199&gt;=100,"SI",IF(K199&gt;=40,"CUIDADO","NO")),IF(AND(M199&lt;5.5,F199&gt;=500,K199&gt;=80),"CUIDADO","NO")))</f>
        <v/>
      </c>
    </row>
    <row r="200" ht="15.75" customHeight="1" s="98">
      <c r="A200" s="11" t="inlineStr">
        <is>
          <t>Balliu</t>
        </is>
      </c>
      <c r="B200" s="11" t="inlineStr">
        <is>
          <t>balliu-mesa-exterior-140-18090-cm-e4ec7d7c</t>
        </is>
      </c>
      <c r="C200" s="11" t="inlineStr">
        <is>
          <t>BALLIU_ATLANTA_MESA_140_180X90_EXTEN_E4EC7D7C</t>
        </is>
      </c>
      <c r="D200" s="12" t="inlineStr">
        <is>
          <t>Mesa exterior | 140/180×90 cm</t>
        </is>
      </c>
      <c r="E200" s="13" t="n">
        <v>789.72</v>
      </c>
      <c r="F200" s="13" t="n">
        <v>1274.08</v>
      </c>
      <c r="G200" s="13" t="n">
        <v>263.24</v>
      </c>
      <c r="H200" s="14" t="n">
        <v>25</v>
      </c>
      <c r="I200" s="13" t="n">
        <v>1052.96</v>
      </c>
      <c r="J200" s="13" t="n">
        <v>0</v>
      </c>
      <c r="K200" s="13">
        <f>G200-J200</f>
        <v/>
      </c>
      <c r="L200" s="13">
        <f>K200*$L$1</f>
        <v/>
      </c>
      <c r="M200" s="15">
        <f>F200/K200</f>
        <v/>
      </c>
      <c r="N200" s="10">
        <f>IF(M200&lt;3.5,"SI",IF(M200&lt;4.5,IF(K200&gt;=100,"SI",IF(K200&gt;=40,"CUIDADO","NO")),IF(AND(M200&lt;5.5,F200&gt;=500,K200&gt;=80),"CUIDADO","NO")))</f>
        <v/>
      </c>
    </row>
    <row r="201" ht="15.75" customHeight="1" s="98">
      <c r="A201" s="5" t="inlineStr">
        <is>
          <t>Balliu</t>
        </is>
      </c>
      <c r="B201" s="5" t="inlineStr">
        <is>
          <t>balliu-mesa-exterior-200-260100-cm-9d798e50</t>
        </is>
      </c>
      <c r="C201" s="5" t="inlineStr">
        <is>
          <t>BALLIU_ATLANTA_MESA_200_260X100_EXTE_9D798E50</t>
        </is>
      </c>
      <c r="D201" s="6" t="inlineStr">
        <is>
          <t>Mesa exterior | 200/260×100 cm</t>
        </is>
      </c>
      <c r="E201" s="7" t="n">
        <v>1035.01</v>
      </c>
      <c r="F201" s="7" t="n">
        <v>1669.81</v>
      </c>
      <c r="G201" s="7" t="n">
        <v>345</v>
      </c>
      <c r="H201" s="8" t="n">
        <v>25</v>
      </c>
      <c r="I201" s="7" t="n">
        <v>1380.01</v>
      </c>
      <c r="J201" s="7" t="n">
        <v>0</v>
      </c>
      <c r="K201" s="7">
        <f>G201-J201</f>
        <v/>
      </c>
      <c r="L201" s="7">
        <f>K201*$L$1</f>
        <v/>
      </c>
      <c r="M201" s="9">
        <f>F201/K201</f>
        <v/>
      </c>
      <c r="N201" s="10">
        <f>IF(M201&lt;3.5,"SI",IF(M201&lt;4.5,IF(K201&gt;=100,"SI",IF(K201&gt;=40,"CUIDADO","NO")),IF(AND(M201&lt;5.5,F201&gt;=500,K201&gt;=80),"CUIDADO","NO")))</f>
        <v/>
      </c>
    </row>
    <row r="202" ht="15.75" customHeight="1" s="98">
      <c r="A202" s="11" t="inlineStr">
        <is>
          <t>Balliu</t>
        </is>
      </c>
      <c r="B202" s="11" t="inlineStr">
        <is>
          <t>balliu-mesa-exterior-hpl-140-180100-cm-8e073aab</t>
        </is>
      </c>
      <c r="C202" s="11" t="inlineStr">
        <is>
          <t>BALLIU_MESA_JAVA_140_180X100_EXTE_8E073AAB</t>
        </is>
      </c>
      <c r="D202" s="12" t="inlineStr">
        <is>
          <t>Mesa exterior HPL | 140/180×100 cm</t>
        </is>
      </c>
      <c r="E202" s="13" t="n">
        <v>975.21</v>
      </c>
      <c r="F202" s="13" t="n">
        <v>1573.34</v>
      </c>
      <c r="G202" s="13" t="n">
        <v>325.07</v>
      </c>
      <c r="H202" s="14" t="n">
        <v>25</v>
      </c>
      <c r="I202" s="13" t="n">
        <v>1300.28</v>
      </c>
      <c r="J202" s="13" t="n">
        <v>0</v>
      </c>
      <c r="K202" s="13">
        <f>G202-J202</f>
        <v/>
      </c>
      <c r="L202" s="13">
        <f>K202*$L$1</f>
        <v/>
      </c>
      <c r="M202" s="15">
        <f>F202/K202</f>
        <v/>
      </c>
      <c r="N202" s="10">
        <f>IF(M202&lt;3.5,"SI",IF(M202&lt;4.5,IF(K202&gt;=100,"SI",IF(K202&gt;=40,"CUIDADO","NO")),IF(AND(M202&lt;5.5,F202&gt;=500,K202&gt;=80),"CUIDADO","NO")))</f>
        <v/>
      </c>
    </row>
    <row r="203" ht="15.75" customHeight="1" s="98">
      <c r="A203" s="5" t="inlineStr">
        <is>
          <t>Balliu</t>
        </is>
      </c>
      <c r="B203" s="5" t="inlineStr">
        <is>
          <t>balliu-mesa-exterior-hpl-140-180100-cm-e5e3bb40</t>
        </is>
      </c>
      <c r="C203" s="5" t="inlineStr">
        <is>
          <t>BALLIU_MESA_JAVA_140_180X100_EXTE_E5E3BB40</t>
        </is>
      </c>
      <c r="D203" s="6" t="inlineStr">
        <is>
          <t>Mesa exterior HPL | 140/180×100 cm</t>
        </is>
      </c>
      <c r="E203" s="7" t="n">
        <v>987.5599999999999</v>
      </c>
      <c r="F203" s="7" t="n">
        <v>1593.26</v>
      </c>
      <c r="G203" s="7" t="n">
        <v>329.18</v>
      </c>
      <c r="H203" s="8" t="n">
        <v>25</v>
      </c>
      <c r="I203" s="7" t="n">
        <v>1316.74</v>
      </c>
      <c r="J203" s="7" t="n">
        <v>0</v>
      </c>
      <c r="K203" s="7">
        <f>G203-J203</f>
        <v/>
      </c>
      <c r="L203" s="7">
        <f>K203*$L$1</f>
        <v/>
      </c>
      <c r="M203" s="9">
        <f>F203/K203</f>
        <v/>
      </c>
      <c r="N203" s="10">
        <f>IF(M203&lt;3.5,"SI",IF(M203&lt;4.5,IF(K203&gt;=100,"SI",IF(K203&gt;=40,"CUIDADO","NO")),IF(AND(M203&lt;5.5,F203&gt;=500,K203&gt;=80),"CUIDADO","NO")))</f>
        <v/>
      </c>
    </row>
    <row r="204" ht="15.75" customHeight="1" s="98">
      <c r="A204" s="11" t="inlineStr">
        <is>
          <t>Balliu</t>
        </is>
      </c>
      <c r="B204" s="11" t="inlineStr">
        <is>
          <t>balliu-mesa-exterior-hpl-200-260100-cm-23187ea9</t>
        </is>
      </c>
      <c r="C204" s="11" t="inlineStr">
        <is>
          <t>BALLIU_MESA_JAVA_200_260X100_EXTE_23187EA9</t>
        </is>
      </c>
      <c r="D204" s="12" t="inlineStr">
        <is>
          <t>Mesa exterior HPL | 200/260×100 cm</t>
        </is>
      </c>
      <c r="E204" s="13" t="n">
        <v>1250.19</v>
      </c>
      <c r="F204" s="13" t="n">
        <v>2016.97</v>
      </c>
      <c r="G204" s="13" t="n">
        <v>416.73</v>
      </c>
      <c r="H204" s="14" t="n">
        <v>25</v>
      </c>
      <c r="I204" s="13" t="n">
        <v>1666.92</v>
      </c>
      <c r="J204" s="13" t="n">
        <v>0</v>
      </c>
      <c r="K204" s="13">
        <f>G204-J204</f>
        <v/>
      </c>
      <c r="L204" s="13">
        <f>K204*$L$1</f>
        <v/>
      </c>
      <c r="M204" s="15">
        <f>F204/K204</f>
        <v/>
      </c>
      <c r="N204" s="10">
        <f>IF(M204&lt;3.5,"SI",IF(M204&lt;4.5,IF(K204&gt;=100,"SI",IF(K204&gt;=40,"CUIDADO","NO")),IF(AND(M204&lt;5.5,F204&gt;=500,K204&gt;=80),"CUIDADO","NO")))</f>
        <v/>
      </c>
    </row>
    <row r="205" ht="15.75" customHeight="1" s="98">
      <c r="A205" s="5" t="inlineStr">
        <is>
          <t>Balliu</t>
        </is>
      </c>
      <c r="B205" s="5" t="inlineStr">
        <is>
          <t>balliu-mesa-exterior-hpl-200-260100-cm-4a63be2f</t>
        </is>
      </c>
      <c r="C205" s="5" t="inlineStr">
        <is>
          <t>BALLIU_MESA_JAVA_200_260X100_EXTE_4A63BE2F</t>
        </is>
      </c>
      <c r="D205" s="6" t="inlineStr">
        <is>
          <t>Mesa exterior HPL | 200/260×100 cm</t>
        </is>
      </c>
      <c r="E205" s="7" t="n">
        <v>1423.37</v>
      </c>
      <c r="F205" s="7" t="n">
        <v>2296.36</v>
      </c>
      <c r="G205" s="7" t="n">
        <v>474.45</v>
      </c>
      <c r="H205" s="8" t="n">
        <v>25</v>
      </c>
      <c r="I205" s="7" t="n">
        <v>1897.82</v>
      </c>
      <c r="J205" s="7" t="n">
        <v>0</v>
      </c>
      <c r="K205" s="7">
        <f>G205-J205</f>
        <v/>
      </c>
      <c r="L205" s="7">
        <f>K205*$L$1</f>
        <v/>
      </c>
      <c r="M205" s="9">
        <f>F205/K205</f>
        <v/>
      </c>
      <c r="N205" s="10">
        <f>IF(M205&lt;3.5,"SI",IF(M205&lt;4.5,IF(K205&gt;=100,"SI",IF(K205&gt;=40,"CUIDADO","NO")),IF(AND(M205&lt;5.5,F205&gt;=500,K205&gt;=80),"CUIDADO","NO")))</f>
        <v/>
      </c>
    </row>
    <row r="206" ht="15.75" customHeight="1" s="98">
      <c r="A206" s="11" t="inlineStr">
        <is>
          <t>Balliu</t>
        </is>
      </c>
      <c r="B206" s="11" t="inlineStr">
        <is>
          <t>balliu-mesa-alta-exterior-hpl-45c511e9</t>
        </is>
      </c>
      <c r="C206" s="11" t="inlineStr">
        <is>
          <t>BALLIU_DIAM_70_MESA_ALTA_TABLERO_HPL_45C511E9</t>
        </is>
      </c>
      <c r="D206" s="12" t="inlineStr">
        <is>
          <t>Mesa alta exterior HPL</t>
        </is>
      </c>
      <c r="E206" s="13" t="n">
        <v>273.99</v>
      </c>
      <c r="F206" s="13" t="n">
        <v>510.05</v>
      </c>
      <c r="G206" s="13" t="n">
        <v>147.54</v>
      </c>
      <c r="H206" s="14" t="n">
        <v>35</v>
      </c>
      <c r="I206" s="13" t="n">
        <v>421.53</v>
      </c>
      <c r="J206" s="13" t="n">
        <v>0</v>
      </c>
      <c r="K206" s="13">
        <f>G206-J206</f>
        <v/>
      </c>
      <c r="L206" s="13">
        <f>K206*$L$1</f>
        <v/>
      </c>
      <c r="M206" s="15">
        <f>F206/K206</f>
        <v/>
      </c>
      <c r="N206" s="10">
        <f>IF(M206&lt;3.5,"SI",IF(M206&lt;4.5,IF(K206&gt;=100,"SI",IF(K206&gt;=40,"CUIDADO","NO")),IF(AND(M206&lt;5.5,F206&gt;=500,K206&gt;=80),"CUIDADO","NO")))</f>
        <v/>
      </c>
    </row>
    <row r="207" ht="15.75" customHeight="1" s="98">
      <c r="A207" s="5" t="inlineStr">
        <is>
          <t>Balliu</t>
        </is>
      </c>
      <c r="B207" s="5" t="inlineStr">
        <is>
          <t>balliu-mesa-alta-exterior-hpl-f99491ce</t>
        </is>
      </c>
      <c r="C207" s="5" t="inlineStr">
        <is>
          <t>BALLIU_DIAM_70_MESA_ALTA_TABLERO_HPL_GD_F99491CE</t>
        </is>
      </c>
      <c r="D207" s="6" t="inlineStr">
        <is>
          <t>Mesa alta exterior HPL</t>
        </is>
      </c>
      <c r="E207" s="7" t="n">
        <v>279.99</v>
      </c>
      <c r="F207" s="7" t="n">
        <v>521.21</v>
      </c>
      <c r="G207" s="7" t="n">
        <v>150.76</v>
      </c>
      <c r="H207" s="8" t="n">
        <v>35</v>
      </c>
      <c r="I207" s="7" t="n">
        <v>430.75</v>
      </c>
      <c r="J207" s="7" t="n">
        <v>0</v>
      </c>
      <c r="K207" s="7">
        <f>G207-J207</f>
        <v/>
      </c>
      <c r="L207" s="7">
        <f>K207*$L$1</f>
        <v/>
      </c>
      <c r="M207" s="9">
        <f>F207/K207</f>
        <v/>
      </c>
      <c r="N207" s="10">
        <f>IF(M207&lt;3.5,"SI",IF(M207&lt;4.5,IF(K207&gt;=100,"SI",IF(K207&gt;=40,"CUIDADO","NO")),IF(AND(M207&lt;5.5,F207&gt;=500,K207&gt;=80),"CUIDADO","NO")))</f>
        <v/>
      </c>
    </row>
    <row r="208" ht="15.75" customHeight="1" s="98">
      <c r="A208" s="11" t="inlineStr">
        <is>
          <t>Balliu</t>
        </is>
      </c>
      <c r="B208" s="11" t="inlineStr">
        <is>
          <t>balliu-mesa-exterior-hpl-451e7ba8</t>
        </is>
      </c>
      <c r="C208" s="11" t="inlineStr">
        <is>
          <t>BALLIU_DIAM_70_MESA_TABLERO_HPL_451E7BA8</t>
        </is>
      </c>
      <c r="D208" s="12" t="inlineStr">
        <is>
          <t>Mesa exterior HPL</t>
        </is>
      </c>
      <c r="E208" s="13" t="n">
        <v>187.58</v>
      </c>
      <c r="F208" s="13" t="n">
        <v>349.19</v>
      </c>
      <c r="G208" s="13" t="n">
        <v>101.01</v>
      </c>
      <c r="H208" s="14" t="n">
        <v>35</v>
      </c>
      <c r="I208" s="13" t="n">
        <v>288.59</v>
      </c>
      <c r="J208" s="13" t="n">
        <v>0</v>
      </c>
      <c r="K208" s="13">
        <f>G208-J208</f>
        <v/>
      </c>
      <c r="L208" s="13">
        <f>K208*$L$1</f>
        <v/>
      </c>
      <c r="M208" s="15">
        <f>F208/K208</f>
        <v/>
      </c>
      <c r="N208" s="10">
        <f>IF(M208&lt;3.5,"SI",IF(M208&lt;4.5,IF(K208&gt;=100,"SI",IF(K208&gt;=40,"CUIDADO","NO")),IF(AND(M208&lt;5.5,F208&gt;=500,K208&gt;=80),"CUIDADO","NO")))</f>
        <v/>
      </c>
    </row>
    <row r="209" ht="15.75" customHeight="1" s="98">
      <c r="A209" s="5" t="inlineStr">
        <is>
          <t>Balliu</t>
        </is>
      </c>
      <c r="B209" s="5" t="inlineStr">
        <is>
          <t>balliu-mesa-exterior-hpl-3adfe773</t>
        </is>
      </c>
      <c r="C209" s="5" t="inlineStr">
        <is>
          <t>BALLIU_DIAM_70_MESA_TABLERO_HPL_GD_3ADFE773</t>
        </is>
      </c>
      <c r="D209" s="6" t="inlineStr">
        <is>
          <t>Mesa exterior HPL</t>
        </is>
      </c>
      <c r="E209" s="7" t="n">
        <v>208.21</v>
      </c>
      <c r="F209" s="7" t="n">
        <v>387.59</v>
      </c>
      <c r="G209" s="7" t="n">
        <v>112.11</v>
      </c>
      <c r="H209" s="8" t="n">
        <v>35</v>
      </c>
      <c r="I209" s="7" t="n">
        <v>320.32</v>
      </c>
      <c r="J209" s="7" t="n">
        <v>0</v>
      </c>
      <c r="K209" s="7">
        <f>G209-J209</f>
        <v/>
      </c>
      <c r="L209" s="7">
        <f>K209*$L$1</f>
        <v/>
      </c>
      <c r="M209" s="9">
        <f>F209/K209</f>
        <v/>
      </c>
      <c r="N209" s="10">
        <f>IF(M209&lt;3.5,"SI",IF(M209&lt;4.5,IF(K209&gt;=100,"SI",IF(K209&gt;=40,"CUIDADO","NO")),IF(AND(M209&lt;5.5,F209&gt;=500,K209&gt;=80),"CUIDADO","NO")))</f>
        <v/>
      </c>
    </row>
    <row r="210" ht="15.75" customHeight="1" s="98">
      <c r="A210" s="11" t="inlineStr">
        <is>
          <t>Balliu</t>
        </is>
      </c>
      <c r="B210" s="11" t="inlineStr">
        <is>
          <t>balliu-mesa-exterior-hpl-65e3ca13</t>
        </is>
      </c>
      <c r="C210" s="11" t="inlineStr">
        <is>
          <t>BALLIU_DIAM_80_MESA_TABLERO_HPL_65E3CA13</t>
        </is>
      </c>
      <c r="D210" s="12" t="inlineStr">
        <is>
          <t>Mesa exterior HPL</t>
        </is>
      </c>
      <c r="E210" s="13" t="n">
        <v>207.97</v>
      </c>
      <c r="F210" s="13" t="n">
        <v>387.14</v>
      </c>
      <c r="G210" s="13" t="n">
        <v>111.98</v>
      </c>
      <c r="H210" s="14" t="n">
        <v>35</v>
      </c>
      <c r="I210" s="13" t="n">
        <v>319.95</v>
      </c>
      <c r="J210" s="13" t="n">
        <v>0</v>
      </c>
      <c r="K210" s="13">
        <f>G210-J210</f>
        <v/>
      </c>
      <c r="L210" s="13">
        <f>K210*$L$1</f>
        <v/>
      </c>
      <c r="M210" s="15">
        <f>F210/K210</f>
        <v/>
      </c>
      <c r="N210" s="10">
        <f>IF(M210&lt;3.5,"SI",IF(M210&lt;4.5,IF(K210&gt;=100,"SI",IF(K210&gt;=40,"CUIDADO","NO")),IF(AND(M210&lt;5.5,F210&gt;=500,K210&gt;=80),"CUIDADO","NO")))</f>
        <v/>
      </c>
    </row>
    <row r="211" ht="15.75" customHeight="1" s="98">
      <c r="A211" s="5" t="inlineStr">
        <is>
          <t>Balliu</t>
        </is>
      </c>
      <c r="B211" s="5" t="inlineStr">
        <is>
          <t>balliu-mesa-exterior-hpl-1b4f3962</t>
        </is>
      </c>
      <c r="C211" s="5" t="inlineStr">
        <is>
          <t>BALLIU_DIAM_80_MESA_TABLERO_HPL_GD_1B4F3962</t>
        </is>
      </c>
      <c r="D211" s="6" t="inlineStr">
        <is>
          <t>Mesa exterior HPL</t>
        </is>
      </c>
      <c r="E211" s="7" t="n">
        <v>235.95</v>
      </c>
      <c r="F211" s="7" t="n">
        <v>439.24</v>
      </c>
      <c r="G211" s="7" t="n">
        <v>127.06</v>
      </c>
      <c r="H211" s="8" t="n">
        <v>35</v>
      </c>
      <c r="I211" s="7" t="n">
        <v>363.01</v>
      </c>
      <c r="J211" s="7" t="n">
        <v>0</v>
      </c>
      <c r="K211" s="7">
        <f>G211-J211</f>
        <v/>
      </c>
      <c r="L211" s="7">
        <f>K211*$L$1</f>
        <v/>
      </c>
      <c r="M211" s="9">
        <f>F211/K211</f>
        <v/>
      </c>
      <c r="N211" s="10">
        <f>IF(M211&lt;3.5,"SI",IF(M211&lt;4.5,IF(K211&gt;=100,"SI",IF(K211&gt;=40,"CUIDADO","NO")),IF(AND(M211&lt;5.5,F211&gt;=500,K211&gt;=80),"CUIDADO","NO")))</f>
        <v/>
      </c>
    </row>
    <row r="212" ht="15.75" customHeight="1" s="98">
      <c r="A212" s="11" t="inlineStr">
        <is>
          <t>Balliu</t>
        </is>
      </c>
      <c r="B212" s="11" t="inlineStr">
        <is>
          <t>balliu-mesa-exterior-aluminio-90-cm-22901f1b</t>
        </is>
      </c>
      <c r="C212" s="11" t="inlineStr">
        <is>
          <t>BALLIU_CAPRI_MESA_DIAM_90_TABLE_HP_22901F1B</t>
        </is>
      </c>
      <c r="D212" s="12" t="inlineStr">
        <is>
          <t>Mesa exterior aluminio | Ø90 cm</t>
        </is>
      </c>
      <c r="E212" s="13" t="n">
        <v>209.41</v>
      </c>
      <c r="F212" s="13" t="n">
        <v>389.84</v>
      </c>
      <c r="G212" s="13" t="n">
        <v>112.77</v>
      </c>
      <c r="H212" s="14" t="n">
        <v>35</v>
      </c>
      <c r="I212" s="13" t="n">
        <v>322.18</v>
      </c>
      <c r="J212" s="13" t="n">
        <v>0</v>
      </c>
      <c r="K212" s="13">
        <f>G212-J212</f>
        <v/>
      </c>
      <c r="L212" s="13">
        <f>K212*$L$1</f>
        <v/>
      </c>
      <c r="M212" s="15">
        <f>F212/K212</f>
        <v/>
      </c>
      <c r="N212" s="10">
        <f>IF(M212&lt;3.5,"SI",IF(M212&lt;4.5,IF(K212&gt;=100,"SI",IF(K212&gt;=40,"CUIDADO","NO")),IF(AND(M212&lt;5.5,F212&gt;=500,K212&gt;=80),"CUIDADO","NO")))</f>
        <v/>
      </c>
    </row>
    <row r="213" ht="15.75" customHeight="1" s="98">
      <c r="A213" s="5" t="inlineStr">
        <is>
          <t>Balliu</t>
        </is>
      </c>
      <c r="B213" s="5" t="inlineStr">
        <is>
          <t>balliu-mesa-exterior-aluminio-90-cm-22901f1b</t>
        </is>
      </c>
      <c r="C213" s="5" t="inlineStr">
        <is>
          <t>BALLIU_CAPRI_MESA_DIAM_90_TABLE_HP_6C6DFD1C</t>
        </is>
      </c>
      <c r="D213" s="6" t="inlineStr">
        <is>
          <t>Mesa exterior aluminio | Ø90 cm</t>
        </is>
      </c>
      <c r="E213" s="7" t="n">
        <v>237.88</v>
      </c>
      <c r="F213" s="7" t="n">
        <v>442.82</v>
      </c>
      <c r="G213" s="7" t="n">
        <v>128.09</v>
      </c>
      <c r="H213" s="8" t="n">
        <v>35</v>
      </c>
      <c r="I213" s="7" t="n">
        <v>365.97</v>
      </c>
      <c r="J213" s="7" t="n">
        <v>0</v>
      </c>
      <c r="K213" s="7">
        <f>G213-J213</f>
        <v/>
      </c>
      <c r="L213" s="7">
        <f>K213*$L$1</f>
        <v/>
      </c>
      <c r="M213" s="9">
        <f>F213/K213</f>
        <v/>
      </c>
      <c r="N213" s="10">
        <f>IF(M213&lt;3.5,"SI",IF(M213&lt;4.5,IF(K213&gt;=100,"SI",IF(K213&gt;=40,"CUIDADO","NO")),IF(AND(M213&lt;5.5,F213&gt;=500,K213&gt;=80),"CUIDADO","NO")))</f>
        <v/>
      </c>
    </row>
    <row r="214" ht="15.75" customHeight="1" s="98">
      <c r="A214" s="11" t="inlineStr">
        <is>
          <t>Balliu</t>
        </is>
      </c>
      <c r="B214" s="11" t="inlineStr">
        <is>
          <t>balliu-mesa-exterior-aluminio-7070-cm-724b0db0</t>
        </is>
      </c>
      <c r="C214" s="11" t="inlineStr">
        <is>
          <t>BALLIU_CAPRI_MESA_70X70_PIE_SIMPLE_724B0DB0</t>
        </is>
      </c>
      <c r="D214" s="12" t="inlineStr">
        <is>
          <t>Mesa exterior aluminio | 70×70 cm</t>
        </is>
      </c>
      <c r="E214" s="13" t="n">
        <v>203.29</v>
      </c>
      <c r="F214" s="13" t="n">
        <v>378.43</v>
      </c>
      <c r="G214" s="13" t="n">
        <v>109.46</v>
      </c>
      <c r="H214" s="14" t="n">
        <v>35</v>
      </c>
      <c r="I214" s="13" t="n">
        <v>312.75</v>
      </c>
      <c r="J214" s="13" t="n">
        <v>0</v>
      </c>
      <c r="K214" s="13">
        <f>G214-J214</f>
        <v/>
      </c>
      <c r="L214" s="13">
        <f>K214*$L$1</f>
        <v/>
      </c>
      <c r="M214" s="15">
        <f>F214/K214</f>
        <v/>
      </c>
      <c r="N214" s="10">
        <f>IF(M214&lt;3.5,"SI",IF(M214&lt;4.5,IF(K214&gt;=100,"SI",IF(K214&gt;=40,"CUIDADO","NO")),IF(AND(M214&lt;5.5,F214&gt;=500,K214&gt;=80),"CUIDADO","NO")))</f>
        <v/>
      </c>
    </row>
    <row r="215" ht="15.75" customHeight="1" s="98">
      <c r="A215" s="5" t="inlineStr">
        <is>
          <t>Balliu</t>
        </is>
      </c>
      <c r="B215" s="5" t="inlineStr">
        <is>
          <t>balliu-mesa-exterior-aluminio-7070-cm-724b0db0</t>
        </is>
      </c>
      <c r="C215" s="5" t="inlineStr">
        <is>
          <t>BALLIU_CAPRI_MESA_70X70_PIE_SIMPLE_A0A23F40</t>
        </is>
      </c>
      <c r="D215" s="6" t="inlineStr">
        <is>
          <t>Mesa exterior aluminio | 70×70 cm</t>
        </is>
      </c>
      <c r="E215" s="7" t="n">
        <v>232.21</v>
      </c>
      <c r="F215" s="7" t="n">
        <v>432.27</v>
      </c>
      <c r="G215" s="7" t="n">
        <v>125.04</v>
      </c>
      <c r="H215" s="8" t="n">
        <v>35</v>
      </c>
      <c r="I215" s="7" t="n">
        <v>357.25</v>
      </c>
      <c r="J215" s="7" t="n">
        <v>0</v>
      </c>
      <c r="K215" s="7">
        <f>G215-J215</f>
        <v/>
      </c>
      <c r="L215" s="7">
        <f>K215*$L$1</f>
        <v/>
      </c>
      <c r="M215" s="9">
        <f>F215/K215</f>
        <v/>
      </c>
      <c r="N215" s="10">
        <f>IF(M215&lt;3.5,"SI",IF(M215&lt;4.5,IF(K215&gt;=100,"SI",IF(K215&gt;=40,"CUIDADO","NO")),IF(AND(M215&lt;5.5,F215&gt;=500,K215&gt;=80),"CUIDADO","NO")))</f>
        <v/>
      </c>
    </row>
    <row r="216" ht="15.75" customHeight="1" s="98">
      <c r="A216" s="11" t="inlineStr">
        <is>
          <t>Balliu</t>
        </is>
      </c>
      <c r="B216" s="11" t="inlineStr">
        <is>
          <t>balliu-mesa-exterior-aluminio-7070-cm-724b0db0</t>
        </is>
      </c>
      <c r="C216" s="11" t="inlineStr">
        <is>
          <t>BALLIU_CAPRI_MESA_80X80_PIE_SIMPLE_2A80CB3A</t>
        </is>
      </c>
      <c r="D216" s="12" t="inlineStr">
        <is>
          <t>Mesa exterior aluminio | 80×80 cm</t>
        </is>
      </c>
      <c r="E216" s="13" t="n">
        <v>218.28</v>
      </c>
      <c r="F216" s="13" t="n">
        <v>406.34</v>
      </c>
      <c r="G216" s="13" t="n">
        <v>117.54</v>
      </c>
      <c r="H216" s="14" t="n">
        <v>35</v>
      </c>
      <c r="I216" s="13" t="n">
        <v>335.82</v>
      </c>
      <c r="J216" s="13" t="n">
        <v>0</v>
      </c>
      <c r="K216" s="13">
        <f>G216-J216</f>
        <v/>
      </c>
      <c r="L216" s="13">
        <f>K216*$L$1</f>
        <v/>
      </c>
      <c r="M216" s="15">
        <f>F216/K216</f>
        <v/>
      </c>
      <c r="N216" s="10">
        <f>IF(M216&lt;3.5,"SI",IF(M216&lt;4.5,IF(K216&gt;=100,"SI",IF(K216&gt;=40,"CUIDADO","NO")),IF(AND(M216&lt;5.5,F216&gt;=500,K216&gt;=80),"CUIDADO","NO")))</f>
        <v/>
      </c>
    </row>
    <row r="217" ht="15.75" customHeight="1" s="98">
      <c r="A217" s="5" t="inlineStr">
        <is>
          <t>Balliu</t>
        </is>
      </c>
      <c r="B217" s="5" t="inlineStr">
        <is>
          <t>balliu-mesa-exterior-aluminio-7070-cm-724b0db0</t>
        </is>
      </c>
      <c r="C217" s="5" t="inlineStr">
        <is>
          <t>BALLIU_CAPRI_MESA_80X80_PIE_SIMPLE_8CA835FF</t>
        </is>
      </c>
      <c r="D217" s="6" t="inlineStr">
        <is>
          <t>Mesa exterior aluminio | 80×80 cm</t>
        </is>
      </c>
      <c r="E217" s="7" t="n">
        <v>228.9</v>
      </c>
      <c r="F217" s="7" t="n">
        <v>426.1</v>
      </c>
      <c r="G217" s="7" t="n">
        <v>123.25</v>
      </c>
      <c r="H217" s="8" t="n">
        <v>35</v>
      </c>
      <c r="I217" s="7" t="n">
        <v>352.15</v>
      </c>
      <c r="J217" s="7" t="n">
        <v>0</v>
      </c>
      <c r="K217" s="7">
        <f>G217-J217</f>
        <v/>
      </c>
      <c r="L217" s="7">
        <f>K217*$L$1</f>
        <v/>
      </c>
      <c r="M217" s="9">
        <f>F217/K217</f>
        <v/>
      </c>
      <c r="N217" s="10">
        <f>IF(M217&lt;3.5,"SI",IF(M217&lt;4.5,IF(K217&gt;=100,"SI",IF(K217&gt;=40,"CUIDADO","NO")),IF(AND(M217&lt;5.5,F217&gt;=500,K217&gt;=80),"CUIDADO","NO")))</f>
        <v/>
      </c>
    </row>
    <row r="218" ht="15.75" customHeight="1" s="98">
      <c r="A218" s="11" t="inlineStr">
        <is>
          <t>Balliu</t>
        </is>
      </c>
      <c r="B218" s="11" t="inlineStr">
        <is>
          <t>balliu-mesa-exterior-aluminio-7070-cm-724b0db0</t>
        </is>
      </c>
      <c r="C218" s="11" t="inlineStr">
        <is>
          <t>BALLIU_CAPRI_MESA_120X80_PIE_DOBLE_5C848C82</t>
        </is>
      </c>
      <c r="D218" s="12" t="inlineStr">
        <is>
          <t>Mesa exterior aluminio | 120×80 cm</t>
        </is>
      </c>
      <c r="E218" s="13" t="n">
        <v>285.53</v>
      </c>
      <c r="F218" s="13" t="n">
        <v>531.53</v>
      </c>
      <c r="G218" s="13" t="n">
        <v>153.75</v>
      </c>
      <c r="H218" s="14" t="n">
        <v>35</v>
      </c>
      <c r="I218" s="13" t="n">
        <v>439.28</v>
      </c>
      <c r="J218" s="13" t="n">
        <v>0</v>
      </c>
      <c r="K218" s="13">
        <f>G218-J218</f>
        <v/>
      </c>
      <c r="L218" s="13">
        <f>K218*$L$1</f>
        <v/>
      </c>
      <c r="M218" s="15">
        <f>F218/K218</f>
        <v/>
      </c>
      <c r="N218" s="10">
        <f>IF(M218&lt;3.5,"SI",IF(M218&lt;4.5,IF(K218&gt;=100,"SI",IF(K218&gt;=40,"CUIDADO","NO")),IF(AND(M218&lt;5.5,F218&gt;=500,K218&gt;=80),"CUIDADO","NO")))</f>
        <v/>
      </c>
    </row>
    <row r="219" ht="15.75" customHeight="1" s="98">
      <c r="A219" s="5" t="inlineStr">
        <is>
          <t>Balliu</t>
        </is>
      </c>
      <c r="B219" s="5" t="inlineStr">
        <is>
          <t>balliu-mesa-exterior-aluminio-7070-cm-724b0db0</t>
        </is>
      </c>
      <c r="C219" s="5" t="inlineStr">
        <is>
          <t>BALLIU_CAPRI_MESA_120X80_PIE_DOBLE_798DCADF</t>
        </is>
      </c>
      <c r="D219" s="6" t="inlineStr">
        <is>
          <t>Mesa exterior aluminio | 120×80 cm</t>
        </is>
      </c>
      <c r="E219" s="7" t="n">
        <v>334.63</v>
      </c>
      <c r="F219" s="7" t="n">
        <v>622.9299999999999</v>
      </c>
      <c r="G219" s="7" t="n">
        <v>180.19</v>
      </c>
      <c r="H219" s="8" t="n">
        <v>35</v>
      </c>
      <c r="I219" s="7" t="n">
        <v>514.8200000000001</v>
      </c>
      <c r="J219" s="7" t="n">
        <v>0</v>
      </c>
      <c r="K219" s="7">
        <f>G219-J219</f>
        <v/>
      </c>
      <c r="L219" s="7">
        <f>K219*$L$1</f>
        <v/>
      </c>
      <c r="M219" s="9">
        <f>F219/K219</f>
        <v/>
      </c>
      <c r="N219" s="10">
        <f>IF(M219&lt;3.5,"SI",IF(M219&lt;4.5,IF(K219&gt;=100,"SI",IF(K219&gt;=40,"CUIDADO","NO")),IF(AND(M219&lt;5.5,F219&gt;=500,K219&gt;=80),"CUIDADO","NO")))</f>
        <v/>
      </c>
    </row>
    <row r="220" ht="15.75" customHeight="1" s="98">
      <c r="A220" s="11" t="inlineStr">
        <is>
          <t>Balliu</t>
        </is>
      </c>
      <c r="B220" s="11" t="inlineStr">
        <is>
          <t>balliu-mesa-exterior-aluminio-7070-cm-724b0db0</t>
        </is>
      </c>
      <c r="C220" s="11" t="inlineStr">
        <is>
          <t>BALLIU_CAPRI_MESA_120X80_PIE_DOBLE_3C3BF077</t>
        </is>
      </c>
      <c r="D220" s="12" t="inlineStr">
        <is>
          <t>Mesa exterior aluminio | 120×80 cm</t>
        </is>
      </c>
      <c r="E220" s="13" t="n">
        <v>325.1</v>
      </c>
      <c r="F220" s="13" t="n">
        <v>605.1799999999999</v>
      </c>
      <c r="G220" s="13" t="n">
        <v>175.05</v>
      </c>
      <c r="H220" s="14" t="n">
        <v>35</v>
      </c>
      <c r="I220" s="13" t="n">
        <v>500.15</v>
      </c>
      <c r="J220" s="13" t="n">
        <v>0</v>
      </c>
      <c r="K220" s="13">
        <f>G220-J220</f>
        <v/>
      </c>
      <c r="L220" s="13">
        <f>K220*$L$1</f>
        <v/>
      </c>
      <c r="M220" s="15">
        <f>F220/K220</f>
        <v/>
      </c>
      <c r="N220" s="10">
        <f>IF(M220&lt;3.5,"SI",IF(M220&lt;4.5,IF(K220&gt;=100,"SI",IF(K220&gt;=40,"CUIDADO","NO")),IF(AND(M220&lt;5.5,F220&gt;=500,K220&gt;=80),"CUIDADO","NO")))</f>
        <v/>
      </c>
    </row>
    <row r="221" ht="15.75" customHeight="1" s="98">
      <c r="A221" s="5" t="inlineStr">
        <is>
          <t>Balliu</t>
        </is>
      </c>
      <c r="B221" s="5" t="inlineStr">
        <is>
          <t>balliu-mesa-exterior-aluminio-7070-cm-724b0db0</t>
        </is>
      </c>
      <c r="C221" s="5" t="inlineStr">
        <is>
          <t>BALLIU_CAPRI_MESA_120X80_PIE_DOBLE_05C442CF</t>
        </is>
      </c>
      <c r="D221" s="6" t="inlineStr">
        <is>
          <t>Mesa exterior aluminio | 120×80 cm</t>
        </is>
      </c>
      <c r="E221" s="7" t="n">
        <v>358.03</v>
      </c>
      <c r="F221" s="7" t="n">
        <v>666.49</v>
      </c>
      <c r="G221" s="7" t="n">
        <v>192.79</v>
      </c>
      <c r="H221" s="8" t="n">
        <v>35</v>
      </c>
      <c r="I221" s="7" t="n">
        <v>550.8200000000001</v>
      </c>
      <c r="J221" s="7" t="n">
        <v>0</v>
      </c>
      <c r="K221" s="7">
        <f>G221-J221</f>
        <v/>
      </c>
      <c r="L221" s="7">
        <f>K221*$L$1</f>
        <v/>
      </c>
      <c r="M221" s="9">
        <f>F221/K221</f>
        <v/>
      </c>
      <c r="N221" s="10">
        <f>IF(M221&lt;3.5,"SI",IF(M221&lt;4.5,IF(K221&gt;=100,"SI",IF(K221&gt;=40,"CUIDADO","NO")),IF(AND(M221&lt;5.5,F221&gt;=500,K221&gt;=80),"CUIDADO","NO")))</f>
        <v/>
      </c>
    </row>
    <row r="222" ht="15.75" customHeight="1" s="98">
      <c r="A222" s="11" t="inlineStr">
        <is>
          <t>Balliu</t>
        </is>
      </c>
      <c r="B222" s="11" t="inlineStr">
        <is>
          <t>balliu-mesa-alta-exterior-hpl-a3352658-2</t>
        </is>
      </c>
      <c r="C222" s="11" t="inlineStr">
        <is>
          <t>BALLIU_60X60_MESA_ALTA_TABLERO_HPL_GD_A3352658</t>
        </is>
      </c>
      <c r="D222" s="12" t="inlineStr">
        <is>
          <t>Mesa alta exterior HPL</t>
        </is>
      </c>
      <c r="E222" s="13" t="n">
        <v>245.33</v>
      </c>
      <c r="F222" s="13" t="n">
        <v>456.69</v>
      </c>
      <c r="G222" s="13" t="n">
        <v>132.1</v>
      </c>
      <c r="H222" s="14" t="n">
        <v>35</v>
      </c>
      <c r="I222" s="13" t="n">
        <v>377.43</v>
      </c>
      <c r="J222" s="13" t="n">
        <v>0</v>
      </c>
      <c r="K222" s="13">
        <f>G222-J222</f>
        <v/>
      </c>
      <c r="L222" s="13">
        <f>K222*$L$1</f>
        <v/>
      </c>
      <c r="M222" s="15">
        <f>F222/K222</f>
        <v/>
      </c>
      <c r="N222" s="10">
        <f>IF(M222&lt;3.5,"SI",IF(M222&lt;4.5,IF(K222&gt;=100,"SI",IF(K222&gt;=40,"CUIDADO","NO")),IF(AND(M222&lt;5.5,F222&gt;=500,K222&gt;=80),"CUIDADO","NO")))</f>
        <v/>
      </c>
    </row>
    <row r="223" ht="15.75" customHeight="1" s="98">
      <c r="A223" s="5" t="inlineStr">
        <is>
          <t>Balliu</t>
        </is>
      </c>
      <c r="B223" s="5" t="inlineStr">
        <is>
          <t>balliu-mesa-alta-exterior-hpl-a3352658-2</t>
        </is>
      </c>
      <c r="C223" s="5" t="inlineStr">
        <is>
          <t>BALLIU_60X60_MESA_ALTA_TABLERO_HPL_GD_A3352658</t>
        </is>
      </c>
      <c r="D223" s="6" t="inlineStr">
        <is>
          <t>Mesa alta exterior HPL</t>
        </is>
      </c>
      <c r="E223" s="7" t="n">
        <v>263.01</v>
      </c>
      <c r="F223" s="7" t="n">
        <v>489.6</v>
      </c>
      <c r="G223" s="7" t="n">
        <v>141.62</v>
      </c>
      <c r="H223" s="8" t="n">
        <v>35</v>
      </c>
      <c r="I223" s="7" t="n">
        <v>404.63</v>
      </c>
      <c r="J223" s="7" t="n">
        <v>0</v>
      </c>
      <c r="K223" s="7">
        <f>G223-J223</f>
        <v/>
      </c>
      <c r="L223" s="7">
        <f>K223*$L$1</f>
        <v/>
      </c>
      <c r="M223" s="9">
        <f>F223/K223</f>
        <v/>
      </c>
      <c r="N223" s="10">
        <f>IF(M223&lt;3.5,"SI",IF(M223&lt;4.5,IF(K223&gt;=100,"SI",IF(K223&gt;=40,"CUIDADO","NO")),IF(AND(M223&lt;5.5,F223&gt;=500,K223&gt;=80),"CUIDADO","NO")))</f>
        <v/>
      </c>
    </row>
    <row r="224" ht="15.75" customHeight="1" s="98">
      <c r="A224" s="11" t="inlineStr">
        <is>
          <t>Balliu</t>
        </is>
      </c>
      <c r="B224" s="11" t="inlineStr">
        <is>
          <t>balliu-mesa-alta-exterior-hpl-94512eab</t>
        </is>
      </c>
      <c r="C224" s="11" t="inlineStr">
        <is>
          <t>BALLIU_70X70_MESA_ALTA_TABLERO_HPL_94512EAB</t>
        </is>
      </c>
      <c r="D224" s="12" t="inlineStr">
        <is>
          <t>Mesa alta exterior HPL</t>
        </is>
      </c>
      <c r="E224" s="13" t="n">
        <v>283.88</v>
      </c>
      <c r="F224" s="13" t="n">
        <v>528.46</v>
      </c>
      <c r="G224" s="13" t="n">
        <v>152.86</v>
      </c>
      <c r="H224" s="14" t="n">
        <v>35</v>
      </c>
      <c r="I224" s="13" t="n">
        <v>436.74</v>
      </c>
      <c r="J224" s="13" t="n">
        <v>0</v>
      </c>
      <c r="K224" s="13">
        <f>G224-J224</f>
        <v/>
      </c>
      <c r="L224" s="13">
        <f>K224*$L$1</f>
        <v/>
      </c>
      <c r="M224" s="15">
        <f>F224/K224</f>
        <v/>
      </c>
      <c r="N224" s="10">
        <f>IF(M224&lt;3.5,"SI",IF(M224&lt;4.5,IF(K224&gt;=100,"SI",IF(K224&gt;=40,"CUIDADO","NO")),IF(AND(M224&lt;5.5,F224&gt;=500,K224&gt;=80),"CUIDADO","NO")))</f>
        <v/>
      </c>
    </row>
    <row r="225" ht="15.75" customHeight="1" s="98">
      <c r="A225" s="5" t="inlineStr">
        <is>
          <t>Balliu</t>
        </is>
      </c>
      <c r="B225" s="5" t="inlineStr">
        <is>
          <t>balliu-mesa-alta-exterior-hpl-5d74130e</t>
        </is>
      </c>
      <c r="C225" s="5" t="inlineStr">
        <is>
          <t>BALLIU_70X70_MESA_ALTA_TABLERO_HPL_GD_5D74130E</t>
        </is>
      </c>
      <c r="D225" s="6" t="inlineStr">
        <is>
          <t>Mesa alta exterior HPL</t>
        </is>
      </c>
      <c r="E225" s="7" t="n">
        <v>317.28</v>
      </c>
      <c r="F225" s="7" t="n">
        <v>590.63</v>
      </c>
      <c r="G225" s="7" t="n">
        <v>170.84</v>
      </c>
      <c r="H225" s="8" t="n">
        <v>35</v>
      </c>
      <c r="I225" s="7" t="n">
        <v>488.12</v>
      </c>
      <c r="J225" s="7" t="n">
        <v>0</v>
      </c>
      <c r="K225" s="7">
        <f>G225-J225</f>
        <v/>
      </c>
      <c r="L225" s="7">
        <f>K225*$L$1</f>
        <v/>
      </c>
      <c r="M225" s="9">
        <f>F225/K225</f>
        <v/>
      </c>
      <c r="N225" s="10">
        <f>IF(M225&lt;3.5,"SI",IF(M225&lt;4.5,IF(K225&gt;=100,"SI",IF(K225&gt;=40,"CUIDADO","NO")),IF(AND(M225&lt;5.5,F225&gt;=500,K225&gt;=80),"CUIDADO","NO")))</f>
        <v/>
      </c>
    </row>
    <row r="226" ht="15.75" customHeight="1" s="98">
      <c r="A226" s="11" t="inlineStr">
        <is>
          <t>Balliu</t>
        </is>
      </c>
      <c r="B226" s="11" t="inlineStr">
        <is>
          <t>balliu-mesa-exterior-hpl-7070-cm-9d14e31f</t>
        </is>
      </c>
      <c r="C226" s="11" t="inlineStr">
        <is>
          <t>BALLIU_SOFIA_MESA_70X70_TABLERO_HP_9D14E31F</t>
        </is>
      </c>
      <c r="D226" s="12" t="inlineStr">
        <is>
          <t>Mesa exterior HPL | 70×70 cm</t>
        </is>
      </c>
      <c r="E226" s="13" t="n">
        <v>178.35</v>
      </c>
      <c r="F226" s="13" t="n">
        <v>332.01</v>
      </c>
      <c r="G226" s="13" t="n">
        <v>96.04000000000001</v>
      </c>
      <c r="H226" s="14" t="n">
        <v>35</v>
      </c>
      <c r="I226" s="13" t="n">
        <v>274.39</v>
      </c>
      <c r="J226" s="13" t="n">
        <v>0</v>
      </c>
      <c r="K226" s="13">
        <f>G226-J226</f>
        <v/>
      </c>
      <c r="L226" s="13">
        <f>K226*$L$1</f>
        <v/>
      </c>
      <c r="M226" s="15">
        <f>F226/K226</f>
        <v/>
      </c>
      <c r="N226" s="10">
        <f>IF(M226&lt;3.5,"SI",IF(M226&lt;4.5,IF(K226&gt;=100,"SI",IF(K226&gt;=40,"CUIDADO","NO")),IF(AND(M226&lt;5.5,F226&gt;=500,K226&gt;=80),"CUIDADO","NO")))</f>
        <v/>
      </c>
    </row>
    <row r="227" ht="15.75" customHeight="1" s="98">
      <c r="A227" s="5" t="inlineStr">
        <is>
          <t>Balliu</t>
        </is>
      </c>
      <c r="B227" s="5" t="inlineStr">
        <is>
          <t>balliu-mesa-exterior-hpl-7070-cm-146f72ca</t>
        </is>
      </c>
      <c r="C227" s="5" t="inlineStr">
        <is>
          <t>BALLIU_SOFIA_MESA_70X70_TABLERO_HP_146F72CA</t>
        </is>
      </c>
      <c r="D227" s="6" t="inlineStr">
        <is>
          <t>Mesa exterior HPL | 70×70 cm</t>
        </is>
      </c>
      <c r="E227" s="7" t="n">
        <v>177.5</v>
      </c>
      <c r="F227" s="7" t="n">
        <v>330.43</v>
      </c>
      <c r="G227" s="7" t="n">
        <v>95.58</v>
      </c>
      <c r="H227" s="8" t="n">
        <v>35</v>
      </c>
      <c r="I227" s="7" t="n">
        <v>273.08</v>
      </c>
      <c r="J227" s="7" t="n">
        <v>0</v>
      </c>
      <c r="K227" s="7">
        <f>G227-J227</f>
        <v/>
      </c>
      <c r="L227" s="7">
        <f>K227*$L$1</f>
        <v/>
      </c>
      <c r="M227" s="9">
        <f>F227/K227</f>
        <v/>
      </c>
      <c r="N227" s="10">
        <f>IF(M227&lt;3.5,"SI",IF(M227&lt;4.5,IF(K227&gt;=100,"SI",IF(K227&gt;=40,"CUIDADO","NO")),IF(AND(M227&lt;5.5,F227&gt;=500,K227&gt;=80),"CUIDADO","NO")))</f>
        <v/>
      </c>
    </row>
    <row r="228" ht="15.75" customHeight="1" s="98">
      <c r="A228" s="11" t="inlineStr">
        <is>
          <t>Balliu</t>
        </is>
      </c>
      <c r="B228" s="11" t="inlineStr">
        <is>
          <t>balliu-mesa-exterior-hpl-8080-cm-1a2fe7b5</t>
        </is>
      </c>
      <c r="C228" s="11" t="inlineStr">
        <is>
          <t>BALLIU_SOFIA_MESA_80X80_TABLERO_HP_1A2FE7B5</t>
        </is>
      </c>
      <c r="D228" s="12" t="inlineStr">
        <is>
          <t>Mesa exterior HPL | 80×80 cm</t>
        </is>
      </c>
      <c r="E228" s="13" t="n">
        <v>186.98</v>
      </c>
      <c r="F228" s="13" t="n">
        <v>348.07</v>
      </c>
      <c r="G228" s="13" t="n">
        <v>100.68</v>
      </c>
      <c r="H228" s="14" t="n">
        <v>35</v>
      </c>
      <c r="I228" s="13" t="n">
        <v>287.66</v>
      </c>
      <c r="J228" s="13" t="n">
        <v>0</v>
      </c>
      <c r="K228" s="13">
        <f>G228-J228</f>
        <v/>
      </c>
      <c r="L228" s="13">
        <f>K228*$L$1</f>
        <v/>
      </c>
      <c r="M228" s="15">
        <f>F228/K228</f>
        <v/>
      </c>
      <c r="N228" s="10">
        <f>IF(M228&lt;3.5,"SI",IF(M228&lt;4.5,IF(K228&gt;=100,"SI",IF(K228&gt;=40,"CUIDADO","NO")),IF(AND(M228&lt;5.5,F228&gt;=500,K228&gt;=80),"CUIDADO","NO")))</f>
        <v/>
      </c>
    </row>
    <row r="229" ht="15.75" customHeight="1" s="98">
      <c r="A229" s="5" t="inlineStr">
        <is>
          <t>Balliu</t>
        </is>
      </c>
      <c r="B229" s="5" t="inlineStr">
        <is>
          <t>balliu-mesa-exterior-hpl-8080-cm-96593887</t>
        </is>
      </c>
      <c r="C229" s="5" t="inlineStr">
        <is>
          <t>BALLIU_SOFIA_MESA_80X80_TABLERO_HP_96593887</t>
        </is>
      </c>
      <c r="D229" s="6" t="inlineStr">
        <is>
          <t>Mesa exterior HPL | 80×80 cm</t>
        </is>
      </c>
      <c r="E229" s="7" t="n">
        <v>206.53</v>
      </c>
      <c r="F229" s="7" t="n">
        <v>384.48</v>
      </c>
      <c r="G229" s="7" t="n">
        <v>111.22</v>
      </c>
      <c r="H229" s="8" t="n">
        <v>35</v>
      </c>
      <c r="I229" s="7" t="n">
        <v>317.75</v>
      </c>
      <c r="J229" s="7" t="n">
        <v>0</v>
      </c>
      <c r="K229" s="7">
        <f>G229-J229</f>
        <v/>
      </c>
      <c r="L229" s="7">
        <f>K229*$L$1</f>
        <v/>
      </c>
      <c r="M229" s="9">
        <f>F229/K229</f>
        <v/>
      </c>
      <c r="N229" s="10">
        <f>IF(M229&lt;3.5,"SI",IF(M229&lt;4.5,IF(K229&gt;=100,"SI",IF(K229&gt;=40,"CUIDADO","NO")),IF(AND(M229&lt;5.5,F229&gt;=500,K229&gt;=80),"CUIDADO","NO")))</f>
        <v/>
      </c>
    </row>
    <row r="230" ht="15.75" customHeight="1" s="98">
      <c r="A230" s="11" t="inlineStr">
        <is>
          <t>Balliu</t>
        </is>
      </c>
      <c r="B230" s="11" t="inlineStr">
        <is>
          <t>balliu-mesa-exterior-hpl-7070-cm-f6074154</t>
        </is>
      </c>
      <c r="C230" s="11" t="inlineStr">
        <is>
          <t>BALLIU_SOFIA_MESA_70X70_HPL_F6074154</t>
        </is>
      </c>
      <c r="D230" s="12" t="inlineStr">
        <is>
          <t>Mesa exterior HPL | 70×70 cm</t>
        </is>
      </c>
      <c r="E230" s="13" t="n">
        <v>226.39</v>
      </c>
      <c r="F230" s="13" t="n">
        <v>421.43</v>
      </c>
      <c r="G230" s="13" t="n">
        <v>121.9</v>
      </c>
      <c r="H230" s="14" t="n">
        <v>35</v>
      </c>
      <c r="I230" s="13" t="n">
        <v>348.29</v>
      </c>
      <c r="J230" s="13" t="n">
        <v>0</v>
      </c>
      <c r="K230" s="13">
        <f>G230-J230</f>
        <v/>
      </c>
      <c r="L230" s="13">
        <f>K230*$L$1</f>
        <v/>
      </c>
      <c r="M230" s="15">
        <f>F230/K230</f>
        <v/>
      </c>
      <c r="N230" s="10">
        <f>IF(M230&lt;3.5,"SI",IF(M230&lt;4.5,IF(K230&gt;=100,"SI",IF(K230&gt;=40,"CUIDADO","NO")),IF(AND(M230&lt;5.5,F230&gt;=500,K230&gt;=80),"CUIDADO","NO")))</f>
        <v/>
      </c>
    </row>
    <row r="231" ht="15.75" customHeight="1" s="98">
      <c r="A231" s="5" t="inlineStr">
        <is>
          <t>Balliu</t>
        </is>
      </c>
      <c r="B231" s="5" t="inlineStr">
        <is>
          <t>balliu-mesa-exterior-aluminio-7070-cm-1b61e6b6</t>
        </is>
      </c>
      <c r="C231" s="5" t="inlineStr">
        <is>
          <t>BALLIU_ALTEA_MESA_70_X_70_HPL_GD_1B61E6B6</t>
        </is>
      </c>
      <c r="D231" s="6" t="inlineStr">
        <is>
          <t>Mesa exterior aluminio | 70×70 cm</t>
        </is>
      </c>
      <c r="E231" s="7" t="n">
        <v>258.36</v>
      </c>
      <c r="F231" s="7" t="n">
        <v>480.94</v>
      </c>
      <c r="G231" s="7" t="n">
        <v>139.11</v>
      </c>
      <c r="H231" s="8" t="n">
        <v>35</v>
      </c>
      <c r="I231" s="7" t="n">
        <v>397.47</v>
      </c>
      <c r="J231" s="7" t="n">
        <v>0</v>
      </c>
      <c r="K231" s="7">
        <f>G231-J231</f>
        <v/>
      </c>
      <c r="L231" s="7">
        <f>K231*$L$1</f>
        <v/>
      </c>
      <c r="M231" s="9">
        <f>F231/K231</f>
        <v/>
      </c>
      <c r="N231" s="10">
        <f>IF(M231&lt;3.5,"SI",IF(M231&lt;4.5,IF(K231&gt;=100,"SI",IF(K231&gt;=40,"CUIDADO","NO")),IF(AND(M231&lt;5.5,F231&gt;=500,K231&gt;=80),"CUIDADO","NO")))</f>
        <v/>
      </c>
    </row>
    <row r="232" ht="15.75" customHeight="1" s="98">
      <c r="A232" s="11" t="inlineStr">
        <is>
          <t>Balliu</t>
        </is>
      </c>
      <c r="B232" s="11" t="inlineStr">
        <is>
          <t>balliu-mesa-exterior-aluminio-8080-cm-a05618ad</t>
        </is>
      </c>
      <c r="C232" s="11" t="inlineStr">
        <is>
          <t>BALLIU_ALTEA_MESA_80_X_80_HPL_A05618AD</t>
        </is>
      </c>
      <c r="D232" s="12" t="inlineStr">
        <is>
          <t>Mesa exterior aluminio | 80×80 cm</t>
        </is>
      </c>
      <c r="E232" s="13" t="n">
        <v>226.79</v>
      </c>
      <c r="F232" s="13" t="n">
        <v>422.17</v>
      </c>
      <c r="G232" s="13" t="n">
        <v>122.11</v>
      </c>
      <c r="H232" s="14" t="n">
        <v>35</v>
      </c>
      <c r="I232" s="13" t="n">
        <v>348.9</v>
      </c>
      <c r="J232" s="13" t="n">
        <v>0</v>
      </c>
      <c r="K232" s="13">
        <f>G232-J232</f>
        <v/>
      </c>
      <c r="L232" s="13">
        <f>K232*$L$1</f>
        <v/>
      </c>
      <c r="M232" s="15">
        <f>F232/K232</f>
        <v/>
      </c>
      <c r="N232" s="10">
        <f>IF(M232&lt;3.5,"SI",IF(M232&lt;4.5,IF(K232&gt;=100,"SI",IF(K232&gt;=40,"CUIDADO","NO")),IF(AND(M232&lt;5.5,F232&gt;=500,K232&gt;=80),"CUIDADO","NO")))</f>
        <v/>
      </c>
    </row>
    <row r="233" ht="15.75" customHeight="1" s="98">
      <c r="A233" s="5" t="inlineStr">
        <is>
          <t>Balliu</t>
        </is>
      </c>
      <c r="B233" s="5" t="inlineStr">
        <is>
          <t>balliu-mesa-exterior-aluminio-8080-cm-0a3ee957</t>
        </is>
      </c>
      <c r="C233" s="5" t="inlineStr">
        <is>
          <t>BALLIU_ALTEA_MESA_80_X_80_HPL_GD_0A3EE957</t>
        </is>
      </c>
      <c r="D233" s="6" t="inlineStr">
        <is>
          <t>Mesa exterior aluminio | 80×80 cm</t>
        </is>
      </c>
      <c r="E233" s="7" t="n">
        <v>258.75</v>
      </c>
      <c r="F233" s="7" t="n">
        <v>481.68</v>
      </c>
      <c r="G233" s="7" t="n">
        <v>139.33</v>
      </c>
      <c r="H233" s="8" t="n">
        <v>35</v>
      </c>
      <c r="I233" s="7" t="n">
        <v>398.08</v>
      </c>
      <c r="J233" s="7" t="n">
        <v>0</v>
      </c>
      <c r="K233" s="7">
        <f>G233-J233</f>
        <v/>
      </c>
      <c r="L233" s="7">
        <f>K233*$L$1</f>
        <v/>
      </c>
      <c r="M233" s="9">
        <f>F233/K233</f>
        <v/>
      </c>
      <c r="N233" s="10">
        <f>IF(M233&lt;3.5,"SI",IF(M233&lt;4.5,IF(K233&gt;=100,"SI",IF(K233&gt;=40,"CUIDADO","NO")),IF(AND(M233&lt;5.5,F233&gt;=500,K233&gt;=80),"CUIDADO","NO")))</f>
        <v/>
      </c>
    </row>
    <row r="234" ht="15.75" customHeight="1" s="98">
      <c r="A234" s="11" t="inlineStr">
        <is>
          <t>Balliu</t>
        </is>
      </c>
      <c r="B234" s="11" t="inlineStr">
        <is>
          <t>balliu-mesa-exterior-aluminio-80-cm-50525e0b</t>
        </is>
      </c>
      <c r="C234" s="11" t="inlineStr">
        <is>
          <t>BALLIU_ALTEA_MESA_DIAM_80_HPL_50525E0B</t>
        </is>
      </c>
      <c r="D234" s="12" t="inlineStr">
        <is>
          <t>Mesa exterior aluminio | Ø80 cm</t>
        </is>
      </c>
      <c r="E234" s="13" t="n">
        <v>205.19</v>
      </c>
      <c r="F234" s="13" t="n">
        <v>381.97</v>
      </c>
      <c r="G234" s="13" t="n">
        <v>110.49</v>
      </c>
      <c r="H234" s="14" t="n">
        <v>35</v>
      </c>
      <c r="I234" s="13" t="n">
        <v>315.68</v>
      </c>
      <c r="J234" s="13" t="n">
        <v>0</v>
      </c>
      <c r="K234" s="13">
        <f>G234-J234</f>
        <v/>
      </c>
      <c r="L234" s="13">
        <f>K234*$L$1</f>
        <v/>
      </c>
      <c r="M234" s="15">
        <f>F234/K234</f>
        <v/>
      </c>
      <c r="N234" s="10">
        <f>IF(M234&lt;3.5,"SI",IF(M234&lt;4.5,IF(K234&gt;=100,"SI",IF(K234&gt;=40,"CUIDADO","NO")),IF(AND(M234&lt;5.5,F234&gt;=500,K234&gt;=80),"CUIDADO","NO")))</f>
        <v/>
      </c>
    </row>
    <row r="235" ht="15.75" customHeight="1" s="98">
      <c r="A235" s="5" t="inlineStr">
        <is>
          <t>Balliu</t>
        </is>
      </c>
      <c r="B235" s="5" t="inlineStr">
        <is>
          <t>balliu-mesa-exterior-aluminio-80-cm-b06218ca</t>
        </is>
      </c>
      <c r="C235" s="5" t="inlineStr">
        <is>
          <t>BALLIU_ALTEA_MESA_DIAM_80_HPL_GD_B06218CA</t>
        </is>
      </c>
      <c r="D235" s="6" t="inlineStr">
        <is>
          <t>Mesa exterior aluminio | Ø80 cm</t>
        </is>
      </c>
      <c r="E235" s="7" t="n">
        <v>211.05</v>
      </c>
      <c r="F235" s="7" t="n">
        <v>392.86</v>
      </c>
      <c r="G235" s="7" t="n">
        <v>113.63</v>
      </c>
      <c r="H235" s="8" t="n">
        <v>35</v>
      </c>
      <c r="I235" s="7" t="n">
        <v>324.68</v>
      </c>
      <c r="J235" s="7" t="n">
        <v>0</v>
      </c>
      <c r="K235" s="7">
        <f>G235-J235</f>
        <v/>
      </c>
      <c r="L235" s="7">
        <f>K235*$L$1</f>
        <v/>
      </c>
      <c r="M235" s="9">
        <f>F235/K235</f>
        <v/>
      </c>
      <c r="N235" s="10">
        <f>IF(M235&lt;3.5,"SI",IF(M235&lt;4.5,IF(K235&gt;=100,"SI",IF(K235&gt;=40,"CUIDADO","NO")),IF(AND(M235&lt;5.5,F235&gt;=500,K235&gt;=80),"CUIDADO","NO")))</f>
        <v/>
      </c>
    </row>
    <row r="236" ht="15.75" customHeight="1" s="98">
      <c r="A236" s="11" t="inlineStr">
        <is>
          <t>Balliu</t>
        </is>
      </c>
      <c r="B236" s="11" t="inlineStr">
        <is>
          <t>balliu-mesa-exterior-aluminio-12080-cm-bf75a33d</t>
        </is>
      </c>
      <c r="C236" s="11" t="inlineStr">
        <is>
          <t>BALLIU_ALTEA_MESA_120_X_80_HPL_BF75A33D</t>
        </is>
      </c>
      <c r="D236" s="12" t="inlineStr">
        <is>
          <t>Mesa exterior aluminio | 120×80 cm</t>
        </is>
      </c>
      <c r="E236" s="13" t="n">
        <v>361.89</v>
      </c>
      <c r="F236" s="13" t="n">
        <v>673.6799999999999</v>
      </c>
      <c r="G236" s="13" t="n">
        <v>194.87</v>
      </c>
      <c r="H236" s="14" t="n">
        <v>35</v>
      </c>
      <c r="I236" s="13" t="n">
        <v>556.76</v>
      </c>
      <c r="J236" s="13" t="n">
        <v>0</v>
      </c>
      <c r="K236" s="13">
        <f>G236-J236</f>
        <v/>
      </c>
      <c r="L236" s="13">
        <f>K236*$L$1</f>
        <v/>
      </c>
      <c r="M236" s="15">
        <f>F236/K236</f>
        <v/>
      </c>
      <c r="N236" s="10">
        <f>IF(M236&lt;3.5,"SI",IF(M236&lt;4.5,IF(K236&gt;=100,"SI",IF(K236&gt;=40,"CUIDADO","NO")),IF(AND(M236&lt;5.5,F236&gt;=500,K236&gt;=80),"CUIDADO","NO")))</f>
        <v/>
      </c>
    </row>
    <row r="237" ht="15.75" customHeight="1" s="98">
      <c r="A237" s="5" t="inlineStr">
        <is>
          <t>Balliu</t>
        </is>
      </c>
      <c r="B237" s="5" t="inlineStr">
        <is>
          <t>balliu-mesa-exterior-aluminio-75-cm-d7ab6e04</t>
        </is>
      </c>
      <c r="C237" s="5" t="inlineStr">
        <is>
          <t>BALLIU_AGATA_MESA_120_X_80_HPL_GD_D7AB6E04</t>
        </is>
      </c>
      <c r="D237" s="6" t="inlineStr">
        <is>
          <t>Mesa exterior aluminio | 75 cm</t>
        </is>
      </c>
      <c r="E237" s="7" t="n">
        <v>368.6</v>
      </c>
      <c r="F237" s="7" t="n">
        <v>686.15</v>
      </c>
      <c r="G237" s="7" t="n">
        <v>198.47</v>
      </c>
      <c r="H237" s="8" t="n">
        <v>35</v>
      </c>
      <c r="I237" s="7" t="n">
        <v>567.0700000000001</v>
      </c>
      <c r="J237" s="7" t="n">
        <v>0</v>
      </c>
      <c r="K237" s="7">
        <f>G237-J237</f>
        <v/>
      </c>
      <c r="L237" s="7">
        <f>K237*$L$1</f>
        <v/>
      </c>
      <c r="M237" s="9">
        <f>F237/K237</f>
        <v/>
      </c>
      <c r="N237" s="10">
        <f>IF(M237&lt;3.5,"SI",IF(M237&lt;4.5,IF(K237&gt;=100,"SI",IF(K237&gt;=40,"CUIDADO","NO")),IF(AND(M237&lt;5.5,F237&gt;=500,K237&gt;=80),"CUIDADO","NO")))</f>
        <v/>
      </c>
    </row>
    <row r="238" ht="15.75" customHeight="1" s="98">
      <c r="A238" s="11" t="inlineStr">
        <is>
          <t>Balliu</t>
        </is>
      </c>
      <c r="B238" s="11" t="inlineStr">
        <is>
          <t>balliu-mesa-exterior-aluminio-75-cm-dd745448</t>
        </is>
      </c>
      <c r="C238" s="11" t="inlineStr">
        <is>
          <t>BALLIU_AGATA_MESA_70X70_ENCIMERA_A_DD745448</t>
        </is>
      </c>
      <c r="D238" s="12" t="inlineStr">
        <is>
          <t>Mesa exterior aluminio | 75 cm</t>
        </is>
      </c>
      <c r="E238" s="13" t="n">
        <v>186.62</v>
      </c>
      <c r="F238" s="13" t="n">
        <v>347.39</v>
      </c>
      <c r="G238" s="13" t="n">
        <v>100.48</v>
      </c>
      <c r="H238" s="14" t="n">
        <v>35</v>
      </c>
      <c r="I238" s="13" t="n">
        <v>287.1</v>
      </c>
      <c r="J238" s="13" t="n">
        <v>0</v>
      </c>
      <c r="K238" s="13">
        <f>G238-J238</f>
        <v/>
      </c>
      <c r="L238" s="13">
        <f>K238*$L$1</f>
        <v/>
      </c>
      <c r="M238" s="15">
        <f>F238/K238</f>
        <v/>
      </c>
      <c r="N238" s="10">
        <f>IF(M238&lt;3.5,"SI",IF(M238&lt;4.5,IF(K238&gt;=100,"SI",IF(K238&gt;=40,"CUIDADO","NO")),IF(AND(M238&lt;5.5,F238&gt;=500,K238&gt;=80),"CUIDADO","NO")))</f>
        <v/>
      </c>
    </row>
    <row r="239" ht="15.75" customHeight="1" s="98">
      <c r="A239" s="5" t="inlineStr">
        <is>
          <t>Balliu</t>
        </is>
      </c>
      <c r="B239" s="5" t="inlineStr">
        <is>
          <t>balliu-mesa-exterior-aluminio-75-cm-c0092e17</t>
        </is>
      </c>
      <c r="C239" s="5" t="inlineStr">
        <is>
          <t>BALLIU_AGATA_MESA_180_X_90_ENCIMER_C0092E17</t>
        </is>
      </c>
      <c r="D239" s="6" t="inlineStr">
        <is>
          <t>Mesa exterior aluminio | 75 cm</t>
        </is>
      </c>
      <c r="E239" s="7" t="n">
        <v>270.76</v>
      </c>
      <c r="F239" s="7" t="n">
        <v>504.03</v>
      </c>
      <c r="G239" s="7" t="n">
        <v>145.79</v>
      </c>
      <c r="H239" s="8" t="n">
        <v>35</v>
      </c>
      <c r="I239" s="7" t="n">
        <v>416.55</v>
      </c>
      <c r="J239" s="7" t="n">
        <v>0</v>
      </c>
      <c r="K239" s="7">
        <f>G239-J239</f>
        <v/>
      </c>
      <c r="L239" s="7">
        <f>K239*$L$1</f>
        <v/>
      </c>
      <c r="M239" s="9">
        <f>F239/K239</f>
        <v/>
      </c>
      <c r="N239" s="10">
        <f>IF(M239&lt;3.5,"SI",IF(M239&lt;4.5,IF(K239&gt;=100,"SI",IF(K239&gt;=40,"CUIDADO","NO")),IF(AND(M239&lt;5.5,F239&gt;=500,K239&gt;=80),"CUIDADO","NO")))</f>
        <v/>
      </c>
    </row>
    <row r="240" ht="15.75" customHeight="1" s="98">
      <c r="A240" s="11" t="inlineStr">
        <is>
          <t>Balliu</t>
        </is>
      </c>
      <c r="B240" s="11" t="inlineStr">
        <is>
          <t>balliu-mesa-exterior-aluminio-72-cm-72514f40</t>
        </is>
      </c>
      <c r="C240" s="11" t="inlineStr">
        <is>
          <t>BALLIU_NORA_MESA_DIAMETRO_70_ALUM_72514F40</t>
        </is>
      </c>
      <c r="D240" s="12" t="inlineStr">
        <is>
          <t>Mesa exterior aluminio | 72 cm</t>
        </is>
      </c>
      <c r="E240" s="13" t="n">
        <v>120.39</v>
      </c>
      <c r="F240" s="13" t="n">
        <v>224.1</v>
      </c>
      <c r="G240" s="13" t="n">
        <v>64.81999999999999</v>
      </c>
      <c r="H240" s="14" t="n">
        <v>35</v>
      </c>
      <c r="I240" s="13" t="n">
        <v>185.21</v>
      </c>
      <c r="J240" s="13" t="n">
        <v>0</v>
      </c>
      <c r="K240" s="13">
        <f>G240-J240</f>
        <v/>
      </c>
      <c r="L240" s="13">
        <f>K240*$L$1</f>
        <v/>
      </c>
      <c r="M240" s="15">
        <f>F240/K240</f>
        <v/>
      </c>
      <c r="N240" s="10">
        <f>IF(M240&lt;3.5,"SI",IF(M240&lt;4.5,IF(K240&gt;=100,"SI",IF(K240&gt;=40,"CUIDADO","NO")),IF(AND(M240&lt;5.5,F240&gt;=500,K240&gt;=80),"CUIDADO","NO")))</f>
        <v/>
      </c>
    </row>
    <row r="241" ht="15.75" customHeight="1" s="98">
      <c r="A241" s="5" t="inlineStr">
        <is>
          <t>Balliu</t>
        </is>
      </c>
      <c r="B241" s="5" t="inlineStr">
        <is>
          <t>balliu-sofa-exterior-3-plazas-aluminio-estilo-elegante-62-cm-5e2ef268</t>
        </is>
      </c>
      <c r="C241" s="5" t="inlineStr">
        <is>
          <t>BALLIU_OLIMPIA_SOFA_INDIVIDUAL_TELA__5E2EF268</t>
        </is>
      </c>
      <c r="D241" s="6" t="inlineStr">
        <is>
          <t>Sofá exterior 3 plazas aluminio · estilo elegante | 62 cm</t>
        </is>
      </c>
      <c r="E241" s="7" t="n">
        <v>279.44</v>
      </c>
      <c r="F241" s="7" t="n">
        <v>520.1900000000001</v>
      </c>
      <c r="G241" s="7" t="n">
        <v>150.47</v>
      </c>
      <c r="H241" s="8" t="n">
        <v>35</v>
      </c>
      <c r="I241" s="7" t="n">
        <v>429.91</v>
      </c>
      <c r="J241" s="7" t="n">
        <v>0</v>
      </c>
      <c r="K241" s="7">
        <f>G241-J241</f>
        <v/>
      </c>
      <c r="L241" s="7">
        <f>K241*$L$1</f>
        <v/>
      </c>
      <c r="M241" s="9">
        <f>F241/K241</f>
        <v/>
      </c>
      <c r="N241" s="10">
        <f>IF(M241&lt;3.5,"SI",IF(M241&lt;4.5,IF(K241&gt;=100,"SI",IF(K241&gt;=40,"CUIDADO","NO")),IF(AND(M241&lt;5.5,F241&gt;=500,K241&gt;=80),"CUIDADO","NO")))</f>
        <v/>
      </c>
    </row>
    <row r="242" ht="15.75" customHeight="1" s="98">
      <c r="A242" s="11" t="inlineStr">
        <is>
          <t>Balliu</t>
        </is>
      </c>
      <c r="B242" s="11" t="inlineStr">
        <is>
          <t>balliu-sofa-exterior-3-plazas-aluminio-estilo-elegante-62-cm-5e2ef268</t>
        </is>
      </c>
      <c r="C242" s="11" t="inlineStr">
        <is>
          <t>BALLIU_OLIMPIA_SOFA_DOBLE_TELA_BALLI_4C82D31E</t>
        </is>
      </c>
      <c r="D242" s="12" t="inlineStr">
        <is>
          <t>Sofá exterior 3 plazas aluminio · estilo elegante | 62 cm</t>
        </is>
      </c>
      <c r="E242" s="13" t="n">
        <v>356.97</v>
      </c>
      <c r="F242" s="13" t="n">
        <v>664.52</v>
      </c>
      <c r="G242" s="13" t="n">
        <v>192.22</v>
      </c>
      <c r="H242" s="14" t="n">
        <v>35</v>
      </c>
      <c r="I242" s="13" t="n">
        <v>549.1900000000001</v>
      </c>
      <c r="J242" s="13" t="n">
        <v>0</v>
      </c>
      <c r="K242" s="13">
        <f>G242-J242</f>
        <v/>
      </c>
      <c r="L242" s="13">
        <f>K242*$L$1</f>
        <v/>
      </c>
      <c r="M242" s="15">
        <f>F242/K242</f>
        <v/>
      </c>
      <c r="N242" s="10">
        <f>IF(M242&lt;3.5,"SI",IF(M242&lt;4.5,IF(K242&gt;=100,"SI",IF(K242&gt;=40,"CUIDADO","NO")),IF(AND(M242&lt;5.5,F242&gt;=500,K242&gt;=80),"CUIDADO","NO")))</f>
        <v/>
      </c>
    </row>
    <row r="243" ht="15.75" customHeight="1" s="98">
      <c r="A243" s="5" t="inlineStr">
        <is>
          <t>Balliu</t>
        </is>
      </c>
      <c r="B243" s="5" t="inlineStr">
        <is>
          <t>balliu-sofa-exterior-3-plazas-aluminio-estilo-elegante-62-cm-5e2ef268</t>
        </is>
      </c>
      <c r="C243" s="5" t="inlineStr">
        <is>
          <t>BALLIU_OLIMPIA_SOFA_TRIPLE_TELA_BALL_CACE2317</t>
        </is>
      </c>
      <c r="D243" s="6" t="inlineStr">
        <is>
          <t>Sofá exterior 3 plazas aluminio · estilo elegante | 62 cm</t>
        </is>
      </c>
      <c r="E243" s="7" t="n">
        <v>534.41</v>
      </c>
      <c r="F243" s="7" t="n">
        <v>994.8099999999999</v>
      </c>
      <c r="G243" s="7" t="n">
        <v>287.75</v>
      </c>
      <c r="H243" s="8" t="n">
        <v>35</v>
      </c>
      <c r="I243" s="7" t="n">
        <v>822.16</v>
      </c>
      <c r="J243" s="7" t="n">
        <v>0</v>
      </c>
      <c r="K243" s="7">
        <f>G243-J243</f>
        <v/>
      </c>
      <c r="L243" s="7">
        <f>K243*$L$1</f>
        <v/>
      </c>
      <c r="M243" s="9">
        <f>F243/K243</f>
        <v/>
      </c>
      <c r="N243" s="10">
        <f>IF(M243&lt;3.5,"SI",IF(M243&lt;4.5,IF(K243&gt;=100,"SI",IF(K243&gt;=40,"CUIDADO","NO")),IF(AND(M243&lt;5.5,F243&gt;=500,K243&gt;=80),"CUIDADO","NO")))</f>
        <v/>
      </c>
    </row>
    <row r="244" ht="15.75" customHeight="1" s="98">
      <c r="A244" s="11" t="inlineStr">
        <is>
          <t>Balliu</t>
        </is>
      </c>
      <c r="B244" s="11" t="inlineStr">
        <is>
          <t>balliu-mesa-auxiliar-exterior-aluminio-54-cm-19d3d0ee</t>
        </is>
      </c>
      <c r="C244" s="11" t="inlineStr">
        <is>
          <t>BALLIU_OLIMPIA_MESA_AUXILIA_CENTRAL_TABLERO__19D3D0EE</t>
        </is>
      </c>
      <c r="D244" s="12" t="inlineStr">
        <is>
          <t>Mesa auxiliar exterior aluminio | 54 cm</t>
        </is>
      </c>
      <c r="E244" s="13" t="n">
        <v>122.04</v>
      </c>
      <c r="F244" s="13" t="n">
        <v>227.18</v>
      </c>
      <c r="G244" s="13" t="n">
        <v>65.70999999999999</v>
      </c>
      <c r="H244" s="14" t="n">
        <v>35</v>
      </c>
      <c r="I244" s="13" t="n">
        <v>187.75</v>
      </c>
      <c r="J244" s="13" t="n">
        <v>0</v>
      </c>
      <c r="K244" s="13">
        <f>G244-J244</f>
        <v/>
      </c>
      <c r="L244" s="13">
        <f>K244*$L$1</f>
        <v/>
      </c>
      <c r="M244" s="15">
        <f>F244/K244</f>
        <v/>
      </c>
      <c r="N244" s="10">
        <f>IF(M244&lt;3.5,"SI",IF(M244&lt;4.5,IF(K244&gt;=100,"SI",IF(K244&gt;=40,"CUIDADO","NO")),IF(AND(M244&lt;5.5,F244&gt;=500,K244&gt;=80),"CUIDADO","NO")))</f>
        <v/>
      </c>
    </row>
    <row r="245" ht="15.75" customHeight="1" s="98">
      <c r="A245" s="5" t="inlineStr">
        <is>
          <t>Balliu</t>
        </is>
      </c>
      <c r="B245" s="5" t="inlineStr">
        <is>
          <t>balliu-mesa-auxiliar-exterior-aluminio-54-cm-9e2a2ecb</t>
        </is>
      </c>
      <c r="C245" s="5" t="inlineStr">
        <is>
          <t>BALLIU_OLIMPIA_MESA_AUXILIA_CENTRAL_TABLERO__9E2A2ECB</t>
        </is>
      </c>
      <c r="D245" s="6" t="inlineStr">
        <is>
          <t>Mesa auxiliar exterior aluminio | 54 cm</t>
        </is>
      </c>
      <c r="E245" s="7" t="n">
        <v>130.35</v>
      </c>
      <c r="F245" s="7" t="n">
        <v>242.65</v>
      </c>
      <c r="G245" s="7" t="n">
        <v>70.19</v>
      </c>
      <c r="H245" s="8" t="n">
        <v>35</v>
      </c>
      <c r="I245" s="7" t="n">
        <v>200.54</v>
      </c>
      <c r="J245" s="7" t="n">
        <v>0</v>
      </c>
      <c r="K245" s="7">
        <f>G245-J245</f>
        <v/>
      </c>
      <c r="L245" s="7">
        <f>K245*$L$1</f>
        <v/>
      </c>
      <c r="M245" s="9">
        <f>F245/K245</f>
        <v/>
      </c>
      <c r="N245" s="10">
        <f>IF(M245&lt;3.5,"SI",IF(M245&lt;4.5,IF(K245&gt;=100,"SI",IF(K245&gt;=40,"CUIDADO","NO")),IF(AND(M245&lt;5.5,F245&gt;=500,K245&gt;=80),"CUIDADO","NO")))</f>
        <v/>
      </c>
    </row>
    <row r="246" ht="15.75" customHeight="1" s="98">
      <c r="A246" s="11" t="inlineStr">
        <is>
          <t>Balliu</t>
        </is>
      </c>
      <c r="B246" s="11" t="inlineStr">
        <is>
          <t>balliu-mesa-auxiliar-exterior-aluminio-54-cm-5ad43bf2</t>
        </is>
      </c>
      <c r="C246" s="11" t="inlineStr">
        <is>
          <t>BALLIU_OLIMPIA_MESA_AUXILIA_ESQUINERA_TABLER_5AD43BF2</t>
        </is>
      </c>
      <c r="D246" s="12" t="inlineStr">
        <is>
          <t>Mesa auxiliar exterior aluminio | 54 cm</t>
        </is>
      </c>
      <c r="E246" s="13" t="n">
        <v>123.32</v>
      </c>
      <c r="F246" s="13" t="n">
        <v>229.56</v>
      </c>
      <c r="G246" s="13" t="n">
        <v>66.40000000000001</v>
      </c>
      <c r="H246" s="14" t="n">
        <v>35</v>
      </c>
      <c r="I246" s="13" t="n">
        <v>189.72</v>
      </c>
      <c r="J246" s="13" t="n">
        <v>0</v>
      </c>
      <c r="K246" s="13">
        <f>G246-J246</f>
        <v/>
      </c>
      <c r="L246" s="13">
        <f>K246*$L$1</f>
        <v/>
      </c>
      <c r="M246" s="15">
        <f>F246/K246</f>
        <v/>
      </c>
      <c r="N246" s="10">
        <f>IF(M246&lt;3.5,"SI",IF(M246&lt;4.5,IF(K246&gt;=100,"SI",IF(K246&gt;=40,"CUIDADO","NO")),IF(AND(M246&lt;5.5,F246&gt;=500,K246&gt;=80),"CUIDADO","NO")))</f>
        <v/>
      </c>
    </row>
    <row r="247" ht="15.75" customHeight="1" s="98">
      <c r="A247" s="5" t="inlineStr">
        <is>
          <t>Balliu</t>
        </is>
      </c>
      <c r="B247" s="5" t="inlineStr">
        <is>
          <t>balliu-mesa-auxiliar-exterior-aluminio-54-cm-2ad5a2df</t>
        </is>
      </c>
      <c r="C247" s="5" t="inlineStr">
        <is>
          <t>BALLIU_OLIMPIA_MESA_AUXILIA_ESQUINERA_TABLER_2AD5A2DF</t>
        </is>
      </c>
      <c r="D247" s="6" t="inlineStr">
        <is>
          <t>Mesa auxiliar exterior aluminio | 54 cm</t>
        </is>
      </c>
      <c r="E247" s="7" t="n">
        <v>136.79</v>
      </c>
      <c r="F247" s="7" t="n">
        <v>254.64</v>
      </c>
      <c r="G247" s="7" t="n">
        <v>73.66</v>
      </c>
      <c r="H247" s="8" t="n">
        <v>35</v>
      </c>
      <c r="I247" s="7" t="n">
        <v>210.45</v>
      </c>
      <c r="J247" s="7" t="n">
        <v>0</v>
      </c>
      <c r="K247" s="7">
        <f>G247-J247</f>
        <v/>
      </c>
      <c r="L247" s="7">
        <f>K247*$L$1</f>
        <v/>
      </c>
      <c r="M247" s="9">
        <f>F247/K247</f>
        <v/>
      </c>
      <c r="N247" s="10">
        <f>IF(M247&lt;3.5,"SI",IF(M247&lt;4.5,IF(K247&gt;=100,"SI",IF(K247&gt;=40,"CUIDADO","NO")),IF(AND(M247&lt;5.5,F247&gt;=500,K247&gt;=80),"CUIDADO","NO")))</f>
        <v/>
      </c>
    </row>
    <row r="248" ht="15.75" customHeight="1" s="98">
      <c r="A248" s="11" t="inlineStr">
        <is>
          <t>Balliu</t>
        </is>
      </c>
      <c r="B248" s="11" t="inlineStr">
        <is>
          <t>balliu-sofa-exterior-3-plazas-aluminio-estilo-contemporaneo-77-cm-674ab9a1</t>
        </is>
      </c>
      <c r="C248" s="11" t="inlineStr">
        <is>
          <t>BALLIU_ETNA_SOFA_INDIVIDUAL_ACRIL_674AB9A1</t>
        </is>
      </c>
      <c r="D248" s="12" t="inlineStr">
        <is>
          <t>Sofá exterior 3 plazas aluminio · estilo contemporáneo | 77 cm</t>
        </is>
      </c>
      <c r="E248" s="13" t="n">
        <v>367.06</v>
      </c>
      <c r="F248" s="13" t="n">
        <v>683.3</v>
      </c>
      <c r="G248" s="13" t="n">
        <v>197.65</v>
      </c>
      <c r="H248" s="14" t="n">
        <v>35</v>
      </c>
      <c r="I248" s="13" t="n">
        <v>564.71</v>
      </c>
      <c r="J248" s="13" t="n">
        <v>0</v>
      </c>
      <c r="K248" s="13">
        <f>G248-J248</f>
        <v/>
      </c>
      <c r="L248" s="13">
        <f>K248*$L$1</f>
        <v/>
      </c>
      <c r="M248" s="15">
        <f>F248/K248</f>
        <v/>
      </c>
      <c r="N248" s="10">
        <f>IF(M248&lt;3.5,"SI",IF(M248&lt;4.5,IF(K248&gt;=100,"SI",IF(K248&gt;=40,"CUIDADO","NO")),IF(AND(M248&lt;5.5,F248&gt;=500,K248&gt;=80),"CUIDADO","NO")))</f>
        <v/>
      </c>
    </row>
    <row r="249" ht="15.75" customHeight="1" s="98">
      <c r="A249" s="5" t="inlineStr">
        <is>
          <t>Balliu</t>
        </is>
      </c>
      <c r="B249" s="5" t="inlineStr">
        <is>
          <t>balliu-sofa-exterior-3-plazas-aluminio-estilo-contemporaneo-77-cm-674ab9a1</t>
        </is>
      </c>
      <c r="C249" s="5" t="inlineStr">
        <is>
          <t>BALLIU_ETNA_SOFA_DOBLE_ACRILICO_AED77E2A</t>
        </is>
      </c>
      <c r="D249" s="6" t="inlineStr">
        <is>
          <t>Sofá exterior 3 plazas aluminio · estilo contemporáneo | 77 cm</t>
        </is>
      </c>
      <c r="E249" s="7" t="n">
        <v>611.77</v>
      </c>
      <c r="F249" s="7" t="n">
        <v>1138.83</v>
      </c>
      <c r="G249" s="7" t="n">
        <v>329.41</v>
      </c>
      <c r="H249" s="8" t="n">
        <v>35</v>
      </c>
      <c r="I249" s="7" t="n">
        <v>941.1799999999999</v>
      </c>
      <c r="J249" s="7" t="n">
        <v>0</v>
      </c>
      <c r="K249" s="7">
        <f>G249-J249</f>
        <v/>
      </c>
      <c r="L249" s="7">
        <f>K249*$L$1</f>
        <v/>
      </c>
      <c r="M249" s="9">
        <f>F249/K249</f>
        <v/>
      </c>
      <c r="N249" s="10">
        <f>IF(M249&lt;3.5,"SI",IF(M249&lt;4.5,IF(K249&gt;=100,"SI",IF(K249&gt;=40,"CUIDADO","NO")),IF(AND(M249&lt;5.5,F249&gt;=500,K249&gt;=80),"CUIDADO","NO")))</f>
        <v/>
      </c>
    </row>
    <row r="250" ht="15.75" customHeight="1" s="98">
      <c r="A250" s="11" t="inlineStr">
        <is>
          <t>Balliu</t>
        </is>
      </c>
      <c r="B250" s="11" t="inlineStr">
        <is>
          <t>balliu-sofa-exterior-3-plazas-aluminio-estilo-contemporaneo-77-cm-674ab9a1</t>
        </is>
      </c>
      <c r="C250" s="11" t="inlineStr">
        <is>
          <t>BALLIU_ETNA_SOFA_TRIPLE_ACRILICO_E58D825A</t>
        </is>
      </c>
      <c r="D250" s="12" t="inlineStr">
        <is>
          <t>Sofá exterior 3 plazas aluminio · estilo contemporáneo | 77 cm</t>
        </is>
      </c>
      <c r="E250" s="13" t="n">
        <v>837.52</v>
      </c>
      <c r="F250" s="13" t="n">
        <v>1559.07</v>
      </c>
      <c r="G250" s="13" t="n">
        <v>450.97</v>
      </c>
      <c r="H250" s="14" t="n">
        <v>35</v>
      </c>
      <c r="I250" s="13" t="n">
        <v>1288.49</v>
      </c>
      <c r="J250" s="13" t="n">
        <v>0</v>
      </c>
      <c r="K250" s="13">
        <f>G250-J250</f>
        <v/>
      </c>
      <c r="L250" s="13">
        <f>K250*$L$1</f>
        <v/>
      </c>
      <c r="M250" s="15">
        <f>F250/K250</f>
        <v/>
      </c>
      <c r="N250" s="10">
        <f>IF(M250&lt;3.5,"SI",IF(M250&lt;4.5,IF(K250&gt;=100,"SI",IF(K250&gt;=40,"CUIDADO","NO")),IF(AND(M250&lt;5.5,F250&gt;=500,K250&gt;=80),"CUIDADO","NO")))</f>
        <v/>
      </c>
    </row>
    <row r="251" ht="15.75" customHeight="1" s="98">
      <c r="A251" s="5" t="inlineStr">
        <is>
          <t>Balliu</t>
        </is>
      </c>
      <c r="B251" s="5" t="inlineStr">
        <is>
          <t>balliu-mesa-de-centro-exterior-aluminio-60-cm-510b363e</t>
        </is>
      </c>
      <c r="C251" s="5" t="inlineStr">
        <is>
          <t>BALLIU_ETNA_MESA_CENTRAL_TABLERO_HPL_510B363E</t>
        </is>
      </c>
      <c r="D251" s="6" t="inlineStr">
        <is>
          <t>Mesa de centro exterior aluminio | 60 cm</t>
        </is>
      </c>
      <c r="E251" s="7" t="n">
        <v>194.7</v>
      </c>
      <c r="F251" s="7" t="n">
        <v>362.44</v>
      </c>
      <c r="G251" s="7" t="n">
        <v>104.84</v>
      </c>
      <c r="H251" s="8" t="n">
        <v>35</v>
      </c>
      <c r="I251" s="7" t="n">
        <v>299.54</v>
      </c>
      <c r="J251" s="7" t="n">
        <v>0</v>
      </c>
      <c r="K251" s="7">
        <f>G251-J251</f>
        <v/>
      </c>
      <c r="L251" s="7">
        <f>K251*$L$1</f>
        <v/>
      </c>
      <c r="M251" s="9">
        <f>F251/K251</f>
        <v/>
      </c>
      <c r="N251" s="10">
        <f>IF(M251&lt;3.5,"SI",IF(M251&lt;4.5,IF(K251&gt;=100,"SI",IF(K251&gt;=40,"CUIDADO","NO")),IF(AND(M251&lt;5.5,F251&gt;=500,K251&gt;=80),"CUIDADO","NO")))</f>
        <v/>
      </c>
    </row>
    <row r="252" ht="15.75" customHeight="1" s="98">
      <c r="A252" s="11" t="inlineStr">
        <is>
          <t>Balliu</t>
        </is>
      </c>
      <c r="B252" s="11" t="inlineStr">
        <is>
          <t>balliu-mesa-de-centro-exterior-aluminio-60-cm-510b363e</t>
        </is>
      </c>
      <c r="C252" s="11" t="inlineStr">
        <is>
          <t>BALLIU_ETNA_MESA_CENTRAL_TABLERO_HPL_GD_BC53F712</t>
        </is>
      </c>
      <c r="D252" s="12" t="inlineStr">
        <is>
          <t>Mesa de centro exterior aluminio | 60 cm</t>
        </is>
      </c>
      <c r="E252" s="13" t="n">
        <v>226.66</v>
      </c>
      <c r="F252" s="13" t="n">
        <v>421.95</v>
      </c>
      <c r="G252" s="13" t="n">
        <v>122.06</v>
      </c>
      <c r="H252" s="14" t="n">
        <v>35</v>
      </c>
      <c r="I252" s="13" t="n">
        <v>348.72</v>
      </c>
      <c r="J252" s="13" t="n">
        <v>0</v>
      </c>
      <c r="K252" s="13">
        <f>G252-J252</f>
        <v/>
      </c>
      <c r="L252" s="13">
        <f>K252*$L$1</f>
        <v/>
      </c>
      <c r="M252" s="15">
        <f>F252/K252</f>
        <v/>
      </c>
      <c r="N252" s="10">
        <f>IF(M252&lt;3.5,"SI",IF(M252&lt;4.5,IF(K252&gt;=100,"SI",IF(K252&gt;=40,"CUIDADO","NO")),IF(AND(M252&lt;5.5,F252&gt;=500,K252&gt;=80),"CUIDADO","NO")))</f>
        <v/>
      </c>
    </row>
    <row r="253" ht="15.75" customHeight="1" s="98">
      <c r="A253" s="5" t="inlineStr">
        <is>
          <t>Balliu</t>
        </is>
      </c>
      <c r="B253" s="5" t="inlineStr">
        <is>
          <t>balliu-parasol-para-terraza-acrilico-236bd5f0-3</t>
        </is>
      </c>
      <c r="C253" s="5" t="inlineStr">
        <is>
          <t>BALLIU_PARASOL_TELA_ACRILICA_236BD5F0</t>
        </is>
      </c>
      <c r="D253" s="6" t="inlineStr">
        <is>
          <t>Parasol para terraza acrílico</t>
        </is>
      </c>
      <c r="E253" s="7" t="n">
        <v>221.96</v>
      </c>
      <c r="F253" s="7" t="n">
        <v>413.19</v>
      </c>
      <c r="G253" s="7" t="n">
        <v>119.52</v>
      </c>
      <c r="H253" s="8" t="n">
        <v>35</v>
      </c>
      <c r="I253" s="7" t="n">
        <v>341.48</v>
      </c>
      <c r="J253" s="7" t="n">
        <v>0</v>
      </c>
      <c r="K253" s="7">
        <f>G253-J253</f>
        <v/>
      </c>
      <c r="L253" s="7">
        <f>K253*$L$1</f>
        <v/>
      </c>
      <c r="M253" s="9">
        <f>F253/K253</f>
        <v/>
      </c>
      <c r="N253" s="10">
        <f>IF(M253&lt;3.5,"SI",IF(M253&lt;4.5,IF(K253&gt;=100,"SI",IF(K253&gt;=40,"CUIDADO","NO")),IF(AND(M253&lt;5.5,F253&gt;=500,K253&gt;=80),"CUIDADO","NO")))</f>
        <v/>
      </c>
    </row>
    <row r="254" ht="15.75" customHeight="1" s="98">
      <c r="A254" s="11" t="inlineStr">
        <is>
          <t>Balliu</t>
        </is>
      </c>
      <c r="B254" s="11" t="inlineStr">
        <is>
          <t>balliu-parasol-para-terraza-82e48b2d-3</t>
        </is>
      </c>
      <c r="C254" s="11" t="inlineStr">
        <is>
          <t>BALLIU_PARASOL_TELA_BALLIU_82E48B2D</t>
        </is>
      </c>
      <c r="D254" s="12" t="inlineStr">
        <is>
          <t>Parasol para terraza</t>
        </is>
      </c>
      <c r="E254" s="13" t="n">
        <v>206.48</v>
      </c>
      <c r="F254" s="13" t="n">
        <v>384.37</v>
      </c>
      <c r="G254" s="13" t="n">
        <v>111.18</v>
      </c>
      <c r="H254" s="14" t="n">
        <v>35</v>
      </c>
      <c r="I254" s="13" t="n">
        <v>317.66</v>
      </c>
      <c r="J254" s="13" t="n">
        <v>0</v>
      </c>
      <c r="K254" s="13">
        <f>G254-J254</f>
        <v/>
      </c>
      <c r="L254" s="13">
        <f>K254*$L$1</f>
        <v/>
      </c>
      <c r="M254" s="15">
        <f>F254/K254</f>
        <v/>
      </c>
      <c r="N254" s="10">
        <f>IF(M254&lt;3.5,"SI",IF(M254&lt;4.5,IF(K254&gt;=100,"SI",IF(K254&gt;=40,"CUIDADO","NO")),IF(AND(M254&lt;5.5,F254&gt;=500,K254&gt;=80),"CUIDADO","NO")))</f>
        <v/>
      </c>
    </row>
    <row r="255" ht="15.75" customHeight="1" s="98">
      <c r="A255" s="5" t="inlineStr">
        <is>
          <t>Balliu</t>
        </is>
      </c>
      <c r="B255" s="5" t="inlineStr">
        <is>
          <t>balliu-parasol-para-terraza-acrilico-236bd5f0-3</t>
        </is>
      </c>
      <c r="C255" s="5" t="inlineStr">
        <is>
          <t>BALLIU_PARASOL_TELA_ACRILICA_236BD5F0</t>
        </is>
      </c>
      <c r="D255" s="6" t="inlineStr">
        <is>
          <t>Parasol para terraza acrílico</t>
        </is>
      </c>
      <c r="E255" s="7" t="n">
        <v>213.86</v>
      </c>
      <c r="F255" s="7" t="n">
        <v>398.1</v>
      </c>
      <c r="G255" s="7" t="n">
        <v>115.15</v>
      </c>
      <c r="H255" s="8" t="n">
        <v>35</v>
      </c>
      <c r="I255" s="7" t="n">
        <v>329.01</v>
      </c>
      <c r="J255" s="7" t="n">
        <v>0</v>
      </c>
      <c r="K255" s="7">
        <f>G255-J255</f>
        <v/>
      </c>
      <c r="L255" s="7">
        <f>K255*$L$1</f>
        <v/>
      </c>
      <c r="M255" s="9">
        <f>F255/K255</f>
        <v/>
      </c>
      <c r="N255" s="10">
        <f>IF(M255&lt;3.5,"SI",IF(M255&lt;4.5,IF(K255&gt;=100,"SI",IF(K255&gt;=40,"CUIDADO","NO")),IF(AND(M255&lt;5.5,F255&gt;=500,K255&gt;=80),"CUIDADO","NO")))</f>
        <v/>
      </c>
    </row>
    <row r="256" ht="15.75" customHeight="1" s="98">
      <c r="A256" s="11" t="inlineStr">
        <is>
          <t>Balliu</t>
        </is>
      </c>
      <c r="B256" s="11" t="inlineStr">
        <is>
          <t>balliu-parasol-para-terraza-82e48b2d-3</t>
        </is>
      </c>
      <c r="C256" s="11" t="inlineStr">
        <is>
          <t>BALLIU_PARASOL_TELA_BALLIU_82E48B2D</t>
        </is>
      </c>
      <c r="D256" s="12" t="inlineStr">
        <is>
          <t>Parasol para terraza</t>
        </is>
      </c>
      <c r="E256" s="13" t="n">
        <v>163.38</v>
      </c>
      <c r="F256" s="13" t="n">
        <v>304.13</v>
      </c>
      <c r="G256" s="13" t="n">
        <v>87.97</v>
      </c>
      <c r="H256" s="14" t="n">
        <v>35</v>
      </c>
      <c r="I256" s="13" t="n">
        <v>251.35</v>
      </c>
      <c r="J256" s="13" t="n">
        <v>0</v>
      </c>
      <c r="K256" s="13">
        <f>G256-J256</f>
        <v/>
      </c>
      <c r="L256" s="13">
        <f>K256*$L$1</f>
        <v/>
      </c>
      <c r="M256" s="15">
        <f>F256/K256</f>
        <v/>
      </c>
      <c r="N256" s="10">
        <f>IF(M256&lt;3.5,"SI",IF(M256&lt;4.5,IF(K256&gt;=100,"SI",IF(K256&gt;=40,"CUIDADO","NO")),IF(AND(M256&lt;5.5,F256&gt;=500,K256&gt;=80),"CUIDADO","NO")))</f>
        <v/>
      </c>
    </row>
    <row r="257" ht="15.75" customHeight="1" s="98">
      <c r="A257" s="5" t="inlineStr">
        <is>
          <t>Balliu</t>
        </is>
      </c>
      <c r="B257" s="5" t="inlineStr">
        <is>
          <t>balliu-parasol-para-terraza-f1ed8b8b</t>
        </is>
      </c>
      <c r="C257" s="5" t="inlineStr">
        <is>
          <t>BALLIU_PARASOL_TELA_BALLIU_250__F1ED8B8B</t>
        </is>
      </c>
      <c r="D257" s="6" t="inlineStr">
        <is>
          <t>Parasol para terraza</t>
        </is>
      </c>
      <c r="E257" s="7" t="n">
        <v>204.95</v>
      </c>
      <c r="F257" s="7" t="n">
        <v>381.54</v>
      </c>
      <c r="G257" s="7" t="n">
        <v>110.37</v>
      </c>
      <c r="H257" s="8" t="n">
        <v>35</v>
      </c>
      <c r="I257" s="7" t="n">
        <v>315.32</v>
      </c>
      <c r="J257" s="7" t="n">
        <v>0</v>
      </c>
      <c r="K257" s="7">
        <f>G257-J257</f>
        <v/>
      </c>
      <c r="L257" s="7">
        <f>K257*$L$1</f>
        <v/>
      </c>
      <c r="M257" s="9">
        <f>F257/K257</f>
        <v/>
      </c>
      <c r="N257" s="10">
        <f>IF(M257&lt;3.5,"SI",IF(M257&lt;4.5,IF(K257&gt;=100,"SI",IF(K257&gt;=40,"CUIDADO","NO")),IF(AND(M257&lt;5.5,F257&gt;=500,K257&gt;=80),"CUIDADO","NO")))</f>
        <v/>
      </c>
    </row>
    <row r="258" ht="15.75" customHeight="1" s="98">
      <c r="A258" s="11" t="inlineStr">
        <is>
          <t>Balliu</t>
        </is>
      </c>
      <c r="B258" s="11" t="inlineStr">
        <is>
          <t>balliu-parasol-para-terraza-acrilico-c8dd492d</t>
        </is>
      </c>
      <c r="C258" s="11" t="inlineStr">
        <is>
          <t>BALLIU_PARASOL_TELA_ACRILICA_25_C8DD492D</t>
        </is>
      </c>
      <c r="D258" s="12" t="inlineStr">
        <is>
          <t>Parasol para terraza acrílico</t>
        </is>
      </c>
      <c r="E258" s="13" t="n">
        <v>222.76</v>
      </c>
      <c r="F258" s="13" t="n">
        <v>414.67</v>
      </c>
      <c r="G258" s="13" t="n">
        <v>119.94</v>
      </c>
      <c r="H258" s="14" t="n">
        <v>35</v>
      </c>
      <c r="I258" s="13" t="n">
        <v>342.7</v>
      </c>
      <c r="J258" s="13" t="n">
        <v>0</v>
      </c>
      <c r="K258" s="13">
        <f>G258-J258</f>
        <v/>
      </c>
      <c r="L258" s="13">
        <f>K258*$L$1</f>
        <v/>
      </c>
      <c r="M258" s="15">
        <f>F258/K258</f>
        <v/>
      </c>
      <c r="N258" s="10">
        <f>IF(M258&lt;3.5,"SI",IF(M258&lt;4.5,IF(K258&gt;=100,"SI",IF(K258&gt;=40,"CUIDADO","NO")),IF(AND(M258&lt;5.5,F258&gt;=500,K258&gt;=80),"CUIDADO","NO")))</f>
        <v/>
      </c>
    </row>
    <row r="259" ht="15.75" customHeight="1" s="98">
      <c r="A259" s="5" t="inlineStr">
        <is>
          <t>Balliu</t>
        </is>
      </c>
      <c r="B259" s="5" t="inlineStr">
        <is>
          <t>balliu-parasol-para-terraza-acrilico-236bd5f0-3</t>
        </is>
      </c>
      <c r="C259" s="5" t="inlineStr">
        <is>
          <t>BALLIU_PARASOL_TELA_ACRILICA_236BD5F0</t>
        </is>
      </c>
      <c r="D259" s="6" t="inlineStr">
        <is>
          <t>Parasol para terraza acrílico</t>
        </is>
      </c>
      <c r="E259" s="7" t="n">
        <v>228.96</v>
      </c>
      <c r="F259" s="7" t="n">
        <v>426.22</v>
      </c>
      <c r="G259" s="7" t="n">
        <v>123.29</v>
      </c>
      <c r="H259" s="8" t="n">
        <v>35</v>
      </c>
      <c r="I259" s="7" t="n">
        <v>352.25</v>
      </c>
      <c r="J259" s="7" t="n">
        <v>0</v>
      </c>
      <c r="K259" s="7">
        <f>G259-J259</f>
        <v/>
      </c>
      <c r="L259" s="7">
        <f>K259*$L$1</f>
        <v/>
      </c>
      <c r="M259" s="9">
        <f>F259/K259</f>
        <v/>
      </c>
      <c r="N259" s="10">
        <f>IF(M259&lt;3.5,"SI",IF(M259&lt;4.5,IF(K259&gt;=100,"SI",IF(K259&gt;=40,"CUIDADO","NO")),IF(AND(M259&lt;5.5,F259&gt;=500,K259&gt;=80),"CUIDADO","NO")))</f>
        <v/>
      </c>
    </row>
    <row r="260" ht="15.75" customHeight="1" s="98">
      <c r="A260" s="11" t="inlineStr">
        <is>
          <t>Balliu</t>
        </is>
      </c>
      <c r="B260" s="11" t="inlineStr">
        <is>
          <t>balliu-parasol-para-terraza-82e48b2d-3</t>
        </is>
      </c>
      <c r="C260" s="11" t="inlineStr">
        <is>
          <t>BALLIU_PARASOL_TELA_BALLIU_82E48B2D</t>
        </is>
      </c>
      <c r="D260" s="12" t="inlineStr">
        <is>
          <t>Parasol para terraza</t>
        </is>
      </c>
      <c r="E260" s="13" t="n">
        <v>217.14</v>
      </c>
      <c r="F260" s="13" t="n">
        <v>404.2</v>
      </c>
      <c r="G260" s="13" t="n">
        <v>116.91</v>
      </c>
      <c r="H260" s="14" t="n">
        <v>35</v>
      </c>
      <c r="I260" s="13" t="n">
        <v>334.05</v>
      </c>
      <c r="J260" s="13" t="n">
        <v>0</v>
      </c>
      <c r="K260" s="13">
        <f>G260-J260</f>
        <v/>
      </c>
      <c r="L260" s="13">
        <f>K260*$L$1</f>
        <v/>
      </c>
      <c r="M260" s="15">
        <f>F260/K260</f>
        <v/>
      </c>
      <c r="N260" s="10">
        <f>IF(M260&lt;3.5,"SI",IF(M260&lt;4.5,IF(K260&gt;=100,"SI",IF(K260&gt;=40,"CUIDADO","NO")),IF(AND(M260&lt;5.5,F260&gt;=500,K260&gt;=80),"CUIDADO","NO")))</f>
        <v/>
      </c>
    </row>
    <row r="261" ht="15.75" customHeight="1" s="98">
      <c r="A261" s="5" t="inlineStr">
        <is>
          <t>Balliu</t>
        </is>
      </c>
      <c r="B261" s="5" t="inlineStr">
        <is>
          <t>balliu-parasol-para-terraza-aluminio-300-cm-3b7e77d1</t>
        </is>
      </c>
      <c r="C261" s="5" t="inlineStr">
        <is>
          <t>BALLIU_GARBI_PARASOL_DIAM_300_CM_TELA_3B7E77D1</t>
        </is>
      </c>
      <c r="D261" s="6" t="inlineStr">
        <is>
          <t>Parasol para terraza aluminio | Ø300 cm</t>
        </is>
      </c>
      <c r="E261" s="7" t="n">
        <v>561.54</v>
      </c>
      <c r="F261" s="7" t="n">
        <v>1045.32</v>
      </c>
      <c r="G261" s="7" t="n">
        <v>302.36</v>
      </c>
      <c r="H261" s="8" t="n">
        <v>35</v>
      </c>
      <c r="I261" s="7" t="n">
        <v>863.9</v>
      </c>
      <c r="J261" s="7" t="n">
        <v>0</v>
      </c>
      <c r="K261" s="7">
        <f>G261-J261</f>
        <v/>
      </c>
      <c r="L261" s="7">
        <f>K261*$L$1</f>
        <v/>
      </c>
      <c r="M261" s="9">
        <f>F261/K261</f>
        <v/>
      </c>
      <c r="N261" s="10">
        <f>IF(M261&lt;3.5,"SI",IF(M261&lt;4.5,IF(K261&gt;=100,"SI",IF(K261&gt;=40,"CUIDADO","NO")),IF(AND(M261&lt;5.5,F261&gt;=500,K261&gt;=80),"CUIDADO","NO")))</f>
        <v/>
      </c>
    </row>
    <row r="262" ht="15.75" customHeight="1" s="98">
      <c r="A262" s="11" t="inlineStr">
        <is>
          <t>Balliu</t>
        </is>
      </c>
      <c r="B262" s="11" t="inlineStr">
        <is>
          <t>balliu-parasol-para-terraza-aluminio-300-cm-0ceba8e7</t>
        </is>
      </c>
      <c r="C262" s="11" t="inlineStr">
        <is>
          <t>BALLIU_BRISA_PARASOL_PARASOL_TELA_BAL_0CEBA8E7</t>
        </is>
      </c>
      <c r="D262" s="12" t="inlineStr">
        <is>
          <t>Parasol para terraza aluminio | 300 cm</t>
        </is>
      </c>
      <c r="E262" s="13" t="n">
        <v>561.54</v>
      </c>
      <c r="F262" s="13" t="n">
        <v>1045.32</v>
      </c>
      <c r="G262" s="13" t="n">
        <v>302.36</v>
      </c>
      <c r="H262" s="14" t="n">
        <v>35</v>
      </c>
      <c r="I262" s="13" t="n">
        <v>863.9</v>
      </c>
      <c r="J262" s="13" t="n">
        <v>0</v>
      </c>
      <c r="K262" s="13">
        <f>G262-J262</f>
        <v/>
      </c>
      <c r="L262" s="13">
        <f>K262*$L$1</f>
        <v/>
      </c>
      <c r="M262" s="15">
        <f>F262/K262</f>
        <v/>
      </c>
      <c r="N262" s="10">
        <f>IF(M262&lt;3.5,"SI",IF(M262&lt;4.5,IF(K262&gt;=100,"SI",IF(K262&gt;=40,"CUIDADO","NO")),IF(AND(M262&lt;5.5,F262&gt;=500,K262&gt;=80),"CUIDADO","NO")))</f>
        <v/>
      </c>
    </row>
    <row r="263" ht="15.75" customHeight="1" s="98">
      <c r="A263" s="5" t="inlineStr">
        <is>
          <t>Balliu</t>
        </is>
      </c>
      <c r="B263" s="5" t="inlineStr">
        <is>
          <t>balliu-parasol-para-terraza-aluminio-300-cm-6c1e1224</t>
        </is>
      </c>
      <c r="C263" s="5" t="inlineStr">
        <is>
          <t>BALLIU_ROMA_PARASOL_300X300_CM_6C1E1224</t>
        </is>
      </c>
      <c r="D263" s="6" t="inlineStr">
        <is>
          <t>Parasol para terraza aluminio | 300 cm</t>
        </is>
      </c>
      <c r="E263" s="7" t="n">
        <v>1019.5</v>
      </c>
      <c r="F263" s="7" t="n">
        <v>1897.85</v>
      </c>
      <c r="G263" s="7" t="n">
        <v>548.97</v>
      </c>
      <c r="H263" s="8" t="n">
        <v>35</v>
      </c>
      <c r="I263" s="7" t="n">
        <v>1568.47</v>
      </c>
      <c r="J263" s="7" t="n">
        <v>0</v>
      </c>
      <c r="K263" s="7">
        <f>G263-J263</f>
        <v/>
      </c>
      <c r="L263" s="7">
        <f>K263*$L$1</f>
        <v/>
      </c>
      <c r="M263" s="9">
        <f>F263/K263</f>
        <v/>
      </c>
      <c r="N263" s="10">
        <f>IF(M263&lt;3.5,"SI",IF(M263&lt;4.5,IF(K263&gt;=100,"SI",IF(K263&gt;=40,"CUIDADO","NO")),IF(AND(M263&lt;5.5,F263&gt;=500,K263&gt;=80),"CUIDADO","NO")))</f>
        <v/>
      </c>
    </row>
    <row r="264" ht="15.75" customHeight="1" s="98">
      <c r="A264" s="11" t="inlineStr">
        <is>
          <t>Balliu</t>
        </is>
      </c>
      <c r="B264" s="11" t="inlineStr">
        <is>
          <t>balliu-accesorio-exterior-resina-da11d420</t>
        </is>
      </c>
      <c r="C264" s="11" t="inlineStr">
        <is>
          <t>BALLIU_PASARELA_RESINA_RECI_METRO_PASARELA_B_DA11D420</t>
        </is>
      </c>
      <c r="D264" s="12" t="inlineStr">
        <is>
          <t>Accesorio exterior resina</t>
        </is>
      </c>
      <c r="E264" s="13" t="n">
        <v>48.25</v>
      </c>
      <c r="F264" s="13" t="n">
        <v>89.81999999999999</v>
      </c>
      <c r="G264" s="13" t="n">
        <v>25.98</v>
      </c>
      <c r="H264" s="14" t="n">
        <v>35</v>
      </c>
      <c r="I264" s="13" t="n">
        <v>74.23</v>
      </c>
      <c r="J264" s="13" t="n">
        <v>0</v>
      </c>
      <c r="K264" s="13">
        <f>G264-J264</f>
        <v/>
      </c>
      <c r="L264" s="13">
        <f>K264*$L$1</f>
        <v/>
      </c>
      <c r="M264" s="15">
        <f>F264/K264</f>
        <v/>
      </c>
      <c r="N264" s="10">
        <f>IF(M264&lt;3.5,"SI",IF(M264&lt;4.5,IF(K264&gt;=100,"SI",IF(K264&gt;=40,"CUIDADO","NO")),IF(AND(M264&lt;5.5,F264&gt;=500,K264&gt;=80),"CUIDADO","NO")))</f>
        <v/>
      </c>
    </row>
    <row r="265" ht="15.75" customHeight="1" s="98">
      <c r="A265" s="5" t="inlineStr">
        <is>
          <t>Balliu</t>
        </is>
      </c>
      <c r="B265" s="5" t="inlineStr">
        <is>
          <t>balliu-accesorio-exterior-resina-df85d2d1</t>
        </is>
      </c>
      <c r="C265" s="5" t="inlineStr">
        <is>
          <t>BALLIU_PASARELA_RESINA_METRO_PASARELA_1_DF85D2D1</t>
        </is>
      </c>
      <c r="D265" s="6" t="inlineStr">
        <is>
          <t>Accesorio exterior resina</t>
        </is>
      </c>
      <c r="E265" s="7" t="n">
        <v>82.22</v>
      </c>
      <c r="F265" s="7" t="n">
        <v>153.05</v>
      </c>
      <c r="G265" s="7" t="n">
        <v>44.27</v>
      </c>
      <c r="H265" s="8" t="n">
        <v>35</v>
      </c>
      <c r="I265" s="7" t="n">
        <v>126.49</v>
      </c>
      <c r="J265" s="7" t="n">
        <v>0</v>
      </c>
      <c r="K265" s="7">
        <f>G265-J265</f>
        <v/>
      </c>
      <c r="L265" s="7">
        <f>K265*$L$1</f>
        <v/>
      </c>
      <c r="M265" s="9">
        <f>F265/K265</f>
        <v/>
      </c>
      <c r="N265" s="10">
        <f>IF(M265&lt;3.5,"SI",IF(M265&lt;4.5,IF(K265&gt;=100,"SI",IF(K265&gt;=40,"CUIDADO","NO")),IF(AND(M265&lt;5.5,F265&gt;=500,K265&gt;=80),"CUIDADO","NO")))</f>
        <v/>
      </c>
    </row>
    <row r="266" ht="15.75" customHeight="1" s="98">
      <c r="A266" s="11" t="inlineStr">
        <is>
          <t>Balliu</t>
        </is>
      </c>
      <c r="B266" s="11" t="inlineStr">
        <is>
          <t>balliu-colchoneta-para-tumbona-0e9a3256</t>
        </is>
      </c>
      <c r="C266" s="11" t="inlineStr">
        <is>
          <t>BALLIU_COLCHONETA_TUMBONA_TEJIDO_ACRILICO_26977CB8</t>
        </is>
      </c>
      <c r="D266" s="12" t="inlineStr">
        <is>
          <t>Colchoneta para tumbona acrílico</t>
        </is>
      </c>
      <c r="E266" s="13" t="n">
        <v>70.56999999999999</v>
      </c>
      <c r="F266" s="13" t="n">
        <v>131.37</v>
      </c>
      <c r="G266" s="13" t="n">
        <v>38</v>
      </c>
      <c r="H266" s="14" t="n">
        <v>35</v>
      </c>
      <c r="I266" s="13" t="n">
        <v>108.57</v>
      </c>
      <c r="J266" s="13" t="n">
        <v>0</v>
      </c>
      <c r="K266" s="13">
        <f>G266-J266</f>
        <v/>
      </c>
      <c r="L266" s="13">
        <f>K266*$L$1</f>
        <v/>
      </c>
      <c r="M266" s="15">
        <f>F266/K266</f>
        <v/>
      </c>
      <c r="N266" s="10">
        <f>IF(M266&lt;3.5,"SI",IF(M266&lt;4.5,IF(K266&gt;=100,"SI",IF(K266&gt;=40,"CUIDADO","NO")),IF(AND(M266&lt;5.5,F266&gt;=500,K266&gt;=80),"CUIDADO","NO")))</f>
        <v/>
      </c>
    </row>
    <row r="267" ht="15.75" customHeight="1" s="98">
      <c r="A267" s="5" t="inlineStr">
        <is>
          <t>Balliu</t>
        </is>
      </c>
      <c r="B267" s="5" t="inlineStr">
        <is>
          <t>balliu-colchoneta-para-tumbona-0e9a3256</t>
        </is>
      </c>
      <c r="C267" s="5" t="inlineStr">
        <is>
          <t>BALLIU_COLCHONETA_TUMBONA_TELA_BALLIU_GUAT_0E9A3256</t>
        </is>
      </c>
      <c r="D267" s="6" t="inlineStr">
        <is>
          <t>Colchoneta para tumbona</t>
        </is>
      </c>
      <c r="E267" s="7" t="n">
        <v>62.07</v>
      </c>
      <c r="F267" s="7" t="n">
        <v>115.55</v>
      </c>
      <c r="G267" s="7" t="n">
        <v>33.43</v>
      </c>
      <c r="H267" s="8" t="n">
        <v>35.01</v>
      </c>
      <c r="I267" s="7" t="n">
        <v>95.5</v>
      </c>
      <c r="J267" s="7" t="n">
        <v>0</v>
      </c>
      <c r="K267" s="7">
        <f>G267-J267</f>
        <v/>
      </c>
      <c r="L267" s="7">
        <f>K267*$L$1</f>
        <v/>
      </c>
      <c r="M267" s="9">
        <f>F267/K267</f>
        <v/>
      </c>
      <c r="N267" s="10">
        <f>IF(M267&lt;3.5,"SI",IF(M267&lt;4.5,IF(K267&gt;=100,"SI",IF(K267&gt;=40,"CUIDADO","NO")),IF(AND(M267&lt;5.5,F267&gt;=500,K267&gt;=80),"CUIDADO","NO")))</f>
        <v/>
      </c>
    </row>
    <row r="268" ht="15.75" customHeight="1" s="98">
      <c r="A268" s="11" t="inlineStr">
        <is>
          <t>Balliu</t>
        </is>
      </c>
      <c r="B268" s="11" t="inlineStr">
        <is>
          <t>balliu-colchoneta-para-tumbona-0e9a3256</t>
        </is>
      </c>
      <c r="C268" s="11" t="inlineStr">
        <is>
          <t>BALLIU_COLCHONETA_TUMBONA_TELA_BALLIU_DRYF_41269616</t>
        </is>
      </c>
      <c r="D268" s="12" t="inlineStr">
        <is>
          <t>Colchoneta para tumbona</t>
        </is>
      </c>
      <c r="E268" s="13" t="n">
        <v>102.54</v>
      </c>
      <c r="F268" s="13" t="n">
        <v>190.88</v>
      </c>
      <c r="G268" s="13" t="n">
        <v>55.21</v>
      </c>
      <c r="H268" s="14" t="n">
        <v>35</v>
      </c>
      <c r="I268" s="13" t="n">
        <v>157.75</v>
      </c>
      <c r="J268" s="13" t="n">
        <v>0</v>
      </c>
      <c r="K268" s="13">
        <f>G268-J268</f>
        <v/>
      </c>
      <c r="L268" s="13">
        <f>K268*$L$1</f>
        <v/>
      </c>
      <c r="M268" s="15">
        <f>F268/K268</f>
        <v/>
      </c>
      <c r="N268" s="10">
        <f>IF(M268&lt;3.5,"SI",IF(M268&lt;4.5,IF(K268&gt;=100,"SI",IF(K268&gt;=40,"CUIDADO","NO")),IF(AND(M268&lt;5.5,F268&gt;=500,K268&gt;=80),"CUIDADO","NO")))</f>
        <v/>
      </c>
    </row>
    <row r="269" ht="15.75" customHeight="1" s="98">
      <c r="A269" s="5" t="inlineStr">
        <is>
          <t>Balliu</t>
        </is>
      </c>
      <c r="B269" s="5" t="inlineStr">
        <is>
          <t>balliu-mobiliario-exterior-resina-28-cm-6264905d</t>
        </is>
      </c>
      <c r="C269" s="5" t="inlineStr">
        <is>
          <t>BALLIU_WEGUARD_CAJA_DE_SEGU_6264905D</t>
        </is>
      </c>
      <c r="D269" s="6" t="inlineStr">
        <is>
          <t>Mobiliario exterior resina | 28 cm</t>
        </is>
      </c>
      <c r="E269" s="7" t="n">
        <v>34.61</v>
      </c>
      <c r="F269" s="7" t="n">
        <v>67.54000000000001</v>
      </c>
      <c r="G269" s="7" t="n">
        <v>21.21</v>
      </c>
      <c r="H269" s="8" t="n">
        <v>38</v>
      </c>
      <c r="I269" s="7" t="n">
        <v>55.82</v>
      </c>
      <c r="J269" s="7" t="n">
        <v>0</v>
      </c>
      <c r="K269" s="7">
        <f>G269-J269</f>
        <v/>
      </c>
      <c r="L269" s="7">
        <f>K269*$L$1</f>
        <v/>
      </c>
      <c r="M269" s="9">
        <f>F269/K269</f>
        <v/>
      </c>
      <c r="N269" s="10">
        <f>IF(M269&lt;3.5,"SI",IF(M269&lt;4.5,IF(K269&gt;=100,"SI",IF(K269&gt;=40,"CUIDADO","NO")),IF(AND(M269&lt;5.5,F269&gt;=500,K269&gt;=80),"CUIDADO","NO")))</f>
        <v/>
      </c>
    </row>
    <row r="270" ht="15.75" customHeight="1" s="98">
      <c r="A270" s="11" t="inlineStr">
        <is>
          <t>Balliu</t>
        </is>
      </c>
      <c r="B270" s="11" t="inlineStr">
        <is>
          <t>balliu-pie-de-parasol-c2147052</t>
        </is>
      </c>
      <c r="C270" s="11" t="inlineStr">
        <is>
          <t>BALLIU_PIE_PARASOL_40_KG_C2147052</t>
        </is>
      </c>
      <c r="D270" s="12" t="inlineStr">
        <is>
          <t>Pie de parasol</t>
        </is>
      </c>
      <c r="E270" s="13" t="n">
        <v>88.17</v>
      </c>
      <c r="F270" s="13" t="n">
        <v>164.14</v>
      </c>
      <c r="G270" s="13" t="n">
        <v>47.48</v>
      </c>
      <c r="H270" s="14" t="n">
        <v>35</v>
      </c>
      <c r="I270" s="13" t="n">
        <v>135.65</v>
      </c>
      <c r="J270" s="13" t="n">
        <v>0</v>
      </c>
      <c r="K270" s="13">
        <f>G270-J270</f>
        <v/>
      </c>
      <c r="L270" s="13">
        <f>K270*$L$1</f>
        <v/>
      </c>
      <c r="M270" s="15">
        <f>F270/K270</f>
        <v/>
      </c>
      <c r="N270" s="10">
        <f>IF(M270&lt;3.5,"SI",IF(M270&lt;4.5,IF(K270&gt;=100,"SI",IF(K270&gt;=40,"CUIDADO","NO")),IF(AND(M270&lt;5.5,F270&gt;=500,K270&gt;=80),"CUIDADO","NO")))</f>
        <v/>
      </c>
    </row>
    <row r="271" ht="15.75" customHeight="1" s="98">
      <c r="A271" s="5" t="inlineStr">
        <is>
          <t>Balliu</t>
        </is>
      </c>
      <c r="B271" s="5" t="inlineStr">
        <is>
          <t>balliu-pie-de-parasol-fab3cac6</t>
        </is>
      </c>
      <c r="C271" s="5" t="inlineStr">
        <is>
          <t>BALLIU_PIE_PARASOL_40_KG_RE_FAB3CAC6</t>
        </is>
      </c>
      <c r="D271" s="6" t="inlineStr">
        <is>
          <t>Pie de parasol</t>
        </is>
      </c>
      <c r="E271" s="7" t="n">
        <v>68.16</v>
      </c>
      <c r="F271" s="7" t="n">
        <v>126.88</v>
      </c>
      <c r="G271" s="7" t="n">
        <v>36.7</v>
      </c>
      <c r="H271" s="8" t="n">
        <v>35</v>
      </c>
      <c r="I271" s="7" t="n">
        <v>104.86</v>
      </c>
      <c r="J271" s="7" t="n">
        <v>0</v>
      </c>
      <c r="K271" s="7">
        <f>G271-J271</f>
        <v/>
      </c>
      <c r="L271" s="7">
        <f>K271*$L$1</f>
        <v/>
      </c>
      <c r="M271" s="9">
        <f>F271/K271</f>
        <v/>
      </c>
      <c r="N271" s="10">
        <f>IF(M271&lt;3.5,"SI",IF(M271&lt;4.5,IF(K271&gt;=100,"SI",IF(K271&gt;=40,"CUIDADO","NO")),IF(AND(M271&lt;5.5,F271&gt;=500,K271&gt;=80),"CUIDADO","NO")))</f>
        <v/>
      </c>
    </row>
    <row r="272" ht="15.75" customHeight="1" s="98">
      <c r="A272" s="11" t="inlineStr">
        <is>
          <t>Balliu</t>
        </is>
      </c>
      <c r="B272" s="11" t="inlineStr">
        <is>
          <t>balliu-base-de-parasol-3ee8b72d</t>
        </is>
      </c>
      <c r="C272" s="11" t="inlineStr">
        <is>
          <t>BALLIU_BASE_HORMIGON_25_KG_3EE8B72D</t>
        </is>
      </c>
      <c r="D272" s="12" t="inlineStr">
        <is>
          <t>Base de parasol</t>
        </is>
      </c>
      <c r="E272" s="13" t="n">
        <v>54.88</v>
      </c>
      <c r="F272" s="13" t="n">
        <v>102.16</v>
      </c>
      <c r="G272" s="13" t="n">
        <v>29.55</v>
      </c>
      <c r="H272" s="14" t="n">
        <v>35</v>
      </c>
      <c r="I272" s="13" t="n">
        <v>84.43000000000001</v>
      </c>
      <c r="J272" s="13" t="n">
        <v>0</v>
      </c>
      <c r="K272" s="13">
        <f>G272-J272</f>
        <v/>
      </c>
      <c r="L272" s="13">
        <f>K272*$L$1</f>
        <v/>
      </c>
      <c r="M272" s="15">
        <f>F272/K272</f>
        <v/>
      </c>
      <c r="N272" s="10">
        <f>IF(M272&lt;3.5,"SI",IF(M272&lt;4.5,IF(K272&gt;=100,"SI",IF(K272&gt;=40,"CUIDADO","NO")),IF(AND(M272&lt;5.5,F272&gt;=500,K272&gt;=80),"CUIDADO","NO")))</f>
        <v/>
      </c>
    </row>
    <row r="273" ht="15.75" customHeight="1" s="98">
      <c r="A273" s="5" t="inlineStr">
        <is>
          <t>Balliu</t>
        </is>
      </c>
      <c r="B273" s="5" t="inlineStr">
        <is>
          <t>balliu-base-de-parasol-890a4cd4</t>
        </is>
      </c>
      <c r="C273" s="5" t="inlineStr">
        <is>
          <t>BALLIU_BASE_HORMIGON_30_KG_890A4CD4</t>
        </is>
      </c>
      <c r="D273" s="6" t="inlineStr">
        <is>
          <t>Base de parasol</t>
        </is>
      </c>
      <c r="E273" s="7" t="n">
        <v>27.52</v>
      </c>
      <c r="F273" s="7" t="n">
        <v>51.23</v>
      </c>
      <c r="G273" s="7" t="n">
        <v>14.82</v>
      </c>
      <c r="H273" s="8" t="n">
        <v>35</v>
      </c>
      <c r="I273" s="7" t="n">
        <v>42.34</v>
      </c>
      <c r="J273" s="7" t="n">
        <v>0</v>
      </c>
      <c r="K273" s="7">
        <f>G273-J273</f>
        <v/>
      </c>
      <c r="L273" s="7">
        <f>K273*$L$1</f>
        <v/>
      </c>
      <c r="M273" s="9">
        <f>F273/K273</f>
        <v/>
      </c>
      <c r="N273" s="10">
        <f>IF(M273&lt;3.5,"SI",IF(M273&lt;4.5,IF(K273&gt;=100,"SI",IF(K273&gt;=40,"CUIDADO","NO")),IF(AND(M273&lt;5.5,F273&gt;=500,K273&gt;=80),"CUIDADO","NO")))</f>
        <v/>
      </c>
    </row>
    <row r="274" ht="15.75" customHeight="1" s="98">
      <c r="A274" s="11" t="inlineStr">
        <is>
          <t>Balliu</t>
        </is>
      </c>
      <c r="B274" s="11" t="inlineStr">
        <is>
          <t>balliu-funda-protectora-exterior-686cc405</t>
        </is>
      </c>
      <c r="C274" s="11" t="inlineStr">
        <is>
          <t>BALLIU_FUNDA_TUMBONA_12_UNIDADES_D7D20AB0</t>
        </is>
      </c>
      <c r="D274" s="12" t="inlineStr">
        <is>
          <t>Funda protectora exterior</t>
        </is>
      </c>
      <c r="E274" s="13" t="n">
        <v>137.94</v>
      </c>
      <c r="F274" s="13" t="n">
        <v>256.79</v>
      </c>
      <c r="G274" s="13" t="n">
        <v>74.28</v>
      </c>
      <c r="H274" s="14" t="n">
        <v>35</v>
      </c>
      <c r="I274" s="13" t="n">
        <v>212.22</v>
      </c>
      <c r="J274" s="13" t="n">
        <v>0</v>
      </c>
      <c r="K274" s="13">
        <f>G274-J274</f>
        <v/>
      </c>
      <c r="L274" s="13">
        <f>K274*$L$1</f>
        <v/>
      </c>
      <c r="M274" s="15">
        <f>F274/K274</f>
        <v/>
      </c>
      <c r="N274" s="10">
        <f>IF(M274&lt;3.5,"SI",IF(M274&lt;4.5,IF(K274&gt;=100,"SI",IF(K274&gt;=40,"CUIDADO","NO")),IF(AND(M274&lt;5.5,F274&gt;=500,K274&gt;=80),"CUIDADO","NO")))</f>
        <v/>
      </c>
    </row>
    <row r="275" ht="15.75" customHeight="1" s="98">
      <c r="A275" s="5" t="inlineStr">
        <is>
          <t>Balliu</t>
        </is>
      </c>
      <c r="B275" s="5" t="inlineStr">
        <is>
          <t>balliu-funda-protectora-exterior-686cc405</t>
        </is>
      </c>
      <c r="C275" s="5" t="inlineStr">
        <is>
          <t>BALLIU_FUNDA_TUMBONA_24_UNIDADES_287BB1C0</t>
        </is>
      </c>
      <c r="D275" s="6" t="inlineStr">
        <is>
          <t>Funda protectora exterior</t>
        </is>
      </c>
      <c r="E275" s="7" t="n">
        <v>176.97</v>
      </c>
      <c r="F275" s="7" t="n">
        <v>329.42</v>
      </c>
      <c r="G275" s="7" t="n">
        <v>95.28</v>
      </c>
      <c r="H275" s="8" t="n">
        <v>35</v>
      </c>
      <c r="I275" s="7" t="n">
        <v>272.25</v>
      </c>
      <c r="J275" s="7" t="n">
        <v>0</v>
      </c>
      <c r="K275" s="7">
        <f>G275-J275</f>
        <v/>
      </c>
      <c r="L275" s="7">
        <f>K275*$L$1</f>
        <v/>
      </c>
      <c r="M275" s="9">
        <f>F275/K275</f>
        <v/>
      </c>
      <c r="N275" s="10">
        <f>IF(M275&lt;3.5,"SI",IF(M275&lt;4.5,IF(K275&gt;=100,"SI",IF(K275&gt;=40,"CUIDADO","NO")),IF(AND(M275&lt;5.5,F275&gt;=500,K275&gt;=80),"CUIDADO","NO")))</f>
        <v/>
      </c>
    </row>
    <row r="276" ht="15.75" customHeight="1" s="98">
      <c r="A276" s="11" t="inlineStr">
        <is>
          <t>Balliu</t>
        </is>
      </c>
      <c r="B276" s="11" t="inlineStr">
        <is>
          <t>balliu-funda-protectora-exterior-686cc405</t>
        </is>
      </c>
      <c r="C276" s="11" t="inlineStr">
        <is>
          <t>BALLIU_FUNDA_TUMBONA_2_UNIDADES_686CC405</t>
        </is>
      </c>
      <c r="D276" s="12" t="inlineStr">
        <is>
          <t>Funda protectora exterior</t>
        </is>
      </c>
      <c r="E276" s="13" t="n">
        <v>42.82</v>
      </c>
      <c r="F276" s="13" t="n">
        <v>79.70999999999999</v>
      </c>
      <c r="G276" s="13" t="n">
        <v>23.06</v>
      </c>
      <c r="H276" s="14" t="n">
        <v>35</v>
      </c>
      <c r="I276" s="13" t="n">
        <v>65.88</v>
      </c>
      <c r="J276" s="13" t="n">
        <v>0</v>
      </c>
      <c r="K276" s="13">
        <f>G276-J276</f>
        <v/>
      </c>
      <c r="L276" s="13">
        <f>K276*$L$1</f>
        <v/>
      </c>
      <c r="M276" s="15">
        <f>F276/K276</f>
        <v/>
      </c>
      <c r="N276" s="10">
        <f>IF(M276&lt;3.5,"SI",IF(M276&lt;4.5,IF(K276&gt;=100,"SI",IF(K276&gt;=40,"CUIDADO","NO")),IF(AND(M276&lt;5.5,F276&gt;=500,K276&gt;=80),"CUIDADO","NO")))</f>
        <v/>
      </c>
    </row>
    <row r="277" ht="15.75" customHeight="1" s="98">
      <c r="A277" s="5" t="inlineStr">
        <is>
          <t>Balliu</t>
        </is>
      </c>
      <c r="B277" s="5" t="inlineStr">
        <is>
          <t>balliu-funda-protectora-exterior-acrilico-a1c16324</t>
        </is>
      </c>
      <c r="C277" s="5" t="inlineStr">
        <is>
          <t>BALLIU_FUNDA_PARASOL_1_UNIDADES_ACRIL_A1C16324</t>
        </is>
      </c>
      <c r="D277" s="6" t="inlineStr">
        <is>
          <t>Funda protectora exterior acrílico</t>
        </is>
      </c>
      <c r="E277" s="7" t="n">
        <v>19.68</v>
      </c>
      <c r="F277" s="7" t="n">
        <v>36.63</v>
      </c>
      <c r="G277" s="7" t="n">
        <v>10.59</v>
      </c>
      <c r="H277" s="8" t="n">
        <v>34.99</v>
      </c>
      <c r="I277" s="7" t="n">
        <v>30.27</v>
      </c>
      <c r="J277" s="7" t="n">
        <v>0</v>
      </c>
      <c r="K277" s="7">
        <f>G277-J277</f>
        <v/>
      </c>
      <c r="L277" s="7">
        <f>K277*$L$1</f>
        <v/>
      </c>
      <c r="M277" s="9">
        <f>F277/K277</f>
        <v/>
      </c>
      <c r="N277" s="10">
        <f>IF(M277&lt;3.5,"SI",IF(M277&lt;4.5,IF(K277&gt;=100,"SI",IF(K277&gt;=40,"CUIDADO","NO")),IF(AND(M277&lt;5.5,F277&gt;=500,K277&gt;=80),"CUIDADO","NO")))</f>
        <v/>
      </c>
    </row>
    <row r="278" ht="15.75" customHeight="1" s="98">
      <c r="A278" s="11" t="inlineStr">
        <is>
          <t>Balliu</t>
        </is>
      </c>
      <c r="B278" s="11" t="inlineStr">
        <is>
          <t>balliu-funda-protectora-exterior-6f6d4953</t>
        </is>
      </c>
      <c r="C278" s="11" t="inlineStr">
        <is>
          <t>BALLIU_FUNDA_SOFA_SOFA_INDIVIDUAL_6F6D4953</t>
        </is>
      </c>
      <c r="D278" s="12" t="inlineStr">
        <is>
          <t>Funda protectora exterior</t>
        </is>
      </c>
      <c r="E278" s="13" t="n">
        <v>69.70999999999999</v>
      </c>
      <c r="F278" s="13" t="n">
        <v>129.76</v>
      </c>
      <c r="G278" s="13" t="n">
        <v>37.53</v>
      </c>
      <c r="H278" s="14" t="n">
        <v>35</v>
      </c>
      <c r="I278" s="13" t="n">
        <v>107.24</v>
      </c>
      <c r="J278" s="13" t="n">
        <v>0</v>
      </c>
      <c r="K278" s="13">
        <f>G278-J278</f>
        <v/>
      </c>
      <c r="L278" s="13">
        <f>K278*$L$1</f>
        <v/>
      </c>
      <c r="M278" s="15">
        <f>F278/K278</f>
        <v/>
      </c>
      <c r="N278" s="10">
        <f>IF(M278&lt;3.5,"SI",IF(M278&lt;4.5,IF(K278&gt;=100,"SI",IF(K278&gt;=40,"CUIDADO","NO")),IF(AND(M278&lt;5.5,F278&gt;=500,K278&gt;=80),"CUIDADO","NO")))</f>
        <v/>
      </c>
    </row>
    <row r="279" ht="15.75" customHeight="1" s="98">
      <c r="A279" s="5" t="inlineStr">
        <is>
          <t>Balliu</t>
        </is>
      </c>
      <c r="B279" s="5" t="inlineStr">
        <is>
          <t>balliu-funda-protectora-exterior-6f6d4953</t>
        </is>
      </c>
      <c r="C279" s="5" t="inlineStr">
        <is>
          <t>BALLIU_FUNDA_SOFA_SOFA_DOBLE_0595C4C0</t>
        </is>
      </c>
      <c r="D279" s="6" t="inlineStr">
        <is>
          <t>Funda protectora exterior</t>
        </is>
      </c>
      <c r="E279" s="7" t="n">
        <v>99.95</v>
      </c>
      <c r="F279" s="7" t="n">
        <v>186.06</v>
      </c>
      <c r="G279" s="7" t="n">
        <v>53.82</v>
      </c>
      <c r="H279" s="8" t="n">
        <v>35</v>
      </c>
      <c r="I279" s="7" t="n">
        <v>153.77</v>
      </c>
      <c r="J279" s="7" t="n">
        <v>0</v>
      </c>
      <c r="K279" s="7">
        <f>G279-J279</f>
        <v/>
      </c>
      <c r="L279" s="7">
        <f>K279*$L$1</f>
        <v/>
      </c>
      <c r="M279" s="9">
        <f>F279/K279</f>
        <v/>
      </c>
      <c r="N279" s="10">
        <f>IF(M279&lt;3.5,"SI",IF(M279&lt;4.5,IF(K279&gt;=100,"SI",IF(K279&gt;=40,"CUIDADO","NO")),IF(AND(M279&lt;5.5,F279&gt;=500,K279&gt;=80),"CUIDADO","NO")))</f>
        <v/>
      </c>
    </row>
    <row r="280" ht="15.75" customHeight="1" s="98">
      <c r="A280" s="11" t="inlineStr">
        <is>
          <t>Balliu</t>
        </is>
      </c>
      <c r="B280" s="11" t="inlineStr">
        <is>
          <t>balliu-funda-protectora-exterior-6f6d4953</t>
        </is>
      </c>
      <c r="C280" s="11" t="inlineStr">
        <is>
          <t>BALLIU_FUNDA_SOFA_SOFA_TRIPLE_852AF1C6</t>
        </is>
      </c>
      <c r="D280" s="12" t="inlineStr">
        <is>
          <t>Funda protectora exterior</t>
        </is>
      </c>
      <c r="E280" s="13" t="n">
        <v>122.35</v>
      </c>
      <c r="F280" s="13" t="n">
        <v>227.77</v>
      </c>
      <c r="G280" s="13" t="n">
        <v>65.89</v>
      </c>
      <c r="H280" s="14" t="n">
        <v>35</v>
      </c>
      <c r="I280" s="13" t="n">
        <v>188.24</v>
      </c>
      <c r="J280" s="13" t="n">
        <v>0</v>
      </c>
      <c r="K280" s="13">
        <f>G280-J280</f>
        <v/>
      </c>
      <c r="L280" s="13">
        <f>K280*$L$1</f>
        <v/>
      </c>
      <c r="M280" s="15">
        <f>F280/K280</f>
        <v/>
      </c>
      <c r="N280" s="10">
        <f>IF(M280&lt;3.5,"SI",IF(M280&lt;4.5,IF(K280&gt;=100,"SI",IF(K280&gt;=40,"CUIDADO","NO")),IF(AND(M280&lt;5.5,F280&gt;=500,K280&gt;=80),"CUIDADO","NO")))</f>
        <v/>
      </c>
    </row>
    <row r="281" ht="15.75" customHeight="1" s="98">
      <c r="A281" s="5" t="inlineStr">
        <is>
          <t>Balliu</t>
        </is>
      </c>
      <c r="B281" s="5" t="inlineStr">
        <is>
          <t>balliu-funda-protectora-exterior-340b2844</t>
        </is>
      </c>
      <c r="C281" s="5" t="inlineStr">
        <is>
          <t>BALLIU_FUNDA_SILLA_6_UNIDADES_340B2844</t>
        </is>
      </c>
      <c r="D281" s="6" t="inlineStr">
        <is>
          <t>Funda protectora exterior</t>
        </is>
      </c>
      <c r="E281" s="7" t="n">
        <v>45.21</v>
      </c>
      <c r="F281" s="7" t="n">
        <v>84.16</v>
      </c>
      <c r="G281" s="7" t="n">
        <v>24.34</v>
      </c>
      <c r="H281" s="8" t="n">
        <v>35</v>
      </c>
      <c r="I281" s="7" t="n">
        <v>69.55</v>
      </c>
      <c r="J281" s="7" t="n">
        <v>0</v>
      </c>
      <c r="K281" s="7">
        <f>G281-J281</f>
        <v/>
      </c>
      <c r="L281" s="7">
        <f>K281*$L$1</f>
        <v/>
      </c>
      <c r="M281" s="9">
        <f>F281/K281</f>
        <v/>
      </c>
      <c r="N281" s="10">
        <f>IF(M281&lt;3.5,"SI",IF(M281&lt;4.5,IF(K281&gt;=100,"SI",IF(K281&gt;=40,"CUIDADO","NO")),IF(AND(M281&lt;5.5,F281&gt;=500,K281&gt;=80),"CUIDADO","NO")))</f>
        <v/>
      </c>
    </row>
    <row r="282" ht="15.75" customHeight="1" s="98">
      <c r="A282" s="11" t="inlineStr">
        <is>
          <t>Balliu</t>
        </is>
      </c>
      <c r="B282" s="11" t="inlineStr">
        <is>
          <t>balliu-cojin-exterior-523e5ae9</t>
        </is>
      </c>
      <c r="C282" s="11" t="inlineStr">
        <is>
          <t>BALLIU_COJIN_40X40_COJIN_CUADRAL_523E5AE9</t>
        </is>
      </c>
      <c r="D282" s="12" t="inlineStr">
        <is>
          <t>Cojín exterior</t>
        </is>
      </c>
      <c r="E282" s="13" t="n">
        <v>28.69</v>
      </c>
      <c r="F282" s="13" t="n">
        <v>53.41</v>
      </c>
      <c r="G282" s="13" t="n">
        <v>15.45</v>
      </c>
      <c r="H282" s="14" t="n">
        <v>35</v>
      </c>
      <c r="I282" s="13" t="n">
        <v>44.14</v>
      </c>
      <c r="J282" s="13" t="n">
        <v>0</v>
      </c>
      <c r="K282" s="13">
        <f>G282-J282</f>
        <v/>
      </c>
      <c r="L282" s="13">
        <f>K282*$L$1</f>
        <v/>
      </c>
      <c r="M282" s="15">
        <f>F282/K282</f>
        <v/>
      </c>
      <c r="N282" s="10">
        <f>IF(M282&lt;3.5,"SI",IF(M282&lt;4.5,IF(K282&gt;=100,"SI",IF(K282&gt;=40,"CUIDADO","NO")),IF(AND(M282&lt;5.5,F282&gt;=500,K282&gt;=80),"CUIDADO","NO")))</f>
        <v/>
      </c>
    </row>
    <row r="283" ht="15.75" customHeight="1" s="98">
      <c r="A283" s="5" t="inlineStr">
        <is>
          <t>Balliu</t>
        </is>
      </c>
      <c r="B283" s="5" t="inlineStr">
        <is>
          <t>balliu-limpiador-para-mobiliario-exterior-d0d3fc26</t>
        </is>
      </c>
      <c r="C283" s="5" t="inlineStr">
        <is>
          <t>BALLIU_PRODUCTO_LIMPIADOR_LIMPIADOR_TUMBON_D0D3FC26</t>
        </is>
      </c>
      <c r="D283" s="6" t="inlineStr">
        <is>
          <t>Limpiador para mobiliario exterior</t>
        </is>
      </c>
      <c r="E283" s="7" t="n">
        <v>12.41</v>
      </c>
      <c r="F283" s="7" t="n">
        <v>23.1</v>
      </c>
      <c r="G283" s="7" t="n">
        <v>6.68</v>
      </c>
      <c r="H283" s="8" t="n">
        <v>34.99</v>
      </c>
      <c r="I283" s="7" t="n">
        <v>19.09</v>
      </c>
      <c r="J283" s="7" t="n">
        <v>0</v>
      </c>
      <c r="K283" s="7">
        <f>G283-J283</f>
        <v/>
      </c>
      <c r="L283" s="7">
        <f>K283*$L$1</f>
        <v/>
      </c>
      <c r="M283" s="9">
        <f>F283/K283</f>
        <v/>
      </c>
      <c r="N283" s="10">
        <f>IF(M283&lt;3.5,"SI",IF(M283&lt;4.5,IF(K283&gt;=100,"SI",IF(K283&gt;=40,"CUIDADO","NO")),IF(AND(M283&lt;5.5,F283&gt;=500,K283&gt;=80),"CUIDADO","NO")))</f>
        <v/>
      </c>
    </row>
    <row r="284" ht="15.75" customHeight="1" s="98">
      <c r="D284" s="18" t="inlineStr">
        <is>
          <t>TOTAL / MEDIA</t>
        </is>
      </c>
      <c r="E284" s="19">
        <f>SUM(E3:E283)</f>
        <v/>
      </c>
      <c r="F284" s="19">
        <f>SUM(F3:F283)</f>
        <v/>
      </c>
      <c r="G284" s="19">
        <f>SUM(G3:G283)</f>
        <v/>
      </c>
      <c r="H284" s="20">
        <f>AVERAGE(H3:H283)</f>
        <v/>
      </c>
      <c r="K284" s="19">
        <f>G284-J284</f>
        <v/>
      </c>
      <c r="L284" s="19">
        <f>K284*$L$1</f>
        <v/>
      </c>
      <c r="M284" s="21">
        <f>F284/K284</f>
        <v/>
      </c>
      <c r="N284" s="10">
        <f>IF(M284&lt;3.2,"SI","NO")</f>
        <v/>
      </c>
    </row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84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/>
  <cols>
    <col width="12" customWidth="1" style="98" min="1" max="1"/>
    <col width="22.5" customWidth="1" style="98" min="2" max="2"/>
    <col width="13.1640625" customWidth="1" style="98" min="3" max="3"/>
    <col width="52" customWidth="1" style="98" min="4" max="4"/>
    <col width="18" customWidth="1" style="98" min="5" max="5"/>
    <col width="20" customWidth="1" style="98" min="6" max="6"/>
    <col width="14" customWidth="1" style="98" min="7" max="7"/>
    <col width="12" customWidth="1" style="98" min="8" max="8"/>
    <col width="18" customWidth="1" style="98" min="9" max="9"/>
    <col width="14" customWidth="1" style="98" min="10" max="10"/>
    <col width="12.83203125" customWidth="1" style="98" min="11" max="11"/>
    <col width="8.6640625" customWidth="1" style="98" min="12" max="26"/>
  </cols>
  <sheetData>
    <row r="1" ht="31.5" customHeight="1" s="9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n">
        <v>0.6</v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31.5" customHeight="1" s="98">
      <c r="A2" s="3" t="inlineStr">
        <is>
          <t>Proveedor</t>
        </is>
      </c>
      <c r="B2" s="3" t="inlineStr">
        <is>
          <t>Handle Shopify</t>
        </is>
      </c>
      <c r="C2" s="3" t="inlineStr">
        <is>
          <t>SKU</t>
        </is>
      </c>
      <c r="D2" s="3" t="inlineStr">
        <is>
          <t>Producto</t>
        </is>
      </c>
      <c r="E2" s="3" t="inlineStr">
        <is>
          <t>Coste neto
(sin IVA)</t>
        </is>
      </c>
      <c r="F2" s="3" t="inlineStr">
        <is>
          <t>Precio Venta
(con IVA 21%)</t>
        </is>
      </c>
      <c r="G2" s="3" t="inlineStr">
        <is>
          <t>Margen €</t>
        </is>
      </c>
      <c r="H2" s="3" t="inlineStr">
        <is>
          <t>Margen %</t>
        </is>
      </c>
      <c r="I2" s="3" t="inlineStr">
        <is>
          <t>PVP Recomendado</t>
        </is>
      </c>
      <c r="J2" s="3" t="inlineStr">
        <is>
          <t>Coste Envío</t>
        </is>
      </c>
      <c r="K2" s="4" t="inlineStr">
        <is>
          <t>Margen Real</t>
        </is>
      </c>
      <c r="L2" s="4" t="inlineStr">
        <is>
          <t>Max CPA Objetivo</t>
        </is>
      </c>
      <c r="M2" s="4" t="inlineStr">
        <is>
          <t>ROAS por producto</t>
        </is>
      </c>
      <c r="N2" s="4" t="inlineStr">
        <is>
          <t>Anunciar SI/NO</t>
        </is>
      </c>
    </row>
    <row r="3" ht="15.75" customHeight="1" s="98">
      <c r="A3" s="5" t="inlineStr">
        <is>
          <t>Hevea</t>
        </is>
      </c>
      <c r="B3" s="5" t="inlineStr">
        <is>
          <t>sillon-exterior-aluminio-estilo-envolvente-9890-cm</t>
        </is>
      </c>
      <c r="C3" s="5" t="inlineStr">
        <is>
          <t>557-010881</t>
        </is>
      </c>
      <c r="D3" s="6" t="inlineStr">
        <is>
          <t>BRANDON-1 SILLON/ARMCHAIR/FAUTEUIL</t>
        </is>
      </c>
      <c r="E3" s="7" t="n">
        <v>539</v>
      </c>
      <c r="F3" s="7" t="n">
        <v>809.92</v>
      </c>
      <c r="G3" s="7" t="n">
        <v>270.92</v>
      </c>
      <c r="H3" s="8" t="n">
        <v>50.26</v>
      </c>
      <c r="I3" s="7" t="n">
        <v>980</v>
      </c>
      <c r="J3" s="7" t="n">
        <v>0</v>
      </c>
      <c r="K3" s="7">
        <f>G3-J3</f>
        <v/>
      </c>
      <c r="L3" s="7">
        <f>K3*$L$1</f>
        <v/>
      </c>
      <c r="M3" s="9">
        <f>F3/K3</f>
        <v/>
      </c>
      <c r="N3" s="10">
        <f>IF(M3&lt;3.5,"SI",IF(M3&lt;4.5,IF(K3&gt;=100,"SI",IF(K3&gt;=40,"CUIDADO","NO")),IF(AND(M3&lt;5.5,F3&gt;=500,K3&gt;=80),"CUIDADO","NO")))</f>
        <v/>
      </c>
    </row>
    <row r="4" ht="15.75" customHeight="1" s="98">
      <c r="A4" s="11" t="inlineStr">
        <is>
          <t>Hevea</t>
        </is>
      </c>
      <c r="B4" s="11" t="inlineStr">
        <is>
          <t>sofa-terraza-aluminio-2-plazas-estilo-contemporaneo-16690-cm</t>
        </is>
      </c>
      <c r="C4" s="11" t="inlineStr">
        <is>
          <t>557-010882</t>
        </is>
      </c>
      <c r="D4" s="12" t="inlineStr">
        <is>
          <t>BRANDON-2 SOFA 2 PLAZAS/SOFA/CANAPÉ</t>
        </is>
      </c>
      <c r="E4" s="13" t="n">
        <v>809</v>
      </c>
      <c r="F4" s="13" t="n">
        <v>1214.88</v>
      </c>
      <c r="G4" s="13" t="n">
        <v>405.88</v>
      </c>
      <c r="H4" s="14" t="n">
        <v>50.17</v>
      </c>
      <c r="I4" s="13" t="n">
        <v>1470</v>
      </c>
      <c r="J4" s="13" t="n">
        <v>0</v>
      </c>
      <c r="K4" s="13">
        <f>G4-J4</f>
        <v/>
      </c>
      <c r="L4" s="13">
        <f>K4*$L$1</f>
        <v/>
      </c>
      <c r="M4" s="15">
        <f>F4/K4</f>
        <v/>
      </c>
      <c r="N4" s="10">
        <f>IF(M4&lt;3.5,"SI",IF(M4&lt;4.5,IF(K4&gt;=100,"SI",IF(K4&gt;=40,"CUIDADO","NO")),IF(AND(M4&lt;5.5,F4&gt;=500,K4&gt;=80),"CUIDADO","NO")))</f>
        <v/>
      </c>
    </row>
    <row r="5" ht="15.75" customHeight="1" s="98">
      <c r="A5" s="5" t="inlineStr">
        <is>
          <t>Hevea</t>
        </is>
      </c>
      <c r="B5" s="5" t="inlineStr">
        <is>
          <t>sofa-terraza-aluminio-3-plazas-estilo-contemporaneo-22090-cm</t>
        </is>
      </c>
      <c r="C5" s="5" t="inlineStr">
        <is>
          <t>557-010879</t>
        </is>
      </c>
      <c r="D5" s="6" t="inlineStr">
        <is>
          <t>BRANDON-3 SOFA 3 PLAZAS/SOFA/CANAPÉ</t>
        </is>
      </c>
      <c r="E5" s="7" t="n">
        <v>1067</v>
      </c>
      <c r="F5" s="7" t="n">
        <v>1603.31</v>
      </c>
      <c r="G5" s="7" t="n">
        <v>536.3099999999999</v>
      </c>
      <c r="H5" s="8" t="n">
        <v>50.26</v>
      </c>
      <c r="I5" s="7" t="n">
        <v>1940</v>
      </c>
      <c r="J5" s="7" t="n">
        <v>0</v>
      </c>
      <c r="K5" s="7">
        <f>G5-J5</f>
        <v/>
      </c>
      <c r="L5" s="7">
        <f>K5*$L$1</f>
        <v/>
      </c>
      <c r="M5" s="9">
        <f>F5/K5</f>
        <v/>
      </c>
      <c r="N5" s="10">
        <f>IF(M5&lt;3.5,"SI",IF(M5&lt;4.5,IF(K5&gt;=100,"SI",IF(K5&gt;=40,"CUIDADO","NO")),IF(AND(M5&lt;5.5,F5&gt;=500,K5&gt;=80),"CUIDADO","NO")))</f>
        <v/>
      </c>
    </row>
    <row r="6" ht="15.75" customHeight="1" s="98">
      <c r="A6" s="11" t="inlineStr">
        <is>
          <t>Hevea</t>
        </is>
      </c>
      <c r="B6" s="11" t="inlineStr">
        <is>
          <t>set-jardin-aluminio-2-plazas-contemporaneo-sofa-2-plazas-2-sillones-mesa</t>
        </is>
      </c>
      <c r="C6" s="11" t="inlineStr">
        <is>
          <t>557-010884</t>
        </is>
      </c>
      <c r="D6" s="12" t="inlineStr">
        <is>
          <t>LUNA-44 SET MESAS CENTRO 80 + 60</t>
        </is>
      </c>
      <c r="E6" s="13" t="n">
        <v>240</v>
      </c>
      <c r="F6" s="13" t="n">
        <v>359.5</v>
      </c>
      <c r="G6" s="13" t="n">
        <v>119.5</v>
      </c>
      <c r="H6" s="16" t="n">
        <v>49.79</v>
      </c>
      <c r="I6" s="13" t="n">
        <v>435</v>
      </c>
      <c r="J6" s="13" t="n">
        <v>50</v>
      </c>
      <c r="K6" s="13">
        <f>G6-J6</f>
        <v/>
      </c>
      <c r="L6" s="13">
        <f>K6*$L$1</f>
        <v/>
      </c>
      <c r="M6" s="15">
        <f>F6/K6</f>
        <v/>
      </c>
      <c r="N6" s="10">
        <f>IF(M6&lt;3.5,"SI",IF(M6&lt;4.5,IF(K6&gt;=100,"SI",IF(K6&gt;=40,"CUIDADO","NO")),IF(AND(M6&lt;5.5,F6&gt;=500,K6&gt;=80),"CUIDADO","NO")))</f>
        <v/>
      </c>
    </row>
    <row r="7" ht="15.75" customHeight="1" s="98">
      <c r="A7" s="5" t="inlineStr">
        <is>
          <t>Hevea</t>
        </is>
      </c>
      <c r="B7" s="5" t="inlineStr">
        <is>
          <t>set-jardin-aluminio-2-plazas-contemporaneo-sofa-2-plazas-2-sillones-mesa</t>
        </is>
      </c>
      <c r="C7" s="5" t="inlineStr">
        <is>
          <t>557-010884</t>
        </is>
      </c>
      <c r="D7" s="6" t="inlineStr">
        <is>
          <t>BRANDON-7 SET SOFA 2 PLAZAS/SOFA/CANAPÉ</t>
        </is>
      </c>
      <c r="E7" s="7" t="n">
        <v>2126</v>
      </c>
      <c r="F7" s="7" t="n">
        <v>3194.21</v>
      </c>
      <c r="G7" s="7" t="n">
        <v>1068.21</v>
      </c>
      <c r="H7" s="8" t="n">
        <v>50.25</v>
      </c>
      <c r="I7" s="7" t="n">
        <v>3865</v>
      </c>
      <c r="J7" s="7" t="n">
        <v>0</v>
      </c>
      <c r="K7" s="7">
        <f>G7-J7</f>
        <v/>
      </c>
      <c r="L7" s="7">
        <f>K7*$L$1</f>
        <v/>
      </c>
      <c r="M7" s="9">
        <f>F7/K7</f>
        <v/>
      </c>
      <c r="N7" s="10">
        <f>IF(M7&lt;3.5,"SI",IF(M7&lt;4.5,IF(K7&gt;=100,"SI",IF(K7&gt;=40,"CUIDADO","NO")),IF(AND(M7&lt;5.5,F7&gt;=500,K7&gt;=80),"CUIDADO","NO")))</f>
        <v/>
      </c>
    </row>
    <row r="8" ht="15.75" customHeight="1" s="98">
      <c r="A8" s="11" t="inlineStr">
        <is>
          <t>Hevea</t>
        </is>
      </c>
      <c r="B8" s="11" t="inlineStr">
        <is>
          <t>set-jardin-aluminio-3-plazas-contemporaneo-sofa-3-plazas-2-sillones-mesa</t>
        </is>
      </c>
      <c r="C8" s="11" t="inlineStr">
        <is>
          <t>557-010885</t>
        </is>
      </c>
      <c r="D8" s="12" t="inlineStr">
        <is>
          <t>BRANDON-8 SET SOFA 3 PLAZAS/SOFA/CANAPÉ</t>
        </is>
      </c>
      <c r="E8" s="13" t="n">
        <v>2385</v>
      </c>
      <c r="F8" s="13" t="n">
        <v>3582.64</v>
      </c>
      <c r="G8" s="13" t="n">
        <v>1197.64</v>
      </c>
      <c r="H8" s="14" t="n">
        <v>50.22</v>
      </c>
      <c r="I8" s="13" t="n">
        <v>4335</v>
      </c>
      <c r="J8" s="13" t="n">
        <v>0</v>
      </c>
      <c r="K8" s="13">
        <f>G8-J8</f>
        <v/>
      </c>
      <c r="L8" s="13">
        <f>K8*$L$1</f>
        <v/>
      </c>
      <c r="M8" s="15">
        <f>F8/K8</f>
        <v/>
      </c>
      <c r="N8" s="10">
        <f>IF(M8&lt;3.5,"SI",IF(M8&lt;4.5,IF(K8&gt;=100,"SI",IF(K8&gt;=40,"CUIDADO","NO")),IF(AND(M8&lt;5.5,F8&gt;=500,K8&gt;=80),"CUIDADO","NO")))</f>
        <v/>
      </c>
    </row>
    <row r="9" ht="15.75" customHeight="1" s="98">
      <c r="A9" s="5" t="inlineStr">
        <is>
          <t>Hevea</t>
        </is>
      </c>
      <c r="B9" s="5" t="inlineStr">
        <is>
          <t>sillon-exterior-estilo-elegante-7275-cm</t>
        </is>
      </c>
      <c r="C9" s="5" t="inlineStr">
        <is>
          <t>557-010935</t>
        </is>
      </c>
      <c r="D9" s="6" t="inlineStr">
        <is>
          <t>DAMASCO-1 SILLON/ARMCHAIR/FAUTEUIL</t>
        </is>
      </c>
      <c r="E9" s="7" t="n">
        <v>361</v>
      </c>
      <c r="F9" s="7" t="n">
        <v>541.3200000000001</v>
      </c>
      <c r="G9" s="7" t="n">
        <v>180.32</v>
      </c>
      <c r="H9" s="17" t="n">
        <v>49.95</v>
      </c>
      <c r="I9" s="7" t="n">
        <v>655</v>
      </c>
      <c r="J9" s="7" t="n">
        <v>50</v>
      </c>
      <c r="K9" s="7">
        <f>G9-J9</f>
        <v/>
      </c>
      <c r="L9" s="7">
        <f>K9*$L$1</f>
        <v/>
      </c>
      <c r="M9" s="9">
        <f>F9/K9</f>
        <v/>
      </c>
      <c r="N9" s="10">
        <f>IF(M9&lt;3.5,"SI",IF(M9&lt;4.5,IF(K9&gt;=100,"SI",IF(K9&gt;=40,"CUIDADO","NO")),IF(AND(M9&lt;5.5,F9&gt;=500,K9&gt;=80),"CUIDADO","NO")))</f>
        <v/>
      </c>
    </row>
    <row r="10" ht="15.75" customHeight="1" s="98">
      <c r="A10" s="11" t="inlineStr">
        <is>
          <t>Hevea</t>
        </is>
      </c>
      <c r="B10" s="11" t="inlineStr">
        <is>
          <t>sofa-terraza-2-plazas-estilo-envolvente-13575-cm</t>
        </is>
      </c>
      <c r="C10" s="11" t="inlineStr">
        <is>
          <t>557-010936</t>
        </is>
      </c>
      <c r="D10" s="12" t="inlineStr">
        <is>
          <t>DAMASCO-2 SOFA 2 PLAZAS/SOFA/CANAPÉ</t>
        </is>
      </c>
      <c r="E10" s="13" t="n">
        <v>531</v>
      </c>
      <c r="F10" s="13" t="n">
        <v>797.52</v>
      </c>
      <c r="G10" s="13" t="n">
        <v>266.52</v>
      </c>
      <c r="H10" s="14" t="n">
        <v>50.19</v>
      </c>
      <c r="I10" s="13" t="n">
        <v>965</v>
      </c>
      <c r="J10" s="13" t="n">
        <v>0</v>
      </c>
      <c r="K10" s="13">
        <f>G10-J10</f>
        <v/>
      </c>
      <c r="L10" s="13">
        <f>K10*$L$1</f>
        <v/>
      </c>
      <c r="M10" s="15">
        <f>F10/K10</f>
        <v/>
      </c>
      <c r="N10" s="10">
        <f>IF(M10&lt;3.5,"SI",IF(M10&lt;4.5,IF(K10&gt;=100,"SI",IF(K10&gt;=40,"CUIDADO","NO")),IF(AND(M10&lt;5.5,F10&gt;=500,K10&gt;=80),"CUIDADO","NO")))</f>
        <v/>
      </c>
    </row>
    <row r="11" ht="15.75" customHeight="1" s="98">
      <c r="A11" s="5" t="inlineStr">
        <is>
          <t>Hevea</t>
        </is>
      </c>
      <c r="B11" s="5" t="inlineStr">
        <is>
          <t>sofa-terraza-3-plazas-estilo-sofisticado-19475-cm</t>
        </is>
      </c>
      <c r="C11" s="5" t="inlineStr">
        <is>
          <t>557-010937</t>
        </is>
      </c>
      <c r="D11" s="6" t="inlineStr">
        <is>
          <t>DAMASCO-3 SOFA 3 PLAZAS/SOFA/CANAPÉ</t>
        </is>
      </c>
      <c r="E11" s="7" t="n">
        <v>674</v>
      </c>
      <c r="F11" s="7" t="n">
        <v>1012.4</v>
      </c>
      <c r="G11" s="7" t="n">
        <v>338.4</v>
      </c>
      <c r="H11" s="8" t="n">
        <v>50.21</v>
      </c>
      <c r="I11" s="7" t="n">
        <v>1225</v>
      </c>
      <c r="J11" s="7" t="n">
        <v>0</v>
      </c>
      <c r="K11" s="7">
        <f>G11-J11</f>
        <v/>
      </c>
      <c r="L11" s="7">
        <f>K11*$L$1</f>
        <v/>
      </c>
      <c r="M11" s="9">
        <f>F11/K11</f>
        <v/>
      </c>
      <c r="N11" s="10">
        <f>IF(M11&lt;3.5,"SI",IF(M11&lt;4.5,IF(K11&gt;=100,"SI",IF(K11&gt;=40,"CUIDADO","NO")),IF(AND(M11&lt;5.5,F11&gt;=500,K11&gt;=80),"CUIDADO","NO")))</f>
        <v/>
      </c>
    </row>
    <row r="12" ht="15.75" customHeight="1" s="98">
      <c r="A12" s="11" t="inlineStr">
        <is>
          <t>Hevea</t>
        </is>
      </c>
      <c r="B12" s="11" t="inlineStr">
        <is>
          <t>mesa-de-centro-exterior-90-cm-altura-40-cm</t>
        </is>
      </c>
      <c r="C12" s="11" t="inlineStr">
        <is>
          <t>557-1071</t>
        </is>
      </c>
      <c r="D12" s="12" t="inlineStr">
        <is>
          <t>UNIVERSAL-80 MESA CENTRO/COFFEE TABLE</t>
        </is>
      </c>
      <c r="E12" s="13" t="n">
        <v>154</v>
      </c>
      <c r="F12" s="13" t="n">
        <v>231.4</v>
      </c>
      <c r="G12" s="13" t="n">
        <v>77.40000000000001</v>
      </c>
      <c r="H12" s="14" t="n">
        <v>50.26</v>
      </c>
      <c r="I12" s="13" t="n">
        <v>280</v>
      </c>
      <c r="J12" s="13" t="n">
        <v>0</v>
      </c>
      <c r="K12" s="13">
        <f>G12-J12</f>
        <v/>
      </c>
      <c r="L12" s="13">
        <f>K12*$L$1</f>
        <v/>
      </c>
      <c r="M12" s="15">
        <f>F12/K12</f>
        <v/>
      </c>
      <c r="N12" s="10">
        <f>IF(M12&lt;3.5,"SI",IF(M12&lt;4.5,IF(K12&gt;=100,"SI",IF(K12&gt;=40,"CUIDADO","NO")),IF(AND(M12&lt;5.5,F12&gt;=500,K12&gt;=80),"CUIDADO","NO")))</f>
        <v/>
      </c>
    </row>
    <row r="13" ht="15.75" customHeight="1" s="98">
      <c r="A13" s="5" t="inlineStr">
        <is>
          <t>Hevea</t>
        </is>
      </c>
      <c r="B13" s="5" t="inlineStr">
        <is>
          <t>mesa-de-centro-exterior-120-cm-altura-40-cm-2</t>
        </is>
      </c>
      <c r="C13" s="5" t="inlineStr">
        <is>
          <t>557-1563</t>
        </is>
      </c>
      <c r="D13" s="6" t="inlineStr">
        <is>
          <t>UNIVERSAL-120 MESA CENTRO 120/COFFEE TABLE</t>
        </is>
      </c>
      <c r="E13" s="7" t="n">
        <v>215</v>
      </c>
      <c r="F13" s="7" t="n">
        <v>322.31</v>
      </c>
      <c r="G13" s="7" t="n">
        <v>107.31</v>
      </c>
      <c r="H13" s="17" t="n">
        <v>49.91</v>
      </c>
      <c r="I13" s="7" t="n">
        <v>390</v>
      </c>
      <c r="J13" s="7" t="n">
        <v>50</v>
      </c>
      <c r="K13" s="7">
        <f>G13-J13</f>
        <v/>
      </c>
      <c r="L13" s="7">
        <f>K13*$L$1</f>
        <v/>
      </c>
      <c r="M13" s="9">
        <f>F13/K13</f>
        <v/>
      </c>
      <c r="N13" s="10">
        <f>IF(M13&lt;3.5,"SI",IF(M13&lt;4.5,IF(K13&gt;=100,"SI",IF(K13&gt;=40,"CUIDADO","NO")),IF(AND(M13&lt;5.5,F13&gt;=500,K13&gt;=80),"CUIDADO","NO")))</f>
        <v/>
      </c>
    </row>
    <row r="14" ht="15.75" customHeight="1" s="98">
      <c r="A14" s="11" t="inlineStr">
        <is>
          <t>Hevea</t>
        </is>
      </c>
      <c r="B14" s="11" t="inlineStr">
        <is>
          <t>set-jardin-2-plazas-elegante-sofa-2-plazas-2-sillones-mesa</t>
        </is>
      </c>
      <c r="C14" s="11" t="inlineStr">
        <is>
          <t>557-010938</t>
        </is>
      </c>
      <c r="D14" s="12" t="inlineStr">
        <is>
          <t>SET DAMASCO 7 / 2 SEATER SOFA SET / SET CANAPÉ 2 PLACES</t>
        </is>
      </c>
      <c r="E14" s="13" t="n">
        <v>1406</v>
      </c>
      <c r="F14" s="13" t="n">
        <v>2111.57</v>
      </c>
      <c r="G14" s="13" t="n">
        <v>705.5700000000001</v>
      </c>
      <c r="H14" s="14" t="n">
        <v>50.18</v>
      </c>
      <c r="I14" s="13" t="n">
        <v>2555</v>
      </c>
      <c r="J14" s="13" t="n">
        <v>0</v>
      </c>
      <c r="K14" s="13">
        <f>G14-J14</f>
        <v/>
      </c>
      <c r="L14" s="13">
        <f>K14*$L$1</f>
        <v/>
      </c>
      <c r="M14" s="15">
        <f>F14/K14</f>
        <v/>
      </c>
      <c r="N14" s="10">
        <f>IF(M14&lt;3.5,"SI",IF(M14&lt;4.5,IF(K14&gt;=100,"SI",IF(K14&gt;=40,"CUIDADO","NO")),IF(AND(M14&lt;5.5,F14&gt;=500,K14&gt;=80),"CUIDADO","NO")))</f>
        <v/>
      </c>
    </row>
    <row r="15" ht="15.75" customHeight="1" s="98">
      <c r="A15" s="5" t="inlineStr">
        <is>
          <t>Hevea</t>
        </is>
      </c>
      <c r="B15" s="5" t="inlineStr">
        <is>
          <t>set-jardin-3-plazas-sofisticado-sofa-3-plazas-2-sillones-mesa</t>
        </is>
      </c>
      <c r="C15" s="5" t="inlineStr">
        <is>
          <t>557-010939</t>
        </is>
      </c>
      <c r="D15" s="6" t="inlineStr">
        <is>
          <t>SET DAMASCO 8 / 3 SEATER SOFA SET / SET CANAPÉ 3 PLACES</t>
        </is>
      </c>
      <c r="E15" s="7" t="n">
        <v>1609</v>
      </c>
      <c r="F15" s="7" t="n">
        <v>2417.36</v>
      </c>
      <c r="G15" s="7" t="n">
        <v>808.36</v>
      </c>
      <c r="H15" s="8" t="n">
        <v>50.24</v>
      </c>
      <c r="I15" s="7" t="n">
        <v>2925</v>
      </c>
      <c r="J15" s="7" t="n">
        <v>0</v>
      </c>
      <c r="K15" s="7">
        <f>G15-J15</f>
        <v/>
      </c>
      <c r="L15" s="7">
        <f>K15*$L$1</f>
        <v/>
      </c>
      <c r="M15" s="9">
        <f>F15/K15</f>
        <v/>
      </c>
      <c r="N15" s="10">
        <f>IF(M15&lt;3.5,"SI",IF(M15&lt;4.5,IF(K15&gt;=100,"SI",IF(K15&gt;=40,"CUIDADO","NO")),IF(AND(M15&lt;5.5,F15&gt;=500,K15&gt;=80),"CUIDADO","NO")))</f>
        <v/>
      </c>
    </row>
    <row r="16" ht="15.75" customHeight="1" s="98">
      <c r="A16" s="11" t="inlineStr">
        <is>
          <t>Hevea</t>
        </is>
      </c>
      <c r="B16" s="11" t="inlineStr">
        <is>
          <t>sillon-exterior-estilo-versatil-7783-cm</t>
        </is>
      </c>
      <c r="C16" s="11" t="inlineStr">
        <is>
          <t>600-010021</t>
        </is>
      </c>
      <c r="D16" s="12" t="inlineStr">
        <is>
          <t>YINA-1 SILLON/ARMCHAIR/FAUTEUIL</t>
        </is>
      </c>
      <c r="E16" s="13" t="n">
        <v>435</v>
      </c>
      <c r="F16" s="13" t="n">
        <v>652.89</v>
      </c>
      <c r="G16" s="13" t="n">
        <v>217.89</v>
      </c>
      <c r="H16" s="14" t="n">
        <v>50.09</v>
      </c>
      <c r="I16" s="13" t="n">
        <v>790</v>
      </c>
      <c r="J16" s="13" t="n">
        <v>50</v>
      </c>
      <c r="K16" s="13">
        <f>G16-J16</f>
        <v/>
      </c>
      <c r="L16" s="13">
        <f>K16*$L$1</f>
        <v/>
      </c>
      <c r="M16" s="15">
        <f>F16/K16</f>
        <v/>
      </c>
      <c r="N16" s="10">
        <f>IF(M16&lt;3.5,"SI",IF(M16&lt;4.5,IF(K16&gt;=100,"SI",IF(K16&gt;=40,"CUIDADO","NO")),IF(AND(M16&lt;5.5,F16&gt;=500,K16&gt;=80),"CUIDADO","NO")))</f>
        <v/>
      </c>
    </row>
    <row r="17" ht="15.75" customHeight="1" s="98">
      <c r="A17" s="5" t="inlineStr">
        <is>
          <t>Hevea</t>
        </is>
      </c>
      <c r="B17" s="5" t="inlineStr">
        <is>
          <t>sofa-terraza-2-plazas-estilo-estilizado-14383-cm</t>
        </is>
      </c>
      <c r="C17" s="5" t="inlineStr">
        <is>
          <t>600-010022</t>
        </is>
      </c>
      <c r="D17" s="6" t="inlineStr">
        <is>
          <t>YINA-2 SOFA 2 PLAZAS/SOFÁ/CANAPÉ</t>
        </is>
      </c>
      <c r="E17" s="7" t="n">
        <v>636</v>
      </c>
      <c r="F17" s="7" t="n">
        <v>954.55</v>
      </c>
      <c r="G17" s="7" t="n">
        <v>318.55</v>
      </c>
      <c r="H17" s="8" t="n">
        <v>50.09</v>
      </c>
      <c r="I17" s="7" t="n">
        <v>1155</v>
      </c>
      <c r="J17" s="7" t="n">
        <v>0</v>
      </c>
      <c r="K17" s="7">
        <f>G17-J17</f>
        <v/>
      </c>
      <c r="L17" s="7">
        <f>K17*$L$1</f>
        <v/>
      </c>
      <c r="M17" s="9">
        <f>F17/K17</f>
        <v/>
      </c>
      <c r="N17" s="10">
        <f>IF(M17&lt;3.5,"SI",IF(M17&lt;4.5,IF(K17&gt;=100,"SI",IF(K17&gt;=40,"CUIDADO","NO")),IF(AND(M17&lt;5.5,F17&gt;=500,K17&gt;=80),"CUIDADO","NO")))</f>
        <v/>
      </c>
    </row>
    <row r="18" ht="15.75" customHeight="1" s="98">
      <c r="A18" s="11" t="inlineStr">
        <is>
          <t>Hevea</t>
        </is>
      </c>
      <c r="B18" s="11" t="inlineStr">
        <is>
          <t>sofa-terraza-3-plazas-estilo-contemporaneo-18583-cm</t>
        </is>
      </c>
      <c r="C18" s="11" t="inlineStr">
        <is>
          <t>600-010023</t>
        </is>
      </c>
      <c r="D18" s="12" t="inlineStr">
        <is>
          <t>YINA-3 SOFA 3 PLAZAS/SOFÁ/CANAPÉ</t>
        </is>
      </c>
      <c r="E18" s="13" t="n">
        <v>806</v>
      </c>
      <c r="F18" s="13" t="n">
        <v>1210.74</v>
      </c>
      <c r="G18" s="13" t="n">
        <v>404.74</v>
      </c>
      <c r="H18" s="14" t="n">
        <v>50.22</v>
      </c>
      <c r="I18" s="13" t="n">
        <v>1465</v>
      </c>
      <c r="J18" s="13" t="n">
        <v>0</v>
      </c>
      <c r="K18" s="13">
        <f>G18-J18</f>
        <v/>
      </c>
      <c r="L18" s="13">
        <f>K18*$L$1</f>
        <v/>
      </c>
      <c r="M18" s="15">
        <f>F18/K18</f>
        <v/>
      </c>
      <c r="N18" s="10">
        <f>IF(M18&lt;3.5,"SI",IF(M18&lt;4.5,IF(K18&gt;=100,"SI",IF(K18&gt;=40,"CUIDADO","NO")),IF(AND(M18&lt;5.5,F18&gt;=500,K18&gt;=80),"CUIDADO","NO")))</f>
        <v/>
      </c>
    </row>
    <row r="19" ht="15.75" customHeight="1" s="98">
      <c r="A19" s="5" t="inlineStr">
        <is>
          <t>Hevea</t>
        </is>
      </c>
      <c r="B19" s="5" t="inlineStr">
        <is>
          <t>mesa-de-centro-exterior-hpl-70-cm-altura-45-cm</t>
        </is>
      </c>
      <c r="C19" s="5" t="inlineStr">
        <is>
          <t>600-010024</t>
        </is>
      </c>
      <c r="D19" s="6" t="inlineStr">
        <is>
          <t>YINA-70 HPL MESA CENTRO/COFFEE TABLE/TABLE CENTRE</t>
        </is>
      </c>
      <c r="E19" s="7" t="n">
        <v>229</v>
      </c>
      <c r="F19" s="7" t="n">
        <v>342.98</v>
      </c>
      <c r="G19" s="7" t="n">
        <v>113.98</v>
      </c>
      <c r="H19" s="17" t="n">
        <v>49.77</v>
      </c>
      <c r="I19" s="7" t="n">
        <v>415</v>
      </c>
      <c r="J19" s="7" t="n">
        <v>50</v>
      </c>
      <c r="K19" s="7">
        <f>G19-J19</f>
        <v/>
      </c>
      <c r="L19" s="7">
        <f>K19*$L$1</f>
        <v/>
      </c>
      <c r="M19" s="9">
        <f>F19/K19</f>
        <v/>
      </c>
      <c r="N19" s="10">
        <f>IF(M19&lt;3.5,"SI",IF(M19&lt;4.5,IF(K19&gt;=100,"SI",IF(K19&gt;=40,"CUIDADO","NO")),IF(AND(M19&lt;5.5,F19&gt;=500,K19&gt;=80),"CUIDADO","NO")))</f>
        <v/>
      </c>
    </row>
    <row r="20" ht="15.75" customHeight="1" s="98">
      <c r="A20" s="11" t="inlineStr">
        <is>
          <t>Hevea</t>
        </is>
      </c>
      <c r="B20" s="11" t="inlineStr">
        <is>
          <t>reposapies-exterior-734640-cm</t>
        </is>
      </c>
      <c r="C20" s="11" t="inlineStr">
        <is>
          <t>600-010025</t>
        </is>
      </c>
      <c r="D20" s="12" t="inlineStr">
        <is>
          <t>YINA-5 REPOSAPIES/FOOTSTOOL/REPOSE-PIEDS</t>
        </is>
      </c>
      <c r="E20" s="13" t="n">
        <v>176</v>
      </c>
      <c r="F20" s="13" t="n">
        <v>264.46</v>
      </c>
      <c r="G20" s="13" t="n">
        <v>88.45999999999999</v>
      </c>
      <c r="H20" s="14" t="n">
        <v>50.26</v>
      </c>
      <c r="I20" s="13" t="n">
        <v>320</v>
      </c>
      <c r="J20" s="13" t="n">
        <v>50</v>
      </c>
      <c r="K20" s="13">
        <f>G20-J20</f>
        <v/>
      </c>
      <c r="L20" s="13">
        <f>K20*$L$1</f>
        <v/>
      </c>
      <c r="M20" s="15">
        <f>F20/K20</f>
        <v/>
      </c>
      <c r="N20" s="10">
        <f>IF(M20&lt;3.5,"SI",IF(M20&lt;4.5,IF(K20&gt;=100,"SI",IF(K20&gt;=40,"CUIDADO","NO")),IF(AND(M20&lt;5.5,F20&gt;=500,K20&gt;=80),"CUIDADO","NO")))</f>
        <v/>
      </c>
    </row>
    <row r="21" ht="15.75" customHeight="1" s="98">
      <c r="A21" s="5" t="inlineStr">
        <is>
          <t>Hevea</t>
        </is>
      </c>
      <c r="B21" s="5" t="inlineStr">
        <is>
          <t>set-jardin-2-plazas-moderno-sofa-2-plazas-2-sillones-mesa</t>
        </is>
      </c>
      <c r="C21" s="5" t="inlineStr">
        <is>
          <t>600-010026</t>
        </is>
      </c>
      <c r="D21" s="6" t="inlineStr">
        <is>
          <t>YINA-7 SET SOFÁ 2 PLAZAS / 2 SEATER SOFA SET / SET CANAPÉ 2 PLACES</t>
        </is>
      </c>
      <c r="E21" s="7" t="n">
        <v>1736</v>
      </c>
      <c r="F21" s="7" t="n">
        <v>2607.44</v>
      </c>
      <c r="G21" s="7" t="n">
        <v>871.4400000000001</v>
      </c>
      <c r="H21" s="8" t="n">
        <v>50.2</v>
      </c>
      <c r="I21" s="7" t="n">
        <v>3155</v>
      </c>
      <c r="J21" s="7" t="n">
        <v>0</v>
      </c>
      <c r="K21" s="7">
        <f>G21-J21</f>
        <v/>
      </c>
      <c r="L21" s="7">
        <f>K21*$L$1</f>
        <v/>
      </c>
      <c r="M21" s="9">
        <f>F21/K21</f>
        <v/>
      </c>
      <c r="N21" s="10">
        <f>IF(M21&lt;3.5,"SI",IF(M21&lt;4.5,IF(K21&gt;=100,"SI",IF(K21&gt;=40,"CUIDADO","NO")),IF(AND(M21&lt;5.5,F21&gt;=500,K21&gt;=80),"CUIDADO","NO")))</f>
        <v/>
      </c>
    </row>
    <row r="22" ht="15.75" customHeight="1" s="98">
      <c r="A22" s="11" t="inlineStr">
        <is>
          <t>Hevea</t>
        </is>
      </c>
      <c r="B22" s="11" t="inlineStr">
        <is>
          <t>set-jardin-3-plazas-contemporaneo-sofa-3-plazas-2-sillones-mesa</t>
        </is>
      </c>
      <c r="C22" s="11" t="inlineStr">
        <is>
          <t>600-010027</t>
        </is>
      </c>
      <c r="D22" s="12" t="inlineStr">
        <is>
          <t>YINA-8 SET SOFÁ 3 PLAZAS / 3 SEATER SOFA SET / SET CANAPÉ 3 PLACES</t>
        </is>
      </c>
      <c r="E22" s="13" t="n">
        <v>1906</v>
      </c>
      <c r="F22" s="13" t="n">
        <v>2863.64</v>
      </c>
      <c r="G22" s="13" t="n">
        <v>957.64</v>
      </c>
      <c r="H22" s="14" t="n">
        <v>50.24</v>
      </c>
      <c r="I22" s="13" t="n">
        <v>3465</v>
      </c>
      <c r="J22" s="13" t="n">
        <v>0</v>
      </c>
      <c r="K22" s="13">
        <f>G22-J22</f>
        <v/>
      </c>
      <c r="L22" s="13">
        <f>K22*$L$1</f>
        <v/>
      </c>
      <c r="M22" s="15">
        <f>F22/K22</f>
        <v/>
      </c>
      <c r="N22" s="10">
        <f>IF(M22&lt;3.5,"SI",IF(M22&lt;4.5,IF(K22&gt;=100,"SI",IF(K22&gt;=40,"CUIDADO","NO")),IF(AND(M22&lt;5.5,F22&gt;=500,K22&gt;=80),"CUIDADO","NO")))</f>
        <v/>
      </c>
    </row>
    <row r="23" ht="15.75" customHeight="1" s="98">
      <c r="A23" s="5" t="inlineStr">
        <is>
          <t>Hevea</t>
        </is>
      </c>
      <c r="B23" s="5" t="inlineStr">
        <is>
          <t>sillon-exterior-estilo-elegante-6590-cm</t>
        </is>
      </c>
      <c r="C23" s="5" t="inlineStr">
        <is>
          <t>557-010813</t>
        </is>
      </c>
      <c r="D23" s="6" t="inlineStr">
        <is>
          <t>CUPRA-1 SILLÓN/ARMCHAIR/FAUTEUIL</t>
        </is>
      </c>
      <c r="E23" s="7" t="n">
        <v>462</v>
      </c>
      <c r="F23" s="7" t="n">
        <v>694.21</v>
      </c>
      <c r="G23" s="7" t="n">
        <v>232.21</v>
      </c>
      <c r="H23" s="8" t="n">
        <v>50.26</v>
      </c>
      <c r="I23" s="7" t="n">
        <v>840</v>
      </c>
      <c r="J23" s="7" t="n">
        <v>50</v>
      </c>
      <c r="K23" s="7">
        <f>G23-J23</f>
        <v/>
      </c>
      <c r="L23" s="7">
        <f>K23*$L$1</f>
        <v/>
      </c>
      <c r="M23" s="9">
        <f>F23/K23</f>
        <v/>
      </c>
      <c r="N23" s="10">
        <f>IF(M23&lt;3.5,"SI",IF(M23&lt;4.5,IF(K23&gt;=100,"SI",IF(K23&gt;=40,"CUIDADO","NO")),IF(AND(M23&lt;5.5,F23&gt;=500,K23&gt;=80),"CUIDADO","NO")))</f>
        <v/>
      </c>
    </row>
    <row r="24" ht="15.75" customHeight="1" s="98">
      <c r="A24" s="11" t="inlineStr">
        <is>
          <t>Hevea</t>
        </is>
      </c>
      <c r="B24" s="11" t="inlineStr">
        <is>
          <t>sofa-terraza-2-plazas-estilo-contemporaneo-13090-cm</t>
        </is>
      </c>
      <c r="C24" s="11" t="inlineStr">
        <is>
          <t>557-010814</t>
        </is>
      </c>
      <c r="D24" s="12" t="inlineStr">
        <is>
          <t>CUPRA-2 SOFA 2 PLAZAS/SOFA/CANAPÉ</t>
        </is>
      </c>
      <c r="E24" s="13" t="n">
        <v>660</v>
      </c>
      <c r="F24" s="13" t="n">
        <v>991.74</v>
      </c>
      <c r="G24" s="13" t="n">
        <v>331.74</v>
      </c>
      <c r="H24" s="14" t="n">
        <v>50.26</v>
      </c>
      <c r="I24" s="13" t="n">
        <v>1200</v>
      </c>
      <c r="J24" s="13" t="n">
        <v>0</v>
      </c>
      <c r="K24" s="13">
        <f>G24-J24</f>
        <v/>
      </c>
      <c r="L24" s="13">
        <f>K24*$L$1</f>
        <v/>
      </c>
      <c r="M24" s="15">
        <f>F24/K24</f>
        <v/>
      </c>
      <c r="N24" s="10">
        <f>IF(M24&lt;3.5,"SI",IF(M24&lt;4.5,IF(K24&gt;=100,"SI",IF(K24&gt;=40,"CUIDADO","NO")),IF(AND(M24&lt;5.5,F24&gt;=500,K24&gt;=80),"CUIDADO","NO")))</f>
        <v/>
      </c>
    </row>
    <row r="25" ht="15.75" customHeight="1" s="98">
      <c r="A25" s="5" t="inlineStr">
        <is>
          <t>Hevea</t>
        </is>
      </c>
      <c r="B25" s="5" t="inlineStr">
        <is>
          <t>sofa-terraza-3-plazas-estilo-contemporaneo-18590-cm</t>
        </is>
      </c>
      <c r="C25" s="5" t="inlineStr">
        <is>
          <t>557-010815</t>
        </is>
      </c>
      <c r="D25" s="6" t="inlineStr">
        <is>
          <t>CUPRA-3 SOFA 3 PLAZAS/SOFA/CANAPÉ</t>
        </is>
      </c>
      <c r="E25" s="7" t="n">
        <v>836</v>
      </c>
      <c r="F25" s="7" t="n">
        <v>1256.2</v>
      </c>
      <c r="G25" s="7" t="n">
        <v>420.2</v>
      </c>
      <c r="H25" s="8" t="n">
        <v>50.26</v>
      </c>
      <c r="I25" s="7" t="n">
        <v>1520</v>
      </c>
      <c r="J25" s="7" t="n">
        <v>0</v>
      </c>
      <c r="K25" s="7">
        <f>G25-J25</f>
        <v/>
      </c>
      <c r="L25" s="7">
        <f>K25*$L$1</f>
        <v/>
      </c>
      <c r="M25" s="9">
        <f>F25/K25</f>
        <v/>
      </c>
      <c r="N25" s="10">
        <f>IF(M25&lt;3.5,"SI",IF(M25&lt;4.5,IF(K25&gt;=100,"SI",IF(K25&gt;=40,"CUIDADO","NO")),IF(AND(M25&lt;5.5,F25&gt;=500,K25&gt;=80),"CUIDADO","NO")))</f>
        <v/>
      </c>
    </row>
    <row r="26" ht="15.75" customHeight="1" s="98">
      <c r="A26" s="11" t="inlineStr">
        <is>
          <t>Hevea</t>
        </is>
      </c>
      <c r="B26" s="11" t="inlineStr">
        <is>
          <t>reposapies-exterior-605040-cm</t>
        </is>
      </c>
      <c r="C26" s="11" t="inlineStr">
        <is>
          <t>557-010785</t>
        </is>
      </c>
      <c r="D26" s="12" t="inlineStr">
        <is>
          <t>STANDARD-5 REPOSAPIES/FOOTSTOOL/REPOSE-PIEDS</t>
        </is>
      </c>
      <c r="E26" s="13" t="n">
        <v>149</v>
      </c>
      <c r="F26" s="13" t="n">
        <v>223.14</v>
      </c>
      <c r="G26" s="13" t="n">
        <v>74.14</v>
      </c>
      <c r="H26" s="16" t="n">
        <v>49.76</v>
      </c>
      <c r="I26" s="13" t="n">
        <v>270</v>
      </c>
      <c r="J26" s="13" t="n">
        <v>0</v>
      </c>
      <c r="K26" s="13">
        <f>G26-J26</f>
        <v/>
      </c>
      <c r="L26" s="13">
        <f>K26*$L$1</f>
        <v/>
      </c>
      <c r="M26" s="15">
        <f>F26/K26</f>
        <v/>
      </c>
      <c r="N26" s="10">
        <f>IF(M26&lt;3.5,"SI",IF(M26&lt;4.5,IF(K26&gt;=100,"SI",IF(K26&gt;=40,"CUIDADO","NO")),IF(AND(M26&lt;5.5,F26&gt;=500,K26&gt;=80),"CUIDADO","NO")))</f>
        <v/>
      </c>
    </row>
    <row r="27" ht="15.75" customHeight="1" s="98">
      <c r="A27" s="5" t="inlineStr">
        <is>
          <t>Hevea</t>
        </is>
      </c>
      <c r="B27" s="5" t="inlineStr">
        <is>
          <t>set-jardin-2-plazas-elegante-sofa-2-plazas-2-sillones-mesa-2</t>
        </is>
      </c>
      <c r="C27" s="5" t="inlineStr">
        <is>
          <t>557-010816</t>
        </is>
      </c>
      <c r="D27" s="6" t="inlineStr">
        <is>
          <t>CUPRA-7 SET SOFÁ 2 PLAZAS / 2 SEATER SOFA SET / SET CANAPÉ 2 PLACES</t>
        </is>
      </c>
      <c r="E27" s="7" t="n">
        <v>1738</v>
      </c>
      <c r="F27" s="7" t="n">
        <v>2611.57</v>
      </c>
      <c r="G27" s="7" t="n">
        <v>873.5700000000001</v>
      </c>
      <c r="H27" s="8" t="n">
        <v>50.26</v>
      </c>
      <c r="I27" s="7" t="n">
        <v>3160</v>
      </c>
      <c r="J27" s="7" t="n">
        <v>0</v>
      </c>
      <c r="K27" s="7">
        <f>G27-J27</f>
        <v/>
      </c>
      <c r="L27" s="7">
        <f>K27*$L$1</f>
        <v/>
      </c>
      <c r="M27" s="9">
        <f>F27/K27</f>
        <v/>
      </c>
      <c r="N27" s="10">
        <f>IF(M27&lt;3.5,"SI",IF(M27&lt;4.5,IF(K27&gt;=100,"SI",IF(K27&gt;=40,"CUIDADO","NO")),IF(AND(M27&lt;5.5,F27&gt;=500,K27&gt;=80),"CUIDADO","NO")))</f>
        <v/>
      </c>
    </row>
    <row r="28" ht="15.75" customHeight="1" s="98">
      <c r="A28" s="11" t="inlineStr">
        <is>
          <t>Hevea</t>
        </is>
      </c>
      <c r="B28" s="11" t="inlineStr">
        <is>
          <t>set-jardin-3-plazas-sofisticado-sofa-3-plazas-2-sillones-mesa-2</t>
        </is>
      </c>
      <c r="C28" s="11" t="inlineStr">
        <is>
          <t>557-010817</t>
        </is>
      </c>
      <c r="D28" s="12" t="inlineStr">
        <is>
          <t>CUPRA-8 SET SOFÁ 3 PLAZAS / 3 SEATER SOFA SET / SET CANAPÉ 3 PLACES</t>
        </is>
      </c>
      <c r="E28" s="13" t="n">
        <v>1975</v>
      </c>
      <c r="F28" s="13" t="n">
        <v>2966.94</v>
      </c>
      <c r="G28" s="13" t="n">
        <v>991.9400000000001</v>
      </c>
      <c r="H28" s="14" t="n">
        <v>50.22</v>
      </c>
      <c r="I28" s="13" t="n">
        <v>3590</v>
      </c>
      <c r="J28" s="13" t="n">
        <v>0</v>
      </c>
      <c r="K28" s="13">
        <f>G28-J28</f>
        <v/>
      </c>
      <c r="L28" s="13">
        <f>K28*$L$1</f>
        <v/>
      </c>
      <c r="M28" s="15">
        <f>F28/K28</f>
        <v/>
      </c>
      <c r="N28" s="10">
        <f>IF(M28&lt;3.5,"SI",IF(M28&lt;4.5,IF(K28&gt;=100,"SI",IF(K28&gt;=40,"CUIDADO","NO")),IF(AND(M28&lt;5.5,F28&gt;=500,K28&gt;=80),"CUIDADO","NO")))</f>
        <v/>
      </c>
    </row>
    <row r="29" ht="15.75" customHeight="1" s="98">
      <c r="A29" s="5" t="inlineStr">
        <is>
          <t>Hevea</t>
        </is>
      </c>
      <c r="B29" s="5" t="inlineStr">
        <is>
          <t>sillon-exterior-estilo-envolvente-7582-cm</t>
        </is>
      </c>
      <c r="C29" s="5" t="inlineStr">
        <is>
          <t>557-1089</t>
        </is>
      </c>
      <c r="D29" s="6" t="inlineStr">
        <is>
          <t>BELLAGIO-1 SILLÓN/ARMCHAIR/FAUTEUIL</t>
        </is>
      </c>
      <c r="E29" s="7" t="n">
        <v>361</v>
      </c>
      <c r="F29" s="7" t="n">
        <v>541.3200000000001</v>
      </c>
      <c r="G29" s="7" t="n">
        <v>180.32</v>
      </c>
      <c r="H29" s="17" t="n">
        <v>49.95</v>
      </c>
      <c r="I29" s="7" t="n">
        <v>655</v>
      </c>
      <c r="J29" s="7" t="n">
        <v>50</v>
      </c>
      <c r="K29" s="7">
        <f>G29-J29</f>
        <v/>
      </c>
      <c r="L29" s="7">
        <f>K29*$L$1</f>
        <v/>
      </c>
      <c r="M29" s="9">
        <f>F29/K29</f>
        <v/>
      </c>
      <c r="N29" s="10">
        <f>IF(M29&lt;3.5,"SI",IF(M29&lt;4.5,IF(K29&gt;=100,"SI",IF(K29&gt;=40,"CUIDADO","NO")),IF(AND(M29&lt;5.5,F29&gt;=500,K29&gt;=80),"CUIDADO","NO")))</f>
        <v/>
      </c>
    </row>
    <row r="30" ht="15.75" customHeight="1" s="98">
      <c r="A30" s="11" t="inlineStr">
        <is>
          <t>Hevea</t>
        </is>
      </c>
      <c r="B30" s="11" t="inlineStr">
        <is>
          <t>sofa-terraza-3-plazas-estilo-contemporaneo-19882-cm</t>
        </is>
      </c>
      <c r="C30" s="11" t="inlineStr">
        <is>
          <t>557-1090</t>
        </is>
      </c>
      <c r="D30" s="12" t="inlineStr">
        <is>
          <t>BELLAGIO-3 SOFA 3 PLAZAS/SOFA/CANAPÉ</t>
        </is>
      </c>
      <c r="E30" s="13" t="n">
        <v>677</v>
      </c>
      <c r="F30" s="13" t="n">
        <v>1016.53</v>
      </c>
      <c r="G30" s="13" t="n">
        <v>339.53</v>
      </c>
      <c r="H30" s="14" t="n">
        <v>50.15</v>
      </c>
      <c r="I30" s="13" t="n">
        <v>1230</v>
      </c>
      <c r="J30" s="13" t="n">
        <v>0</v>
      </c>
      <c r="K30" s="13">
        <f>G30-J30</f>
        <v/>
      </c>
      <c r="L30" s="13">
        <f>K30*$L$1</f>
        <v/>
      </c>
      <c r="M30" s="15">
        <f>F30/K30</f>
        <v/>
      </c>
      <c r="N30" s="10">
        <f>IF(M30&lt;3.5,"SI",IF(M30&lt;4.5,IF(K30&gt;=100,"SI",IF(K30&gt;=40,"CUIDADO","NO")),IF(AND(M30&lt;5.5,F30&gt;=500,K30&gt;=80),"CUIDADO","NO")))</f>
        <v/>
      </c>
    </row>
    <row r="31" ht="15.75" customHeight="1" s="98">
      <c r="A31" s="5" t="inlineStr">
        <is>
          <t>Hevea</t>
        </is>
      </c>
      <c r="B31" s="5" t="inlineStr">
        <is>
          <t>sofa-terraza-2-plazas-estilo-contemporaneo-15082-cm</t>
        </is>
      </c>
      <c r="C31" s="5" t="inlineStr">
        <is>
          <t>557-1091</t>
        </is>
      </c>
      <c r="D31" s="6" t="inlineStr">
        <is>
          <t>BELLAGIO-2 SOFA 2 PLAZAS/SOFA/CANAPÉ</t>
        </is>
      </c>
      <c r="E31" s="7" t="n">
        <v>479</v>
      </c>
      <c r="F31" s="7" t="n">
        <v>719.01</v>
      </c>
      <c r="G31" s="7" t="n">
        <v>240.01</v>
      </c>
      <c r="H31" s="8" t="n">
        <v>50.11</v>
      </c>
      <c r="I31" s="7" t="n">
        <v>870</v>
      </c>
      <c r="J31" s="7" t="n">
        <v>50</v>
      </c>
      <c r="K31" s="7">
        <f>G31-J31</f>
        <v/>
      </c>
      <c r="L31" s="7">
        <f>K31*$L$1</f>
        <v/>
      </c>
      <c r="M31" s="9">
        <f>F31/K31</f>
        <v/>
      </c>
      <c r="N31" s="10">
        <f>IF(M31&lt;3.5,"SI",IF(M31&lt;4.5,IF(K31&gt;=100,"SI",IF(K31&gt;=40,"CUIDADO","NO")),IF(AND(M31&lt;5.5,F31&gt;=500,K31&gt;=80),"CUIDADO","NO")))</f>
        <v/>
      </c>
    </row>
    <row r="32" ht="15.75" customHeight="1" s="98">
      <c r="A32" s="11" t="inlineStr">
        <is>
          <t>Hevea</t>
        </is>
      </c>
      <c r="B32" s="11" t="inlineStr">
        <is>
          <t>mesa-de-centro-exterior-125-cm-altura-38-cm</t>
        </is>
      </c>
      <c r="C32" s="11" t="inlineStr">
        <is>
          <t>557-1092</t>
        </is>
      </c>
      <c r="D32" s="12" t="inlineStr">
        <is>
          <t>BELLAGIO-4 MESA CENTRO 125</t>
        </is>
      </c>
      <c r="E32" s="13" t="n">
        <v>171</v>
      </c>
      <c r="F32" s="13" t="n">
        <v>256.2</v>
      </c>
      <c r="G32" s="13" t="n">
        <v>85.2</v>
      </c>
      <c r="H32" s="16" t="n">
        <v>49.82</v>
      </c>
      <c r="I32" s="13" t="n">
        <v>310</v>
      </c>
      <c r="J32" s="13" t="n">
        <v>50</v>
      </c>
      <c r="K32" s="13">
        <f>G32-J32</f>
        <v/>
      </c>
      <c r="L32" s="13">
        <f>K32*$L$1</f>
        <v/>
      </c>
      <c r="M32" s="15">
        <f>F32/K32</f>
        <v/>
      </c>
      <c r="N32" s="10">
        <f>IF(M32&lt;3.5,"SI",IF(M32&lt;4.5,IF(K32&gt;=100,"SI",IF(K32&gt;=40,"CUIDADO","NO")),IF(AND(M32&lt;5.5,F32&gt;=500,K32&gt;=80),"CUIDADO","NO")))</f>
        <v/>
      </c>
    </row>
    <row r="33" ht="15.75" customHeight="1" s="98">
      <c r="A33" s="5" t="inlineStr">
        <is>
          <t>Hevea</t>
        </is>
      </c>
      <c r="B33" s="5" t="inlineStr">
        <is>
          <t>set-jardin-2-plazas-elegante-sofa-2-plazas-2-sillones-mesa-3</t>
        </is>
      </c>
      <c r="C33" s="5" t="inlineStr">
        <is>
          <t>557-1094</t>
        </is>
      </c>
      <c r="D33" s="6" t="inlineStr">
        <is>
          <t>BELLAGIO-7 SET SOFÁ 2 PLAZAS / 2 SEATER SOFA SET / SET CANAPÉ 2 PLACES</t>
        </is>
      </c>
      <c r="E33" s="7" t="n">
        <v>1370</v>
      </c>
      <c r="F33" s="7" t="n">
        <v>2057.85</v>
      </c>
      <c r="G33" s="7" t="n">
        <v>687.85</v>
      </c>
      <c r="H33" s="8" t="n">
        <v>50.21</v>
      </c>
      <c r="I33" s="7" t="n">
        <v>2490</v>
      </c>
      <c r="J33" s="7" t="n">
        <v>0</v>
      </c>
      <c r="K33" s="7">
        <f>G33-J33</f>
        <v/>
      </c>
      <c r="L33" s="7">
        <f>K33*$L$1</f>
        <v/>
      </c>
      <c r="M33" s="9">
        <f>F33/K33</f>
        <v/>
      </c>
      <c r="N33" s="10">
        <f>IF(M33&lt;3.5,"SI",IF(M33&lt;4.5,IF(K33&gt;=100,"SI",IF(K33&gt;=40,"CUIDADO","NO")),IF(AND(M33&lt;5.5,F33&gt;=500,K33&gt;=80),"CUIDADO","NO")))</f>
        <v/>
      </c>
    </row>
    <row r="34" ht="15.75" customHeight="1" s="98">
      <c r="A34" s="11" t="inlineStr">
        <is>
          <t>Hevea</t>
        </is>
      </c>
      <c r="B34" s="11" t="inlineStr">
        <is>
          <t>set-jardin-3-plazas-sofisticado-sofa-3-plazas-2-sillones-mesa-3</t>
        </is>
      </c>
      <c r="C34" s="11" t="inlineStr">
        <is>
          <t>557-1095</t>
        </is>
      </c>
      <c r="D34" s="12" t="inlineStr">
        <is>
          <t>BELLAGIO-8 SET SOFÁ 3 PLAZAS / 3 SEATER SOFA SET / SET CANAPÉ 3 PLACES</t>
        </is>
      </c>
      <c r="E34" s="13" t="n">
        <v>1568</v>
      </c>
      <c r="F34" s="13" t="n">
        <v>2355.37</v>
      </c>
      <c r="G34" s="13" t="n">
        <v>787.37</v>
      </c>
      <c r="H34" s="14" t="n">
        <v>50.22</v>
      </c>
      <c r="I34" s="13" t="n">
        <v>2850</v>
      </c>
      <c r="J34" s="13" t="n">
        <v>0</v>
      </c>
      <c r="K34" s="13">
        <f>G34-J34</f>
        <v/>
      </c>
      <c r="L34" s="13">
        <f>K34*$L$1</f>
        <v/>
      </c>
      <c r="M34" s="15">
        <f>F34/K34</f>
        <v/>
      </c>
      <c r="N34" s="10">
        <f>IF(M34&lt;3.5,"SI",IF(M34&lt;4.5,IF(K34&gt;=100,"SI",IF(K34&gt;=40,"CUIDADO","NO")),IF(AND(M34&lt;5.5,F34&gt;=500,K34&gt;=80),"CUIDADO","NO")))</f>
        <v/>
      </c>
    </row>
    <row r="35" ht="15.75" customHeight="1" s="98">
      <c r="A35" s="5" t="inlineStr">
        <is>
          <t>Hevea</t>
        </is>
      </c>
      <c r="B35" s="5" t="inlineStr">
        <is>
          <t>sillon-exterior-estilo-estilizado-7069-cm</t>
        </is>
      </c>
      <c r="C35" s="5" t="inlineStr">
        <is>
          <t>600-010090</t>
        </is>
      </c>
      <c r="D35" s="6" t="inlineStr">
        <is>
          <t>CLOE-1 SILLON/ARMCHAIR/FAUTEUIL</t>
        </is>
      </c>
      <c r="E35" s="7" t="n">
        <v>443</v>
      </c>
      <c r="F35" s="7" t="n">
        <v>665.29</v>
      </c>
      <c r="G35" s="7" t="n">
        <v>222.29</v>
      </c>
      <c r="H35" s="8" t="n">
        <v>50.18</v>
      </c>
      <c r="I35" s="7" t="n">
        <v>805</v>
      </c>
      <c r="J35" s="7" t="n">
        <v>50</v>
      </c>
      <c r="K35" s="7">
        <f>G35-J35</f>
        <v/>
      </c>
      <c r="L35" s="7">
        <f>K35*$L$1</f>
        <v/>
      </c>
      <c r="M35" s="9">
        <f>F35/K35</f>
        <v/>
      </c>
      <c r="N35" s="10">
        <f>IF(M35&lt;3.5,"SI",IF(M35&lt;4.5,IF(K35&gt;=100,"SI",IF(K35&gt;=40,"CUIDADO","NO")),IF(AND(M35&lt;5.5,F35&gt;=500,K35&gt;=80),"CUIDADO","NO")))</f>
        <v/>
      </c>
    </row>
    <row r="36" ht="15.75" customHeight="1" s="98">
      <c r="A36" s="11" t="inlineStr">
        <is>
          <t>Hevea</t>
        </is>
      </c>
      <c r="B36" s="11" t="inlineStr">
        <is>
          <t>sofa-terraza-2-plazas-estilo-contemporaneo-16269-cm</t>
        </is>
      </c>
      <c r="C36" s="11" t="inlineStr">
        <is>
          <t>600-010091</t>
        </is>
      </c>
      <c r="D36" s="12" t="inlineStr">
        <is>
          <t>CLOE SOFA 2 PLAZAS/SOFA/CANAPÉ</t>
        </is>
      </c>
      <c r="E36" s="13" t="n">
        <v>630</v>
      </c>
      <c r="F36" s="13" t="n">
        <v>946.28</v>
      </c>
      <c r="G36" s="13" t="n">
        <v>316.28</v>
      </c>
      <c r="H36" s="14" t="n">
        <v>50.2</v>
      </c>
      <c r="I36" s="13" t="n">
        <v>1145</v>
      </c>
      <c r="J36" s="13" t="n">
        <v>0</v>
      </c>
      <c r="K36" s="13">
        <f>G36-J36</f>
        <v/>
      </c>
      <c r="L36" s="13">
        <f>K36*$L$1</f>
        <v/>
      </c>
      <c r="M36" s="15">
        <f>F36/K36</f>
        <v/>
      </c>
      <c r="N36" s="10">
        <f>IF(M36&lt;3.5,"SI",IF(M36&lt;4.5,IF(K36&gt;=100,"SI",IF(K36&gt;=40,"CUIDADO","NO")),IF(AND(M36&lt;5.5,F36&gt;=500,K36&gt;=80),"CUIDADO","NO")))</f>
        <v/>
      </c>
    </row>
    <row r="37" ht="15.75" customHeight="1" s="98">
      <c r="A37" s="5" t="inlineStr">
        <is>
          <t>Hevea</t>
        </is>
      </c>
      <c r="B37" s="5" t="inlineStr">
        <is>
          <t>sofa-terraza-3-plazas-estilo-elegante-22069-cm</t>
        </is>
      </c>
      <c r="C37" s="5" t="inlineStr">
        <is>
          <t>600-010092</t>
        </is>
      </c>
      <c r="D37" s="6" t="inlineStr">
        <is>
          <t>CLOE SOFA 3 PLAZAS/SOFA/CANAPÉ</t>
        </is>
      </c>
      <c r="E37" s="7" t="n">
        <v>872</v>
      </c>
      <c r="F37" s="7" t="n">
        <v>1309.92</v>
      </c>
      <c r="G37" s="7" t="n">
        <v>437.92</v>
      </c>
      <c r="H37" s="8" t="n">
        <v>50.22</v>
      </c>
      <c r="I37" s="7" t="n">
        <v>1585</v>
      </c>
      <c r="J37" s="7" t="n">
        <v>0</v>
      </c>
      <c r="K37" s="7">
        <f>G37-J37</f>
        <v/>
      </c>
      <c r="L37" s="7">
        <f>K37*$L$1</f>
        <v/>
      </c>
      <c r="M37" s="9">
        <f>F37/K37</f>
        <v/>
      </c>
      <c r="N37" s="10">
        <f>IF(M37&lt;3.5,"SI",IF(M37&lt;4.5,IF(K37&gt;=100,"SI",IF(K37&gt;=40,"CUIDADO","NO")),IF(AND(M37&lt;5.5,F37&gt;=500,K37&gt;=80),"CUIDADO","NO")))</f>
        <v/>
      </c>
    </row>
    <row r="38" ht="15.75" customHeight="1" s="98">
      <c r="A38" s="11" t="inlineStr">
        <is>
          <t>Hevea</t>
        </is>
      </c>
      <c r="B38" s="11" t="inlineStr">
        <is>
          <t>reposapies-exterior-504540-cm</t>
        </is>
      </c>
      <c r="C38" s="11" t="inlineStr">
        <is>
          <t>600-010093</t>
        </is>
      </c>
      <c r="D38" s="12" t="inlineStr">
        <is>
          <t>CLOE-5 REPOSAPIES/FOOTSTOOL/REPOSE-PIEDS</t>
        </is>
      </c>
      <c r="E38" s="13" t="n">
        <v>86</v>
      </c>
      <c r="F38" s="13" t="n">
        <v>128.1</v>
      </c>
      <c r="G38" s="13" t="n">
        <v>42.1</v>
      </c>
      <c r="H38" s="16" t="n">
        <v>48.95</v>
      </c>
      <c r="I38" s="13" t="n">
        <v>155</v>
      </c>
      <c r="J38" s="13" t="n">
        <v>0</v>
      </c>
      <c r="K38" s="13">
        <f>G38-J38</f>
        <v/>
      </c>
      <c r="L38" s="13">
        <f>K38*$L$1</f>
        <v/>
      </c>
      <c r="M38" s="15">
        <f>F38/K38</f>
        <v/>
      </c>
      <c r="N38" s="10">
        <f>IF(M38&lt;3.5,"SI",IF(M38&lt;4.5,IF(K38&gt;=100,"SI",IF(K38&gt;=40,"CUIDADO","NO")),IF(AND(M38&lt;5.5,F38&gt;=500,K38&gt;=80),"CUIDADO","NO")))</f>
        <v/>
      </c>
    </row>
    <row r="39" ht="15.75" customHeight="1" s="98">
      <c r="A39" s="5" t="inlineStr">
        <is>
          <t>Hevea</t>
        </is>
      </c>
      <c r="B39" s="5" t="inlineStr">
        <is>
          <t>sillon-exterior-estilo-elegante-6578-cm</t>
        </is>
      </c>
      <c r="C39" s="5" t="inlineStr">
        <is>
          <t>557-011090</t>
        </is>
      </c>
      <c r="D39" s="6" t="inlineStr">
        <is>
          <t>ODIN-1 SILLON/ARMCHAIR/FAUTEUIL</t>
        </is>
      </c>
      <c r="E39" s="7" t="n">
        <v>234</v>
      </c>
      <c r="F39" s="7" t="n">
        <v>351.24</v>
      </c>
      <c r="G39" s="7" t="n">
        <v>117.24</v>
      </c>
      <c r="H39" s="8" t="n">
        <v>50.1</v>
      </c>
      <c r="I39" s="7" t="n">
        <v>425</v>
      </c>
      <c r="J39" s="7" t="n">
        <v>50</v>
      </c>
      <c r="K39" s="7">
        <f>G39-J39</f>
        <v/>
      </c>
      <c r="L39" s="7">
        <f>K39*$L$1</f>
        <v/>
      </c>
      <c r="M39" s="9">
        <f>F39/K39</f>
        <v/>
      </c>
      <c r="N39" s="10">
        <f>IF(M39&lt;3.5,"SI",IF(M39&lt;4.5,IF(K39&gt;=100,"SI",IF(K39&gt;=40,"CUIDADO","NO")),IF(AND(M39&lt;5.5,F39&gt;=500,K39&gt;=80),"CUIDADO","NO")))</f>
        <v/>
      </c>
    </row>
    <row r="40" ht="15.75" customHeight="1" s="98">
      <c r="A40" s="11" t="inlineStr">
        <is>
          <t>Hevea</t>
        </is>
      </c>
      <c r="B40" s="11" t="inlineStr">
        <is>
          <t>sofa-terraza-2-plazas-estilo-contemporaneo-12078-cm</t>
        </is>
      </c>
      <c r="C40" s="11" t="inlineStr">
        <is>
          <t>557-011091</t>
        </is>
      </c>
      <c r="D40" s="12" t="inlineStr">
        <is>
          <t>ODIN-2 SOFA 2 PLAZAS/SOFA/CANAPÉ</t>
        </is>
      </c>
      <c r="E40" s="13" t="n">
        <v>396</v>
      </c>
      <c r="F40" s="13" t="n">
        <v>595.04</v>
      </c>
      <c r="G40" s="13" t="n">
        <v>199.04</v>
      </c>
      <c r="H40" s="14" t="n">
        <v>50.26</v>
      </c>
      <c r="I40" s="13" t="n">
        <v>720</v>
      </c>
      <c r="J40" s="13" t="n">
        <v>50</v>
      </c>
      <c r="K40" s="13">
        <f>G40-J40</f>
        <v/>
      </c>
      <c r="L40" s="13">
        <f>K40*$L$1</f>
        <v/>
      </c>
      <c r="M40" s="15">
        <f>F40/K40</f>
        <v/>
      </c>
      <c r="N40" s="10">
        <f>IF(M40&lt;3.5,"SI",IF(M40&lt;4.5,IF(K40&gt;=100,"SI",IF(K40&gt;=40,"CUIDADO","NO")),IF(AND(M40&lt;5.5,F40&gt;=500,K40&gt;=80),"CUIDADO","NO")))</f>
        <v/>
      </c>
    </row>
    <row r="41" ht="15.75" customHeight="1" s="98">
      <c r="A41" s="5" t="inlineStr">
        <is>
          <t>Hevea</t>
        </is>
      </c>
      <c r="B41" s="5" t="inlineStr">
        <is>
          <t>sofa-terraza-3-plazas-estilo-sofisticado-17578-cm</t>
        </is>
      </c>
      <c r="C41" s="5" t="inlineStr">
        <is>
          <t>557-011092</t>
        </is>
      </c>
      <c r="D41" s="6" t="inlineStr">
        <is>
          <t>ODIN-3 SOFA 3 PLAZAS/SOFA/CANAPÉ</t>
        </is>
      </c>
      <c r="E41" s="7" t="n">
        <v>520</v>
      </c>
      <c r="F41" s="7" t="n">
        <v>780.99</v>
      </c>
      <c r="G41" s="7" t="n">
        <v>260.99</v>
      </c>
      <c r="H41" s="8" t="n">
        <v>50.19</v>
      </c>
      <c r="I41" s="7" t="n">
        <v>945</v>
      </c>
      <c r="J41" s="7" t="n">
        <v>0</v>
      </c>
      <c r="K41" s="7">
        <f>G41-J41</f>
        <v/>
      </c>
      <c r="L41" s="7">
        <f>K41*$L$1</f>
        <v/>
      </c>
      <c r="M41" s="9">
        <f>F41/K41</f>
        <v/>
      </c>
      <c r="N41" s="10">
        <f>IF(M41&lt;3.5,"SI",IF(M41&lt;4.5,IF(K41&gt;=100,"SI",IF(K41&gt;=40,"CUIDADO","NO")),IF(AND(M41&lt;5.5,F41&gt;=500,K41&gt;=80),"CUIDADO","NO")))</f>
        <v/>
      </c>
    </row>
    <row r="42" ht="15.75" customHeight="1" s="98">
      <c r="A42" s="11" t="inlineStr">
        <is>
          <t>Hevea</t>
        </is>
      </c>
      <c r="B42" s="11" t="inlineStr">
        <is>
          <t>mesa-de-centro-exterior-90-cm-altura-41-cm</t>
        </is>
      </c>
      <c r="C42" s="11" t="inlineStr">
        <is>
          <t>557-011075</t>
        </is>
      </c>
      <c r="D42" s="12" t="inlineStr">
        <is>
          <t>SAIPROS-90 MESA CENTRO 90/COFFEE TABLE/TABLE CENTRE</t>
        </is>
      </c>
      <c r="E42" s="13" t="n">
        <v>154</v>
      </c>
      <c r="F42" s="13" t="n">
        <v>231.4</v>
      </c>
      <c r="G42" s="13" t="n">
        <v>77.40000000000001</v>
      </c>
      <c r="H42" s="14" t="n">
        <v>50.26</v>
      </c>
      <c r="I42" s="13" t="n">
        <v>280</v>
      </c>
      <c r="J42" s="13" t="n">
        <v>0</v>
      </c>
      <c r="K42" s="13">
        <f>G42-J42</f>
        <v/>
      </c>
      <c r="L42" s="13">
        <f>K42*$L$1</f>
        <v/>
      </c>
      <c r="M42" s="15">
        <f>F42/K42</f>
        <v/>
      </c>
      <c r="N42" s="10">
        <f>IF(M42&lt;3.5,"SI",IF(M42&lt;4.5,IF(K42&gt;=100,"SI",IF(K42&gt;=40,"CUIDADO","NO")),IF(AND(M42&lt;5.5,F42&gt;=500,K42&gt;=80),"CUIDADO","NO")))</f>
        <v/>
      </c>
    </row>
    <row r="43" ht="15.75" customHeight="1" s="98">
      <c r="A43" s="5" t="inlineStr">
        <is>
          <t>Hevea</t>
        </is>
      </c>
      <c r="B43" s="5" t="inlineStr">
        <is>
          <t>mesa-de-centro-exterior-120-cm-altura-41-cm</t>
        </is>
      </c>
      <c r="C43" s="5" t="inlineStr">
        <is>
          <t>557-011076</t>
        </is>
      </c>
      <c r="D43" s="6" t="inlineStr">
        <is>
          <t>SAIPROS-120 MESA CENTRO 120/COFFEE TABLE/TABLE CENTRE</t>
        </is>
      </c>
      <c r="E43" s="7" t="n">
        <v>215</v>
      </c>
      <c r="F43" s="7" t="n">
        <v>322.31</v>
      </c>
      <c r="G43" s="7" t="n">
        <v>107.31</v>
      </c>
      <c r="H43" s="17" t="n">
        <v>49.91</v>
      </c>
      <c r="I43" s="7" t="n">
        <v>390</v>
      </c>
      <c r="J43" s="7" t="n">
        <v>50</v>
      </c>
      <c r="K43" s="7">
        <f>G43-J43</f>
        <v/>
      </c>
      <c r="L43" s="7">
        <f>K43*$L$1</f>
        <v/>
      </c>
      <c r="M43" s="9">
        <f>F43/K43</f>
        <v/>
      </c>
      <c r="N43" s="10">
        <f>IF(M43&lt;3.5,"SI",IF(M43&lt;4.5,IF(K43&gt;=100,"SI",IF(K43&gt;=40,"CUIDADO","NO")),IF(AND(M43&lt;5.5,F43&gt;=500,K43&gt;=80),"CUIDADO","NO")))</f>
        <v/>
      </c>
    </row>
    <row r="44" ht="15.75" customHeight="1" s="98">
      <c r="A44" s="11" t="inlineStr">
        <is>
          <t>Hevea</t>
        </is>
      </c>
      <c r="B44" s="11" t="inlineStr">
        <is>
          <t>set-jardin-2-plazas-moderno-sofa-2-plazas-2-sillones-mesa-2</t>
        </is>
      </c>
      <c r="C44" s="11" t="inlineStr">
        <is>
          <t>557-011094</t>
        </is>
      </c>
      <c r="D44" s="12" t="inlineStr">
        <is>
          <t>ODIN-7 SET SOFÁ 2 PLAZAS / 2 SEATER SOFA SET / SET CANAPÉ 2 PLACES</t>
        </is>
      </c>
      <c r="E44" s="13" t="n">
        <v>1018</v>
      </c>
      <c r="F44" s="13" t="n">
        <v>1528.93</v>
      </c>
      <c r="G44" s="13" t="n">
        <v>510.93</v>
      </c>
      <c r="H44" s="14" t="n">
        <v>50.19</v>
      </c>
      <c r="I44" s="13" t="n">
        <v>1850</v>
      </c>
      <c r="J44" s="13" t="n">
        <v>0</v>
      </c>
      <c r="K44" s="13">
        <f>G44-J44</f>
        <v/>
      </c>
      <c r="L44" s="13">
        <f>K44*$L$1</f>
        <v/>
      </c>
      <c r="M44" s="15">
        <f>F44/K44</f>
        <v/>
      </c>
      <c r="N44" s="10">
        <f>IF(M44&lt;3.5,"SI",IF(M44&lt;4.5,IF(K44&gt;=100,"SI",IF(K44&gt;=40,"CUIDADO","NO")),IF(AND(M44&lt;5.5,F44&gt;=500,K44&gt;=80),"CUIDADO","NO")))</f>
        <v/>
      </c>
    </row>
    <row r="45" ht="15.75" customHeight="1" s="98">
      <c r="A45" s="5" t="inlineStr">
        <is>
          <t>Hevea</t>
        </is>
      </c>
      <c r="B45" s="5" t="inlineStr">
        <is>
          <t>set-jardin-3-plazas-elegante-sofa-3-plazas-2-sillones-mesa</t>
        </is>
      </c>
      <c r="C45" s="5" t="inlineStr">
        <is>
          <t>557-011095</t>
        </is>
      </c>
      <c r="D45" s="6" t="inlineStr">
        <is>
          <t>ODIN-8 SET SOFÁ 3 PLAZAS / 3 SEATER SOFA SET / SET CANAPÉ 3 PLACES</t>
        </is>
      </c>
      <c r="E45" s="7" t="n">
        <v>1202</v>
      </c>
      <c r="F45" s="7" t="n">
        <v>1805.79</v>
      </c>
      <c r="G45" s="7" t="n">
        <v>603.79</v>
      </c>
      <c r="H45" s="8" t="n">
        <v>50.23</v>
      </c>
      <c r="I45" s="7" t="n">
        <v>2185</v>
      </c>
      <c r="J45" s="7" t="n">
        <v>0</v>
      </c>
      <c r="K45" s="7">
        <f>G45-J45</f>
        <v/>
      </c>
      <c r="L45" s="7">
        <f>K45*$L$1</f>
        <v/>
      </c>
      <c r="M45" s="9">
        <f>F45/K45</f>
        <v/>
      </c>
      <c r="N45" s="10">
        <f>IF(M45&lt;3.5,"SI",IF(M45&lt;4.5,IF(K45&gt;=100,"SI",IF(K45&gt;=40,"CUIDADO","NO")),IF(AND(M45&lt;5.5,F45&gt;=500,K45&gt;=80),"CUIDADO","NO")))</f>
        <v/>
      </c>
    </row>
    <row r="46" ht="15.75" customHeight="1" s="98">
      <c r="A46" s="11" t="inlineStr">
        <is>
          <t>Hevea</t>
        </is>
      </c>
      <c r="B46" s="11" t="inlineStr">
        <is>
          <t>sillon-exterior-estilo-versatil-76100-cm</t>
        </is>
      </c>
      <c r="C46" s="11" t="inlineStr">
        <is>
          <t>557-010726</t>
        </is>
      </c>
      <c r="D46" s="12" t="inlineStr">
        <is>
          <t>ALBANIA-1 SILLON/ARMCHAIR/FAUTEUIL</t>
        </is>
      </c>
      <c r="E46" s="13" t="n">
        <v>273</v>
      </c>
      <c r="F46" s="13" t="n">
        <v>409.09</v>
      </c>
      <c r="G46" s="13" t="n">
        <v>136.09</v>
      </c>
      <c r="H46" s="16" t="n">
        <v>49.85</v>
      </c>
      <c r="I46" s="13" t="n">
        <v>495</v>
      </c>
      <c r="J46" s="13" t="n">
        <v>50</v>
      </c>
      <c r="K46" s="13">
        <f>G46-J46</f>
        <v/>
      </c>
      <c r="L46" s="13">
        <f>K46*$L$1</f>
        <v/>
      </c>
      <c r="M46" s="15">
        <f>F46/K46</f>
        <v/>
      </c>
      <c r="N46" s="10">
        <f>IF(M46&lt;3.5,"SI",IF(M46&lt;4.5,IF(K46&gt;=100,"SI",IF(K46&gt;=40,"CUIDADO","NO")),IF(AND(M46&lt;5.5,F46&gt;=500,K46&gt;=80),"CUIDADO","NO")))</f>
        <v/>
      </c>
    </row>
    <row r="47" ht="15.75" customHeight="1" s="98">
      <c r="A47" s="5" t="inlineStr">
        <is>
          <t>Hevea</t>
        </is>
      </c>
      <c r="B47" s="5" t="inlineStr">
        <is>
          <t>sofa-terraza-2-plazas-estilo-contemporaneo-145100-cm</t>
        </is>
      </c>
      <c r="C47" s="5" t="inlineStr">
        <is>
          <t>557-010727</t>
        </is>
      </c>
      <c r="D47" s="6" t="inlineStr">
        <is>
          <t>ALBANIA-2 SOFA 2 PLAZAS/SOFA/CANAPÉ</t>
        </is>
      </c>
      <c r="E47" s="7" t="n">
        <v>432</v>
      </c>
      <c r="F47" s="7" t="n">
        <v>648.76</v>
      </c>
      <c r="G47" s="7" t="n">
        <v>216.76</v>
      </c>
      <c r="H47" s="8" t="n">
        <v>50.18</v>
      </c>
      <c r="I47" s="7" t="n">
        <v>785</v>
      </c>
      <c r="J47" s="7" t="n">
        <v>50</v>
      </c>
      <c r="K47" s="7">
        <f>G47-J47</f>
        <v/>
      </c>
      <c r="L47" s="7">
        <f>K47*$L$1</f>
        <v/>
      </c>
      <c r="M47" s="9">
        <f>F47/K47</f>
        <v/>
      </c>
      <c r="N47" s="10">
        <f>IF(M47&lt;3.5,"SI",IF(M47&lt;4.5,IF(K47&gt;=100,"SI",IF(K47&gt;=40,"CUIDADO","NO")),IF(AND(M47&lt;5.5,F47&gt;=500,K47&gt;=80),"CUIDADO","NO")))</f>
        <v/>
      </c>
    </row>
    <row r="48" ht="15.75" customHeight="1" s="98">
      <c r="A48" s="11" t="inlineStr">
        <is>
          <t>Hevea</t>
        </is>
      </c>
      <c r="B48" s="11" t="inlineStr">
        <is>
          <t>sofa-terraza-3-plazas-estilo-sofisticado-212100-cm</t>
        </is>
      </c>
      <c r="C48" s="11" t="inlineStr">
        <is>
          <t>557-010728</t>
        </is>
      </c>
      <c r="D48" s="12" t="inlineStr">
        <is>
          <t>ALBANIA-3 SOFA 3 PLAZAS/SOFA/CANAPÉ</t>
        </is>
      </c>
      <c r="E48" s="13" t="n">
        <v>548</v>
      </c>
      <c r="F48" s="13" t="n">
        <v>822.3099999999999</v>
      </c>
      <c r="G48" s="13" t="n">
        <v>274.31</v>
      </c>
      <c r="H48" s="14" t="n">
        <v>50.06</v>
      </c>
      <c r="I48" s="13" t="n">
        <v>995</v>
      </c>
      <c r="J48" s="13" t="n">
        <v>0</v>
      </c>
      <c r="K48" s="13">
        <f>G48-J48</f>
        <v/>
      </c>
      <c r="L48" s="13">
        <f>K48*$L$1</f>
        <v/>
      </c>
      <c r="M48" s="15">
        <f>F48/K48</f>
        <v/>
      </c>
      <c r="N48" s="10">
        <f>IF(M48&lt;3.5,"SI",IF(M48&lt;4.5,IF(K48&gt;=100,"SI",IF(K48&gt;=40,"CUIDADO","NO")),IF(AND(M48&lt;5.5,F48&gt;=500,K48&gt;=80),"CUIDADO","NO")))</f>
        <v/>
      </c>
    </row>
    <row r="49" ht="15.75" customHeight="1" s="98">
      <c r="A49" s="5" t="inlineStr">
        <is>
          <t>Hevea</t>
        </is>
      </c>
      <c r="B49" s="5" t="inlineStr">
        <is>
          <t>set-jardin-2-plazas-elegante-sofa-2-plazas-2-sillones-mesa-4</t>
        </is>
      </c>
      <c r="C49" s="5" t="inlineStr">
        <is>
          <t>557-010729</t>
        </is>
      </c>
      <c r="D49" s="6" t="inlineStr">
        <is>
          <t>ALBANIA-7 SET SOFÁ 2 PLAZAS / 2 SEATER SOFA SET / SET CANAPÉ 2 PLACES</t>
        </is>
      </c>
      <c r="E49" s="7" t="n">
        <v>1279</v>
      </c>
      <c r="F49" s="7" t="n">
        <v>1921.49</v>
      </c>
      <c r="G49" s="7" t="n">
        <v>642.49</v>
      </c>
      <c r="H49" s="8" t="n">
        <v>50.23</v>
      </c>
      <c r="I49" s="7" t="n">
        <v>2325</v>
      </c>
      <c r="J49" s="7" t="n">
        <v>0</v>
      </c>
      <c r="K49" s="7">
        <f>G49-J49</f>
        <v/>
      </c>
      <c r="L49" s="7">
        <f>K49*$L$1</f>
        <v/>
      </c>
      <c r="M49" s="9">
        <f>F49/K49</f>
        <v/>
      </c>
      <c r="N49" s="10">
        <f>IF(M49&lt;3.5,"SI",IF(M49&lt;4.5,IF(K49&gt;=100,"SI",IF(K49&gt;=40,"CUIDADO","NO")),IF(AND(M49&lt;5.5,F49&gt;=500,K49&gt;=80),"CUIDADO","NO")))</f>
        <v/>
      </c>
    </row>
    <row r="50" ht="15.75" customHeight="1" s="98">
      <c r="A50" s="11" t="inlineStr">
        <is>
          <t>Hevea</t>
        </is>
      </c>
      <c r="B50" s="11" t="inlineStr">
        <is>
          <t>set-jardin-3-plazas-sofisticado-sofa-3-plazas-2-sillones-mesa-4</t>
        </is>
      </c>
      <c r="C50" s="11" t="inlineStr">
        <is>
          <t>557-010730</t>
        </is>
      </c>
      <c r="D50" s="12" t="inlineStr">
        <is>
          <t>ALBANIA-8 SET SOFÁ 3 PLAZAS / 3 SEATER SOFA SET / SET CANAPÉ 3 PLACES</t>
        </is>
      </c>
      <c r="E50" s="13" t="n">
        <v>1428</v>
      </c>
      <c r="F50" s="13" t="n">
        <v>2144.63</v>
      </c>
      <c r="G50" s="13" t="n">
        <v>716.63</v>
      </c>
      <c r="H50" s="14" t="n">
        <v>50.18</v>
      </c>
      <c r="I50" s="13" t="n">
        <v>2595</v>
      </c>
      <c r="J50" s="13" t="n">
        <v>0</v>
      </c>
      <c r="K50" s="13">
        <f>G50-J50</f>
        <v/>
      </c>
      <c r="L50" s="13">
        <f>K50*$L$1</f>
        <v/>
      </c>
      <c r="M50" s="15">
        <f>F50/K50</f>
        <v/>
      </c>
      <c r="N50" s="10">
        <f>IF(M50&lt;3.5,"SI",IF(M50&lt;4.5,IF(K50&gt;=100,"SI",IF(K50&gt;=40,"CUIDADO","NO")),IF(AND(M50&lt;5.5,F50&gt;=500,K50&gt;=80),"CUIDADO","NO")))</f>
        <v/>
      </c>
    </row>
    <row r="51" ht="15.75" customHeight="1" s="98">
      <c r="A51" s="5" t="inlineStr">
        <is>
          <t>Hevea</t>
        </is>
      </c>
      <c r="B51" s="5" t="inlineStr">
        <is>
          <t>reposapies-exterior-855043-cm</t>
        </is>
      </c>
      <c r="C51" s="5" t="inlineStr">
        <is>
          <t>557-0185</t>
        </is>
      </c>
      <c r="D51" s="6" t="inlineStr">
        <is>
          <t>STANDARD 55-XL STANDARD XL REPOSAPIES</t>
        </is>
      </c>
      <c r="E51" s="7" t="n">
        <v>163</v>
      </c>
      <c r="F51" s="7" t="n">
        <v>243.8</v>
      </c>
      <c r="G51" s="7" t="n">
        <v>80.8</v>
      </c>
      <c r="H51" s="17" t="n">
        <v>49.57</v>
      </c>
      <c r="I51" s="7" t="n">
        <v>295</v>
      </c>
      <c r="J51" s="7" t="n">
        <v>0</v>
      </c>
      <c r="K51" s="7">
        <f>G51-J51</f>
        <v/>
      </c>
      <c r="L51" s="7">
        <f>K51*$L$1</f>
        <v/>
      </c>
      <c r="M51" s="9">
        <f>F51/K51</f>
        <v/>
      </c>
      <c r="N51" s="10">
        <f>IF(M51&lt;3.5,"SI",IF(M51&lt;4.5,IF(K51&gt;=100,"SI",IF(K51&gt;=40,"CUIDADO","NO")),IF(AND(M51&lt;5.5,F51&gt;=500,K51&gt;=80),"CUIDADO","NO")))</f>
        <v/>
      </c>
    </row>
    <row r="52" ht="15.75" customHeight="1" s="98">
      <c r="A52" s="11" t="inlineStr">
        <is>
          <t>Hevea</t>
        </is>
      </c>
      <c r="B52" s="11" t="inlineStr">
        <is>
          <t>sillon-exterior-estilo-elegante-80104-cm</t>
        </is>
      </c>
      <c r="C52" s="11" t="inlineStr">
        <is>
          <t>557-010478</t>
        </is>
      </c>
      <c r="D52" s="12" t="inlineStr">
        <is>
          <t>BOLONIA XL-1 SILLÓN/ARMCHAIR/CANAPÉ</t>
        </is>
      </c>
      <c r="E52" s="13" t="n">
        <v>462</v>
      </c>
      <c r="F52" s="13" t="n">
        <v>694.21</v>
      </c>
      <c r="G52" s="13" t="n">
        <v>232.21</v>
      </c>
      <c r="H52" s="14" t="n">
        <v>50.26</v>
      </c>
      <c r="I52" s="13" t="n">
        <v>840</v>
      </c>
      <c r="J52" s="13" t="n">
        <v>50</v>
      </c>
      <c r="K52" s="13">
        <f>G52-J52</f>
        <v/>
      </c>
      <c r="L52" s="13">
        <f>K52*$L$1</f>
        <v/>
      </c>
      <c r="M52" s="15">
        <f>F52/K52</f>
        <v/>
      </c>
      <c r="N52" s="10">
        <f>IF(M52&lt;3.5,"SI",IF(M52&lt;4.5,IF(K52&gt;=100,"SI",IF(K52&gt;=40,"CUIDADO","NO")),IF(AND(M52&lt;5.5,F52&gt;=500,K52&gt;=80),"CUIDADO","NO")))</f>
        <v/>
      </c>
    </row>
    <row r="53" ht="15.75" customHeight="1" s="98">
      <c r="A53" s="5" t="inlineStr">
        <is>
          <t>Hevea</t>
        </is>
      </c>
      <c r="B53" s="5" t="inlineStr">
        <is>
          <t>sofa-terraza-2-plazas-estilo-contemporaneo-164104-cm</t>
        </is>
      </c>
      <c r="C53" s="5" t="inlineStr">
        <is>
          <t>557-010479</t>
        </is>
      </c>
      <c r="D53" s="6" t="inlineStr">
        <is>
          <t>BOLONIA XL-2 SOFA 2 PLAZAS/SOFA/CANAPÉ</t>
        </is>
      </c>
      <c r="E53" s="7" t="n">
        <v>718</v>
      </c>
      <c r="F53" s="7" t="n">
        <v>1078.51</v>
      </c>
      <c r="G53" s="7" t="n">
        <v>360.51</v>
      </c>
      <c r="H53" s="8" t="n">
        <v>50.21</v>
      </c>
      <c r="I53" s="7" t="n">
        <v>1305</v>
      </c>
      <c r="J53" s="7" t="n">
        <v>0</v>
      </c>
      <c r="K53" s="7">
        <f>G53-J53</f>
        <v/>
      </c>
      <c r="L53" s="7">
        <f>K53*$L$1</f>
        <v/>
      </c>
      <c r="M53" s="9">
        <f>F53/K53</f>
        <v/>
      </c>
      <c r="N53" s="10">
        <f>IF(M53&lt;3.5,"SI",IF(M53&lt;4.5,IF(K53&gt;=100,"SI",IF(K53&gt;=40,"CUIDADO","NO")),IF(AND(M53&lt;5.5,F53&gt;=500,K53&gt;=80),"CUIDADO","NO")))</f>
        <v/>
      </c>
    </row>
    <row r="54" ht="15.75" customHeight="1" s="98">
      <c r="A54" s="11" t="inlineStr">
        <is>
          <t>Hevea</t>
        </is>
      </c>
      <c r="B54" s="11" t="inlineStr">
        <is>
          <t>sofa-terraza-3-plazas-estilo-contemporaneo-215104-cm</t>
        </is>
      </c>
      <c r="C54" s="11" t="inlineStr">
        <is>
          <t>557-010480</t>
        </is>
      </c>
      <c r="D54" s="12" t="inlineStr">
        <is>
          <t>BOLONIA XL-3 SOFA 3 PLAZAS/SOFA/CANAPÉ</t>
        </is>
      </c>
      <c r="E54" s="13" t="n">
        <v>957</v>
      </c>
      <c r="F54" s="13" t="n">
        <v>1438.02</v>
      </c>
      <c r="G54" s="13" t="n">
        <v>481.02</v>
      </c>
      <c r="H54" s="14" t="n">
        <v>50.26</v>
      </c>
      <c r="I54" s="13" t="n">
        <v>1740</v>
      </c>
      <c r="J54" s="13" t="n">
        <v>0</v>
      </c>
      <c r="K54" s="13">
        <f>G54-J54</f>
        <v/>
      </c>
      <c r="L54" s="13">
        <f>K54*$L$1</f>
        <v/>
      </c>
      <c r="M54" s="15">
        <f>F54/K54</f>
        <v/>
      </c>
      <c r="N54" s="10">
        <f>IF(M54&lt;3.5,"SI",IF(M54&lt;4.5,IF(K54&gt;=100,"SI",IF(K54&gt;=40,"CUIDADO","NO")),IF(AND(M54&lt;5.5,F54&gt;=500,K54&gt;=80),"CUIDADO","NO")))</f>
        <v/>
      </c>
    </row>
    <row r="55" ht="15.75" customHeight="1" s="98">
      <c r="A55" s="5" t="inlineStr">
        <is>
          <t>Hevea</t>
        </is>
      </c>
      <c r="B55" s="5" t="inlineStr">
        <is>
          <t>mesa-de-centro-exterior-125-cm-altura-42-cm</t>
        </is>
      </c>
      <c r="C55" s="5" t="inlineStr">
        <is>
          <t>557-0008</t>
        </is>
      </c>
      <c r="D55" s="6" t="inlineStr">
        <is>
          <t>BOLONIA-4 MESA CENTRO-125X65X42</t>
        </is>
      </c>
      <c r="E55" s="7" t="n">
        <v>259</v>
      </c>
      <c r="F55" s="7" t="n">
        <v>388.43</v>
      </c>
      <c r="G55" s="7" t="n">
        <v>129.43</v>
      </c>
      <c r="H55" s="17" t="n">
        <v>49.97</v>
      </c>
      <c r="I55" s="7" t="n">
        <v>470</v>
      </c>
      <c r="J55" s="7" t="n">
        <v>50</v>
      </c>
      <c r="K55" s="7">
        <f>G55-J55</f>
        <v/>
      </c>
      <c r="L55" s="7">
        <f>K55*$L$1</f>
        <v/>
      </c>
      <c r="M55" s="9">
        <f>F55/K55</f>
        <v/>
      </c>
      <c r="N55" s="10">
        <f>IF(M55&lt;3.5,"SI",IF(M55&lt;4.5,IF(K55&gt;=100,"SI",IF(K55&gt;=40,"CUIDADO","NO")),IF(AND(M55&lt;5.5,F55&gt;=500,K55&gt;=80),"CUIDADO","NO")))</f>
        <v/>
      </c>
    </row>
    <row r="56" ht="15.75" customHeight="1" s="98">
      <c r="A56" s="11" t="inlineStr">
        <is>
          <t>Hevea</t>
        </is>
      </c>
      <c r="B56" s="11" t="inlineStr">
        <is>
          <t>reposapies-exterior-855043-cm-2</t>
        </is>
      </c>
      <c r="C56" s="11" t="inlineStr">
        <is>
          <t>557-010482</t>
        </is>
      </c>
      <c r="D56" s="12" t="inlineStr">
        <is>
          <t>STANDARD-XL REPOSAPIES/FOOTSTOOL/REPOSE-PIEDS</t>
        </is>
      </c>
      <c r="E56" s="13" t="n">
        <v>187</v>
      </c>
      <c r="F56" s="13" t="n">
        <v>280.99</v>
      </c>
      <c r="G56" s="13" t="n">
        <v>93.98999999999999</v>
      </c>
      <c r="H56" s="14" t="n">
        <v>50.26</v>
      </c>
      <c r="I56" s="13" t="n">
        <v>340</v>
      </c>
      <c r="J56" s="13" t="n">
        <v>50</v>
      </c>
      <c r="K56" s="13">
        <f>G56-J56</f>
        <v/>
      </c>
      <c r="L56" s="13">
        <f>K56*$L$1</f>
        <v/>
      </c>
      <c r="M56" s="15">
        <f>F56/K56</f>
        <v/>
      </c>
      <c r="N56" s="10">
        <f>IF(M56&lt;3.5,"SI",IF(M56&lt;4.5,IF(K56&gt;=100,"SI",IF(K56&gt;=40,"CUIDADO","NO")),IF(AND(M56&lt;5.5,F56&gt;=500,K56&gt;=80),"CUIDADO","NO")))</f>
        <v/>
      </c>
    </row>
    <row r="57" ht="15.75" customHeight="1" s="98">
      <c r="A57" s="5" t="inlineStr">
        <is>
          <t>Hevea</t>
        </is>
      </c>
      <c r="B57" s="5" t="inlineStr">
        <is>
          <t>set-jardin-2-plazas-elegante-sofa-2-plazas-2-sillones-mesa-5</t>
        </is>
      </c>
      <c r="C57" s="5" t="inlineStr">
        <is>
          <t>557-0793</t>
        </is>
      </c>
      <c r="D57" s="6" t="inlineStr">
        <is>
          <t>BOLONIA XL-7 SET SOFA 2 PLAZAS/SOFA/CANAPÉ</t>
        </is>
      </c>
      <c r="E57" s="7" t="n">
        <v>1898</v>
      </c>
      <c r="F57" s="7" t="n">
        <v>2851.24</v>
      </c>
      <c r="G57" s="7" t="n">
        <v>953.24</v>
      </c>
      <c r="H57" s="8" t="n">
        <v>50.22</v>
      </c>
      <c r="I57" s="7" t="n">
        <v>3450</v>
      </c>
      <c r="J57" s="7" t="n">
        <v>0</v>
      </c>
      <c r="K57" s="7">
        <f>G57-J57</f>
        <v/>
      </c>
      <c r="L57" s="7">
        <f>K57*$L$1</f>
        <v/>
      </c>
      <c r="M57" s="9">
        <f>F57/K57</f>
        <v/>
      </c>
      <c r="N57" s="10">
        <f>IF(M57&lt;3.5,"SI",IF(M57&lt;4.5,IF(K57&gt;=100,"SI",IF(K57&gt;=40,"CUIDADO","NO")),IF(AND(M57&lt;5.5,F57&gt;=500,K57&gt;=80),"CUIDADO","NO")))</f>
        <v/>
      </c>
    </row>
    <row r="58" ht="15.75" customHeight="1" s="98">
      <c r="A58" s="11" t="inlineStr">
        <is>
          <t>Hevea</t>
        </is>
      </c>
      <c r="B58" s="11" t="inlineStr">
        <is>
          <t>set-jardin-3-plazas-contemporaneo-sofa-3-plazas-2-sillones-mesa-2</t>
        </is>
      </c>
      <c r="C58" s="11" t="inlineStr">
        <is>
          <t>557-010483</t>
        </is>
      </c>
      <c r="D58" s="12" t="inlineStr">
        <is>
          <t>BOLONIA XL-8 SET SOFA 3 PLAZAS/SOFA/CANAPÉ</t>
        </is>
      </c>
      <c r="E58" s="13" t="n">
        <v>2140</v>
      </c>
      <c r="F58" s="13" t="n">
        <v>3214.88</v>
      </c>
      <c r="G58" s="13" t="n">
        <v>1074.88</v>
      </c>
      <c r="H58" s="14" t="n">
        <v>50.23</v>
      </c>
      <c r="I58" s="13" t="n">
        <v>3890</v>
      </c>
      <c r="J58" s="13" t="n">
        <v>0</v>
      </c>
      <c r="K58" s="13">
        <f>G58-J58</f>
        <v/>
      </c>
      <c r="L58" s="13">
        <f>K58*$L$1</f>
        <v/>
      </c>
      <c r="M58" s="15">
        <f>F58/K58</f>
        <v/>
      </c>
      <c r="N58" s="10">
        <f>IF(M58&lt;3.5,"SI",IF(M58&lt;4.5,IF(K58&gt;=100,"SI",IF(K58&gt;=40,"CUIDADO","NO")),IF(AND(M58&lt;5.5,F58&gt;=500,K58&gt;=80),"CUIDADO","NO")))</f>
        <v/>
      </c>
    </row>
    <row r="59" ht="15.75" customHeight="1" s="98">
      <c r="A59" s="5" t="inlineStr">
        <is>
          <t>Hevea</t>
        </is>
      </c>
      <c r="B59" s="5" t="inlineStr">
        <is>
          <t>sillon-exterior-bicolor-estilo-bicolor-7376-cm</t>
        </is>
      </c>
      <c r="C59" s="5" t="inlineStr">
        <is>
          <t>558-0051</t>
        </is>
      </c>
      <c r="D59" s="6" t="inlineStr">
        <is>
          <t>DIVA-1 BICOLOR SILLON/ARMCHAIR/FAUTEUIL</t>
        </is>
      </c>
      <c r="E59" s="7" t="n">
        <v>429</v>
      </c>
      <c r="F59" s="7" t="n">
        <v>644.63</v>
      </c>
      <c r="G59" s="7" t="n">
        <v>215.63</v>
      </c>
      <c r="H59" s="8" t="n">
        <v>50.26</v>
      </c>
      <c r="I59" s="7" t="n">
        <v>780</v>
      </c>
      <c r="J59" s="7" t="n">
        <v>50</v>
      </c>
      <c r="K59" s="7">
        <f>G59-J59</f>
        <v/>
      </c>
      <c r="L59" s="7">
        <f>K59*$L$1</f>
        <v/>
      </c>
      <c r="M59" s="9">
        <f>F59/K59</f>
        <v/>
      </c>
      <c r="N59" s="10">
        <f>IF(M59&lt;3.5,"SI",IF(M59&lt;4.5,IF(K59&gt;=100,"SI",IF(K59&gt;=40,"CUIDADO","NO")),IF(AND(M59&lt;5.5,F59&gt;=500,K59&gt;=80),"CUIDADO","NO")))</f>
        <v/>
      </c>
    </row>
    <row r="60" ht="15.75" customHeight="1" s="98">
      <c r="A60" s="11" t="inlineStr">
        <is>
          <t>Hevea</t>
        </is>
      </c>
      <c r="B60" s="11" t="inlineStr">
        <is>
          <t>sofa-terraza-bicolor-2-plazas-estilo-bicolor-14076-cm</t>
        </is>
      </c>
      <c r="C60" s="11" t="inlineStr">
        <is>
          <t>558-0070</t>
        </is>
      </c>
      <c r="D60" s="12" t="inlineStr">
        <is>
          <t>DIVA-2 BICOLOR SOFA 2 PLAZAS/SOFA/CANAPÉ</t>
        </is>
      </c>
      <c r="E60" s="13" t="n">
        <v>619</v>
      </c>
      <c r="F60" s="13" t="n">
        <v>929.75</v>
      </c>
      <c r="G60" s="13" t="n">
        <v>310.75</v>
      </c>
      <c r="H60" s="14" t="n">
        <v>50.2</v>
      </c>
      <c r="I60" s="13" t="n">
        <v>1125</v>
      </c>
      <c r="J60" s="13" t="n">
        <v>0</v>
      </c>
      <c r="K60" s="13">
        <f>G60-J60</f>
        <v/>
      </c>
      <c r="L60" s="13">
        <f>K60*$L$1</f>
        <v/>
      </c>
      <c r="M60" s="15">
        <f>F60/K60</f>
        <v/>
      </c>
      <c r="N60" s="10">
        <f>IF(M60&lt;3.5,"SI",IF(M60&lt;4.5,IF(K60&gt;=100,"SI",IF(K60&gt;=40,"CUIDADO","NO")),IF(AND(M60&lt;5.5,F60&gt;=500,K60&gt;=80),"CUIDADO","NO")))</f>
        <v/>
      </c>
    </row>
    <row r="61" ht="15.75" customHeight="1" s="98">
      <c r="A61" s="5" t="inlineStr">
        <is>
          <t>Hevea</t>
        </is>
      </c>
      <c r="B61" s="5" t="inlineStr">
        <is>
          <t>sofa-terraza-bicolor-3-plazas-estilo-bicolor-20076-cm</t>
        </is>
      </c>
      <c r="C61" s="5" t="inlineStr">
        <is>
          <t>558-0052</t>
        </is>
      </c>
      <c r="D61" s="6" t="inlineStr">
        <is>
          <t>DIVA-3 BICOLOR SOFA 3 PLAZAS/SOFA/CANAPÉ</t>
        </is>
      </c>
      <c r="E61" s="7" t="n">
        <v>765</v>
      </c>
      <c r="F61" s="7" t="n">
        <v>1148.76</v>
      </c>
      <c r="G61" s="7" t="n">
        <v>383.76</v>
      </c>
      <c r="H61" s="8" t="n">
        <v>50.16</v>
      </c>
      <c r="I61" s="7" t="n">
        <v>1390</v>
      </c>
      <c r="J61" s="7" t="n">
        <v>0</v>
      </c>
      <c r="K61" s="7">
        <f>G61-J61</f>
        <v/>
      </c>
      <c r="L61" s="7">
        <f>K61*$L$1</f>
        <v/>
      </c>
      <c r="M61" s="9">
        <f>F61/K61</f>
        <v/>
      </c>
      <c r="N61" s="10">
        <f>IF(M61&lt;3.5,"SI",IF(M61&lt;4.5,IF(K61&gt;=100,"SI",IF(K61&gt;=40,"CUIDADO","NO")),IF(AND(M61&lt;5.5,F61&gt;=500,K61&gt;=80),"CUIDADO","NO")))</f>
        <v/>
      </c>
    </row>
    <row r="62" ht="15.75" customHeight="1" s="98">
      <c r="A62" s="11" t="inlineStr">
        <is>
          <t>Hevea</t>
        </is>
      </c>
      <c r="B62" s="11" t="inlineStr">
        <is>
          <t>mesa-de-centro-exterior-hpl-120-cm-altura-40-cm</t>
        </is>
      </c>
      <c r="C62" s="11" t="inlineStr">
        <is>
          <t>558-0033</t>
        </is>
      </c>
      <c r="D62" s="12" t="inlineStr">
        <is>
          <t>BICOLOR MESA CENTRO 120/COFFEE TABLE/TABLE CENTRE HPL</t>
        </is>
      </c>
      <c r="E62" s="13" t="n">
        <v>325</v>
      </c>
      <c r="F62" s="13" t="n">
        <v>487.6</v>
      </c>
      <c r="G62" s="13" t="n">
        <v>162.6</v>
      </c>
      <c r="H62" s="14" t="n">
        <v>50.03</v>
      </c>
      <c r="I62" s="13" t="n">
        <v>590</v>
      </c>
      <c r="J62" s="13" t="n">
        <v>50</v>
      </c>
      <c r="K62" s="13">
        <f>G62-J62</f>
        <v/>
      </c>
      <c r="L62" s="13">
        <f>K62*$L$1</f>
        <v/>
      </c>
      <c r="M62" s="15">
        <f>F62/K62</f>
        <v/>
      </c>
      <c r="N62" s="10">
        <f>IF(M62&lt;3.5,"SI",IF(M62&lt;4.5,IF(K62&gt;=100,"SI",IF(K62&gt;=40,"CUIDADO","NO")),IF(AND(M62&lt;5.5,F62&gt;=500,K62&gt;=80),"CUIDADO","NO")))</f>
        <v/>
      </c>
    </row>
    <row r="63" ht="15.75" customHeight="1" s="98">
      <c r="A63" s="5" t="inlineStr">
        <is>
          <t>Hevea</t>
        </is>
      </c>
      <c r="B63" s="5" t="inlineStr">
        <is>
          <t>mesa-de-centro-exterior-hpl-135-cm-altura-40-cm</t>
        </is>
      </c>
      <c r="C63" s="5" t="inlineStr">
        <is>
          <t>558-0039</t>
        </is>
      </c>
      <c r="D63" s="6" t="inlineStr">
        <is>
          <t>BICOLOR MESA CENTRO 135/COFFEE TABLE/TABLE CENTRE HPL</t>
        </is>
      </c>
      <c r="E63" s="7" t="n">
        <v>380</v>
      </c>
      <c r="F63" s="7" t="n">
        <v>570.25</v>
      </c>
      <c r="G63" s="7" t="n">
        <v>190.25</v>
      </c>
      <c r="H63" s="8" t="n">
        <v>50.07</v>
      </c>
      <c r="I63" s="7" t="n">
        <v>690</v>
      </c>
      <c r="J63" s="7" t="n">
        <v>50</v>
      </c>
      <c r="K63" s="7">
        <f>G63-J63</f>
        <v/>
      </c>
      <c r="L63" s="7">
        <f>K63*$L$1</f>
        <v/>
      </c>
      <c r="M63" s="9">
        <f>F63/K63</f>
        <v/>
      </c>
      <c r="N63" s="10">
        <f>IF(M63&lt;3.5,"SI",IF(M63&lt;4.5,IF(K63&gt;=100,"SI",IF(K63&gt;=40,"CUIDADO","NO")),IF(AND(M63&lt;5.5,F63&gt;=500,K63&gt;=80),"CUIDADO","NO")))</f>
        <v/>
      </c>
    </row>
    <row r="64" ht="15.75" customHeight="1" s="98">
      <c r="A64" s="11" t="inlineStr">
        <is>
          <t>Hevea</t>
        </is>
      </c>
      <c r="B64" s="11" t="inlineStr">
        <is>
          <t>reposapies-exterior-bicolor-704544-cm</t>
        </is>
      </c>
      <c r="C64" s="11" t="inlineStr">
        <is>
          <t>558-0049</t>
        </is>
      </c>
      <c r="D64" s="12" t="inlineStr">
        <is>
          <t>BICOLOR STANDARD-55 REPOSAPIES/FOOTSTOOL/REPOSE-PIEDS</t>
        </is>
      </c>
      <c r="E64" s="13" t="n">
        <v>231</v>
      </c>
      <c r="F64" s="13" t="n">
        <v>347.11</v>
      </c>
      <c r="G64" s="13" t="n">
        <v>116.11</v>
      </c>
      <c r="H64" s="14" t="n">
        <v>50.26</v>
      </c>
      <c r="I64" s="13" t="n">
        <v>420</v>
      </c>
      <c r="J64" s="13" t="n">
        <v>50</v>
      </c>
      <c r="K64" s="13">
        <f>G64-J64</f>
        <v/>
      </c>
      <c r="L64" s="13">
        <f>K64*$L$1</f>
        <v/>
      </c>
      <c r="M64" s="15">
        <f>F64/K64</f>
        <v/>
      </c>
      <c r="N64" s="10">
        <f>IF(M64&lt;3.5,"SI",IF(M64&lt;4.5,IF(K64&gt;=100,"SI",IF(K64&gt;=40,"CUIDADO","NO")),IF(AND(M64&lt;5.5,F64&gt;=500,K64&gt;=80),"CUIDADO","NO")))</f>
        <v/>
      </c>
    </row>
    <row r="65" ht="15.75" customHeight="1" s="98">
      <c r="A65" s="5" t="inlineStr">
        <is>
          <t>Hevea</t>
        </is>
      </c>
      <c r="B65" s="5" t="inlineStr">
        <is>
          <t>set-jardin-bicolor-2-plazas-bicolor-sofa-2-plazas-2-sillones-mesa</t>
        </is>
      </c>
      <c r="C65" s="5" t="inlineStr">
        <is>
          <t>558-0066</t>
        </is>
      </c>
      <c r="D65" s="6" t="inlineStr">
        <is>
          <t>DIVA-7 BICOLOR SET SOFA 2 PLAZAS/SOFA/CANAPÉ</t>
        </is>
      </c>
      <c r="E65" s="7" t="n">
        <v>1802</v>
      </c>
      <c r="F65" s="7" t="n">
        <v>2706.61</v>
      </c>
      <c r="G65" s="7" t="n">
        <v>904.61</v>
      </c>
      <c r="H65" s="8" t="n">
        <v>50.2</v>
      </c>
      <c r="I65" s="7" t="n">
        <v>3275</v>
      </c>
      <c r="J65" s="7" t="n">
        <v>0</v>
      </c>
      <c r="K65" s="7">
        <f>G65-J65</f>
        <v/>
      </c>
      <c r="L65" s="7">
        <f>K65*$L$1</f>
        <v/>
      </c>
      <c r="M65" s="9">
        <f>F65/K65</f>
        <v/>
      </c>
      <c r="N65" s="10">
        <f>IF(M65&lt;3.5,"SI",IF(M65&lt;4.5,IF(K65&gt;=100,"SI",IF(K65&gt;=40,"CUIDADO","NO")),IF(AND(M65&lt;5.5,F65&gt;=500,K65&gt;=80),"CUIDADO","NO")))</f>
        <v/>
      </c>
    </row>
    <row r="66" ht="15.75" customHeight="1" s="98">
      <c r="A66" s="11" t="inlineStr">
        <is>
          <t>Hevea</t>
        </is>
      </c>
      <c r="B66" s="11" t="inlineStr">
        <is>
          <t>set-jardin-bicolor-3-plazas-bicolor-sofa-3-plazas-2-sillones-mesa</t>
        </is>
      </c>
      <c r="C66" s="11" t="inlineStr">
        <is>
          <t>558-0050</t>
        </is>
      </c>
      <c r="D66" s="12" t="inlineStr">
        <is>
          <t>DIVA-8 BICOLOR SET SOFA 3 PLAZAS/SOFA/CANAPÉ</t>
        </is>
      </c>
      <c r="E66" s="13" t="n">
        <v>2002</v>
      </c>
      <c r="F66" s="13" t="n">
        <v>3008.26</v>
      </c>
      <c r="G66" s="13" t="n">
        <v>1006.26</v>
      </c>
      <c r="H66" s="14" t="n">
        <v>50.26</v>
      </c>
      <c r="I66" s="13" t="n">
        <v>3640</v>
      </c>
      <c r="J66" s="13" t="n">
        <v>0</v>
      </c>
      <c r="K66" s="13">
        <f>G66-J66</f>
        <v/>
      </c>
      <c r="L66" s="13">
        <f>K66*$L$1</f>
        <v/>
      </c>
      <c r="M66" s="15">
        <f>F66/K66</f>
        <v/>
      </c>
      <c r="N66" s="10">
        <f>IF(M66&lt;3.5,"SI",IF(M66&lt;4.5,IF(K66&gt;=100,"SI",IF(K66&gt;=40,"CUIDADO","NO")),IF(AND(M66&lt;5.5,F66&gt;=500,K66&gt;=80),"CUIDADO","NO")))</f>
        <v/>
      </c>
    </row>
    <row r="67" ht="15.75" customHeight="1" s="98">
      <c r="A67" s="5" t="inlineStr">
        <is>
          <t>Hevea</t>
        </is>
      </c>
      <c r="B67" s="5" t="inlineStr">
        <is>
          <t>sillon-exterior-estilo-versatil-7685-cm</t>
        </is>
      </c>
      <c r="C67" s="5" t="inlineStr">
        <is>
          <t>557-010716</t>
        </is>
      </c>
      <c r="D67" s="6" t="inlineStr">
        <is>
          <t>LEISA-1 SILLON/ARMCHAIR/FAUTEUIL</t>
        </is>
      </c>
      <c r="E67" s="7" t="n">
        <v>292</v>
      </c>
      <c r="F67" s="7" t="n">
        <v>438.02</v>
      </c>
      <c r="G67" s="7" t="n">
        <v>146.02</v>
      </c>
      <c r="H67" s="8" t="n">
        <v>50.01</v>
      </c>
      <c r="I67" s="7" t="n">
        <v>530</v>
      </c>
      <c r="J67" s="7" t="n">
        <v>50</v>
      </c>
      <c r="K67" s="7">
        <f>G67-J67</f>
        <v/>
      </c>
      <c r="L67" s="7">
        <f>K67*$L$1</f>
        <v/>
      </c>
      <c r="M67" s="9">
        <f>F67/K67</f>
        <v/>
      </c>
      <c r="N67" s="10">
        <f>IF(M67&lt;3.5,"SI",IF(M67&lt;4.5,IF(K67&gt;=100,"SI",IF(K67&gt;=40,"CUIDADO","NO")),IF(AND(M67&lt;5.5,F67&gt;=500,K67&gt;=80),"CUIDADO","NO")))</f>
        <v/>
      </c>
    </row>
    <row r="68" ht="15.75" customHeight="1" s="98">
      <c r="A68" s="11" t="inlineStr">
        <is>
          <t>Hevea</t>
        </is>
      </c>
      <c r="B68" s="11" t="inlineStr">
        <is>
          <t>sofa-terraza-2-plazas-estilo-contemporaneo-13785-cm</t>
        </is>
      </c>
      <c r="C68" s="11" t="inlineStr">
        <is>
          <t>557-010717</t>
        </is>
      </c>
      <c r="D68" s="12" t="inlineStr">
        <is>
          <t>LEISA-2 SOFA 2 PLAZAS/SOFA/CANAPÉ</t>
        </is>
      </c>
      <c r="E68" s="13" t="n">
        <v>413</v>
      </c>
      <c r="F68" s="13" t="n">
        <v>619.83</v>
      </c>
      <c r="G68" s="13" t="n">
        <v>206.83</v>
      </c>
      <c r="H68" s="14" t="n">
        <v>50.08</v>
      </c>
      <c r="I68" s="13" t="n">
        <v>750</v>
      </c>
      <c r="J68" s="13" t="n">
        <v>50</v>
      </c>
      <c r="K68" s="13">
        <f>G68-J68</f>
        <v/>
      </c>
      <c r="L68" s="13">
        <f>K68*$L$1</f>
        <v/>
      </c>
      <c r="M68" s="15">
        <f>F68/K68</f>
        <v/>
      </c>
      <c r="N68" s="10">
        <f>IF(M68&lt;3.5,"SI",IF(M68&lt;4.5,IF(K68&gt;=100,"SI",IF(K68&gt;=40,"CUIDADO","NO")),IF(AND(M68&lt;5.5,F68&gt;=500,K68&gt;=80),"CUIDADO","NO")))</f>
        <v/>
      </c>
    </row>
    <row r="69" ht="15.75" customHeight="1" s="98">
      <c r="A69" s="5" t="inlineStr">
        <is>
          <t>Hevea</t>
        </is>
      </c>
      <c r="B69" s="5" t="inlineStr">
        <is>
          <t>sofa-terraza-3-plazas-estilo-contemporaneo-19685-cm</t>
        </is>
      </c>
      <c r="C69" s="5" t="inlineStr">
        <is>
          <t>557-010718</t>
        </is>
      </c>
      <c r="D69" s="6" t="inlineStr">
        <is>
          <t>LEISA-3 SOFA 3 PLAZAS/SOFA/CANAPÉ</t>
        </is>
      </c>
      <c r="E69" s="7" t="n">
        <v>534</v>
      </c>
      <c r="F69" s="7" t="n">
        <v>801.65</v>
      </c>
      <c r="G69" s="7" t="n">
        <v>267.65</v>
      </c>
      <c r="H69" s="8" t="n">
        <v>50.12</v>
      </c>
      <c r="I69" s="7" t="n">
        <v>970</v>
      </c>
      <c r="J69" s="7" t="n">
        <v>0</v>
      </c>
      <c r="K69" s="7">
        <f>G69-J69</f>
        <v/>
      </c>
      <c r="L69" s="7">
        <f>K69*$L$1</f>
        <v/>
      </c>
      <c r="M69" s="9">
        <f>F69/K69</f>
        <v/>
      </c>
      <c r="N69" s="10">
        <f>IF(M69&lt;3.5,"SI",IF(M69&lt;4.5,IF(K69&gt;=100,"SI",IF(K69&gt;=40,"CUIDADO","NO")),IF(AND(M69&lt;5.5,F69&gt;=500,K69&gt;=80),"CUIDADO","NO")))</f>
        <v/>
      </c>
    </row>
    <row r="70" ht="15.75" customHeight="1" s="98">
      <c r="A70" s="11" t="inlineStr">
        <is>
          <t>Hevea</t>
        </is>
      </c>
      <c r="B70" s="11" t="inlineStr">
        <is>
          <t>set-jardin-2-plazas-contemporaneo-sofa-2-plazas-2-sillones-mesa</t>
        </is>
      </c>
      <c r="C70" s="11" t="inlineStr">
        <is>
          <t>557-010719</t>
        </is>
      </c>
      <c r="D70" s="12" t="inlineStr">
        <is>
          <t>LEISA-7 SET SOFA 2 PLAZAS/SOFA/CANAPÉ</t>
        </is>
      </c>
      <c r="E70" s="13" t="n">
        <v>1153</v>
      </c>
      <c r="F70" s="13" t="n">
        <v>1731.4</v>
      </c>
      <c r="G70" s="13" t="n">
        <v>578.4</v>
      </c>
      <c r="H70" s="14" t="n">
        <v>50.17</v>
      </c>
      <c r="I70" s="13" t="n">
        <v>2095</v>
      </c>
      <c r="J70" s="13" t="n">
        <v>0</v>
      </c>
      <c r="K70" s="13">
        <f>G70-J70</f>
        <v/>
      </c>
      <c r="L70" s="13">
        <f>K70*$L$1</f>
        <v/>
      </c>
      <c r="M70" s="15">
        <f>F70/K70</f>
        <v/>
      </c>
      <c r="N70" s="10">
        <f>IF(M70&lt;3.5,"SI",IF(M70&lt;4.5,IF(K70&gt;=100,"SI",IF(K70&gt;=40,"CUIDADO","NO")),IF(AND(M70&lt;5.5,F70&gt;=500,K70&gt;=80),"CUIDADO","NO")))</f>
        <v/>
      </c>
    </row>
    <row r="71" ht="15.75" customHeight="1" s="98">
      <c r="A71" s="5" t="inlineStr">
        <is>
          <t>Hevea</t>
        </is>
      </c>
      <c r="B71" s="5" t="inlineStr">
        <is>
          <t>set-jardin-3-plazas-contemporaneo-sofa-3-plazas-2-sillones-mesa-3</t>
        </is>
      </c>
      <c r="C71" s="5" t="inlineStr">
        <is>
          <t>557-010720</t>
        </is>
      </c>
      <c r="D71" s="6" t="inlineStr">
        <is>
          <t>LEISA-8 SET SOFA 3 PLAZAS/SOFA/CANAPÉ</t>
        </is>
      </c>
      <c r="E71" s="7" t="n">
        <v>1318</v>
      </c>
      <c r="F71" s="7" t="n">
        <v>1979.34</v>
      </c>
      <c r="G71" s="7" t="n">
        <v>661.34</v>
      </c>
      <c r="H71" s="8" t="n">
        <v>50.18</v>
      </c>
      <c r="I71" s="7" t="n">
        <v>2395</v>
      </c>
      <c r="J71" s="7" t="n">
        <v>0</v>
      </c>
      <c r="K71" s="7">
        <f>G71-J71</f>
        <v/>
      </c>
      <c r="L71" s="7">
        <f>K71*$L$1</f>
        <v/>
      </c>
      <c r="M71" s="9">
        <f>F71/K71</f>
        <v/>
      </c>
      <c r="N71" s="10">
        <f>IF(M71&lt;3.5,"SI",IF(M71&lt;4.5,IF(K71&gt;=100,"SI",IF(K71&gt;=40,"CUIDADO","NO")),IF(AND(M71&lt;5.5,F71&gt;=500,K71&gt;=80),"CUIDADO","NO")))</f>
        <v/>
      </c>
    </row>
    <row r="72" ht="15.75" customHeight="1" s="98">
      <c r="A72" s="11" t="inlineStr">
        <is>
          <t>Hevea</t>
        </is>
      </c>
      <c r="B72" s="11" t="inlineStr">
        <is>
          <t>sillon-exterior-estilo-moderno-7085-cm</t>
        </is>
      </c>
      <c r="C72" s="11" t="inlineStr">
        <is>
          <t>557-010103</t>
        </is>
      </c>
      <c r="D72" s="12" t="inlineStr">
        <is>
          <t>DOUNVIL-1 SILLON</t>
        </is>
      </c>
      <c r="E72" s="13" t="n">
        <v>264</v>
      </c>
      <c r="F72" s="13" t="n">
        <v>396.69</v>
      </c>
      <c r="G72" s="13" t="n">
        <v>132.69</v>
      </c>
      <c r="H72" s="14" t="n">
        <v>50.26</v>
      </c>
      <c r="I72" s="13" t="n">
        <v>480</v>
      </c>
      <c r="J72" s="13" t="n">
        <v>50</v>
      </c>
      <c r="K72" s="13">
        <f>G72-J72</f>
        <v/>
      </c>
      <c r="L72" s="13">
        <f>K72*$L$1</f>
        <v/>
      </c>
      <c r="M72" s="15">
        <f>F72/K72</f>
        <v/>
      </c>
      <c r="N72" s="10">
        <f>IF(M72&lt;3.5,"SI",IF(M72&lt;4.5,IF(K72&gt;=100,"SI",IF(K72&gt;=40,"CUIDADO","NO")),IF(AND(M72&lt;5.5,F72&gt;=500,K72&gt;=80),"CUIDADO","NO")))</f>
        <v/>
      </c>
    </row>
    <row r="73" ht="15.75" customHeight="1" s="98">
      <c r="A73" s="5" t="inlineStr">
        <is>
          <t>Hevea</t>
        </is>
      </c>
      <c r="B73" s="5" t="inlineStr">
        <is>
          <t>sofa-terraza-2-plazas-estilo-elegante-15085-cm</t>
        </is>
      </c>
      <c r="C73" s="5" t="inlineStr">
        <is>
          <t>557-010104</t>
        </is>
      </c>
      <c r="D73" s="6" t="inlineStr">
        <is>
          <t>DOUNVIL-2 SOFA 2 PLAZAS</t>
        </is>
      </c>
      <c r="E73" s="7" t="n">
        <v>413</v>
      </c>
      <c r="F73" s="7" t="n">
        <v>619.83</v>
      </c>
      <c r="G73" s="7" t="n">
        <v>206.83</v>
      </c>
      <c r="H73" s="8" t="n">
        <v>50.08</v>
      </c>
      <c r="I73" s="7" t="n">
        <v>750</v>
      </c>
      <c r="J73" s="7" t="n">
        <v>50</v>
      </c>
      <c r="K73" s="7">
        <f>G73-J73</f>
        <v/>
      </c>
      <c r="L73" s="7">
        <f>K73*$L$1</f>
        <v/>
      </c>
      <c r="M73" s="9">
        <f>F73/K73</f>
        <v/>
      </c>
      <c r="N73" s="10">
        <f>IF(M73&lt;3.5,"SI",IF(M73&lt;4.5,IF(K73&gt;=100,"SI",IF(K73&gt;=40,"CUIDADO","NO")),IF(AND(M73&lt;5.5,F73&gt;=500,K73&gt;=80),"CUIDADO","NO")))</f>
        <v/>
      </c>
    </row>
    <row r="74" ht="15.75" customHeight="1" s="98">
      <c r="A74" s="11" t="inlineStr">
        <is>
          <t>Hevea</t>
        </is>
      </c>
      <c r="B74" s="11" t="inlineStr">
        <is>
          <t>sofa-terraza-3-plazas-estilo-contemporaneo-19085-cm</t>
        </is>
      </c>
      <c r="C74" s="11" t="inlineStr">
        <is>
          <t>557-010105</t>
        </is>
      </c>
      <c r="D74" s="12" t="inlineStr">
        <is>
          <t>DOUNVIL-3 SOFA 3 PLAZAS</t>
        </is>
      </c>
      <c r="E74" s="13" t="n">
        <v>534</v>
      </c>
      <c r="F74" s="13" t="n">
        <v>801.65</v>
      </c>
      <c r="G74" s="13" t="n">
        <v>267.65</v>
      </c>
      <c r="H74" s="14" t="n">
        <v>50.12</v>
      </c>
      <c r="I74" s="13" t="n">
        <v>970</v>
      </c>
      <c r="J74" s="13" t="n">
        <v>0</v>
      </c>
      <c r="K74" s="13">
        <f>G74-J74</f>
        <v/>
      </c>
      <c r="L74" s="13">
        <f>K74*$L$1</f>
        <v/>
      </c>
      <c r="M74" s="15">
        <f>F74/K74</f>
        <v/>
      </c>
      <c r="N74" s="10">
        <f>IF(M74&lt;3.5,"SI",IF(M74&lt;4.5,IF(K74&gt;=100,"SI",IF(K74&gt;=40,"CUIDADO","NO")),IF(AND(M74&lt;5.5,F74&gt;=500,K74&gt;=80),"CUIDADO","NO")))</f>
        <v/>
      </c>
    </row>
    <row r="75" ht="15.75" customHeight="1" s="98">
      <c r="A75" s="5" t="inlineStr">
        <is>
          <t>Hevea</t>
        </is>
      </c>
      <c r="B75" s="5" t="inlineStr">
        <is>
          <t>set-jardin-2-plazas-contemporaneo-sofa-2-plazas-2-sillones-mesa-2</t>
        </is>
      </c>
      <c r="C75" s="5" t="inlineStr">
        <is>
          <t>557-010106</t>
        </is>
      </c>
      <c r="D75" s="6" t="inlineStr">
        <is>
          <t>DOUNVIL-7 SET SOFA 2 PLAZAS</t>
        </is>
      </c>
      <c r="E75" s="7" t="n">
        <v>1092</v>
      </c>
      <c r="F75" s="7" t="n">
        <v>1640.5</v>
      </c>
      <c r="G75" s="7" t="n">
        <v>548.5</v>
      </c>
      <c r="H75" s="8" t="n">
        <v>50.23</v>
      </c>
      <c r="I75" s="7" t="n">
        <v>1985</v>
      </c>
      <c r="J75" s="7" t="n">
        <v>0</v>
      </c>
      <c r="K75" s="7">
        <f>G75-J75</f>
        <v/>
      </c>
      <c r="L75" s="7">
        <f>K75*$L$1</f>
        <v/>
      </c>
      <c r="M75" s="9">
        <f>F75/K75</f>
        <v/>
      </c>
      <c r="N75" s="10">
        <f>IF(M75&lt;3.5,"SI",IF(M75&lt;4.5,IF(K75&gt;=100,"SI",IF(K75&gt;=40,"CUIDADO","NO")),IF(AND(M75&lt;5.5,F75&gt;=500,K75&gt;=80),"CUIDADO","NO")))</f>
        <v/>
      </c>
    </row>
    <row r="76" ht="15.75" customHeight="1" s="98">
      <c r="A76" s="11" t="inlineStr">
        <is>
          <t>Hevea</t>
        </is>
      </c>
      <c r="B76" s="11" t="inlineStr">
        <is>
          <t>set-jardin-3-plazas-elegante-sofa-3-plazas-2-sillones-mesa-2</t>
        </is>
      </c>
      <c r="C76" s="11" t="inlineStr">
        <is>
          <t>557-010107</t>
        </is>
      </c>
      <c r="D76" s="12" t="inlineStr">
        <is>
          <t>DOUNVIL-8 SET SOFA 3 PLAZAS</t>
        </is>
      </c>
      <c r="E76" s="13" t="n">
        <v>1263</v>
      </c>
      <c r="F76" s="13" t="n">
        <v>1896.69</v>
      </c>
      <c r="G76" s="13" t="n">
        <v>633.6900000000001</v>
      </c>
      <c r="H76" s="14" t="n">
        <v>50.17</v>
      </c>
      <c r="I76" s="13" t="n">
        <v>2295</v>
      </c>
      <c r="J76" s="13" t="n">
        <v>0</v>
      </c>
      <c r="K76" s="13">
        <f>G76-J76</f>
        <v/>
      </c>
      <c r="L76" s="13">
        <f>K76*$L$1</f>
        <v/>
      </c>
      <c r="M76" s="15">
        <f>F76/K76</f>
        <v/>
      </c>
      <c r="N76" s="10">
        <f>IF(M76&lt;3.5,"SI",IF(M76&lt;4.5,IF(K76&gt;=100,"SI",IF(K76&gt;=40,"CUIDADO","NO")),IF(AND(M76&lt;5.5,F76&gt;=500,K76&gt;=80),"CUIDADO","NO")))</f>
        <v/>
      </c>
    </row>
    <row r="77" ht="15.75" customHeight="1" s="98">
      <c r="A77" s="5" t="inlineStr">
        <is>
          <t>Hevea</t>
        </is>
      </c>
      <c r="B77" s="5" t="inlineStr">
        <is>
          <t>mesa-de-centro-exterior-90-cm-altura-40-cm-2</t>
        </is>
      </c>
      <c r="C77" s="5" t="inlineStr">
        <is>
          <t>557-1070</t>
        </is>
      </c>
      <c r="D77" s="6" t="inlineStr">
        <is>
          <t>MESA CENTRO 90</t>
        </is>
      </c>
      <c r="E77" s="7" t="n">
        <v>152</v>
      </c>
      <c r="F77" s="7" t="n">
        <v>227.27</v>
      </c>
      <c r="G77" s="7" t="n">
        <v>75.27</v>
      </c>
      <c r="H77" s="17" t="n">
        <v>49.52</v>
      </c>
      <c r="I77" s="7" t="n">
        <v>275</v>
      </c>
      <c r="J77" s="7" t="n">
        <v>0</v>
      </c>
      <c r="K77" s="7">
        <f>G77-J77</f>
        <v/>
      </c>
      <c r="L77" s="7">
        <f>K77*$L$1</f>
        <v/>
      </c>
      <c r="M77" s="9">
        <f>F77/K77</f>
        <v/>
      </c>
      <c r="N77" s="10">
        <f>IF(M77&lt;3.5,"SI",IF(M77&lt;4.5,IF(K77&gt;=100,"SI",IF(K77&gt;=40,"CUIDADO","NO")),IF(AND(M77&lt;5.5,F77&gt;=500,K77&gt;=80),"CUIDADO","NO")))</f>
        <v/>
      </c>
    </row>
    <row r="78" ht="15.75" customHeight="1" s="98">
      <c r="A78" s="11" t="inlineStr">
        <is>
          <t>Hevea</t>
        </is>
      </c>
      <c r="B78" s="11" t="inlineStr">
        <is>
          <t>mesa-de-centro-exterior-120-cm-altura-40-cm-2</t>
        </is>
      </c>
      <c r="C78" s="11" t="inlineStr">
        <is>
          <t>557-1563</t>
        </is>
      </c>
      <c r="D78" s="12" t="inlineStr">
        <is>
          <t>MESA CENTRO 120</t>
        </is>
      </c>
      <c r="E78" s="13" t="n">
        <v>201</v>
      </c>
      <c r="F78" s="13" t="n">
        <v>301.65</v>
      </c>
      <c r="G78" s="13" t="n">
        <v>100.65</v>
      </c>
      <c r="H78" s="14" t="n">
        <v>50.08</v>
      </c>
      <c r="I78" s="13" t="n">
        <v>365</v>
      </c>
      <c r="J78" s="13" t="n">
        <v>50</v>
      </c>
      <c r="K78" s="13">
        <f>G78-J78</f>
        <v/>
      </c>
      <c r="L78" s="13">
        <f>K78*$L$1</f>
        <v/>
      </c>
      <c r="M78" s="15">
        <f>F78/K78</f>
        <v/>
      </c>
      <c r="N78" s="10">
        <f>IF(M78&lt;3.5,"SI",IF(M78&lt;4.5,IF(K78&gt;=100,"SI",IF(K78&gt;=40,"CUIDADO","NO")),IF(AND(M78&lt;5.5,F78&gt;=500,K78&gt;=80),"CUIDADO","NO")))</f>
        <v/>
      </c>
    </row>
    <row r="79" ht="15.75" customHeight="1" s="98">
      <c r="A79" s="5" t="inlineStr">
        <is>
          <t>Hevea</t>
        </is>
      </c>
      <c r="B79" s="5" t="inlineStr">
        <is>
          <t>sillon-exterior-estilo-contemporaneo-68115-cm</t>
        </is>
      </c>
      <c r="C79" s="5" t="inlineStr">
        <is>
          <t>557-0794</t>
        </is>
      </c>
      <c r="D79" s="6" t="inlineStr">
        <is>
          <t>HASTON-1 SILLÓN / ARMCHAIR / FAUTEUIL</t>
        </is>
      </c>
      <c r="E79" s="7" t="n">
        <v>253</v>
      </c>
      <c r="F79" s="7" t="n">
        <v>380.17</v>
      </c>
      <c r="G79" s="7" t="n">
        <v>127.17</v>
      </c>
      <c r="H79" s="8" t="n">
        <v>50.26</v>
      </c>
      <c r="I79" s="7" t="n">
        <v>460</v>
      </c>
      <c r="J79" s="7" t="n">
        <v>50</v>
      </c>
      <c r="K79" s="7">
        <f>G79-J79</f>
        <v/>
      </c>
      <c r="L79" s="7">
        <f>K79*$L$1</f>
        <v/>
      </c>
      <c r="M79" s="9">
        <f>F79/K79</f>
        <v/>
      </c>
      <c r="N79" s="10">
        <f>IF(M79&lt;3.5,"SI",IF(M79&lt;4.5,IF(K79&gt;=100,"SI",IF(K79&gt;=40,"CUIDADO","NO")),IF(AND(M79&lt;5.5,F79&gt;=500,K79&gt;=80),"CUIDADO","NO")))</f>
        <v/>
      </c>
    </row>
    <row r="80" ht="15.75" customHeight="1" s="98">
      <c r="A80" s="11" t="inlineStr">
        <is>
          <t>Hevea</t>
        </is>
      </c>
      <c r="B80" s="11" t="inlineStr">
        <is>
          <t>sofa-terraza-2-plazas-estilo-moderno-128115-cm</t>
        </is>
      </c>
      <c r="C80" s="11" t="inlineStr">
        <is>
          <t>557-0795</t>
        </is>
      </c>
      <c r="D80" s="12" t="inlineStr">
        <is>
          <t>HASTON-2 SOFÁ 2 PLAZAS / 2 SEATER SOFA / CANAPÉ 2 PLACES</t>
        </is>
      </c>
      <c r="E80" s="13" t="n">
        <v>413</v>
      </c>
      <c r="F80" s="13" t="n">
        <v>619.83</v>
      </c>
      <c r="G80" s="13" t="n">
        <v>206.83</v>
      </c>
      <c r="H80" s="14" t="n">
        <v>50.08</v>
      </c>
      <c r="I80" s="13" t="n">
        <v>750</v>
      </c>
      <c r="J80" s="13" t="n">
        <v>50</v>
      </c>
      <c r="K80" s="13">
        <f>G80-J80</f>
        <v/>
      </c>
      <c r="L80" s="13">
        <f>K80*$L$1</f>
        <v/>
      </c>
      <c r="M80" s="15">
        <f>F80/K80</f>
        <v/>
      </c>
      <c r="N80" s="10">
        <f>IF(M80&lt;3.5,"SI",IF(M80&lt;4.5,IF(K80&gt;=100,"SI",IF(K80&gt;=40,"CUIDADO","NO")),IF(AND(M80&lt;5.5,F80&gt;=500,K80&gt;=80),"CUIDADO","NO")))</f>
        <v/>
      </c>
    </row>
    <row r="81" ht="15.75" customHeight="1" s="98">
      <c r="A81" s="5" t="inlineStr">
        <is>
          <t>Hevea</t>
        </is>
      </c>
      <c r="B81" s="5" t="inlineStr">
        <is>
          <t>sofa-terraza-3-plazas-estilo-contemporaneo-188115-cm</t>
        </is>
      </c>
      <c r="C81" s="5" t="inlineStr">
        <is>
          <t>557-0796</t>
        </is>
      </c>
      <c r="D81" s="6" t="inlineStr">
        <is>
          <t>HASTON-3 SOFÁ 3 PLAZAS / 3 SEATER SOFA / CANAPÉ 3 PLACES</t>
        </is>
      </c>
      <c r="E81" s="7" t="n">
        <v>545</v>
      </c>
      <c r="F81" s="7" t="n">
        <v>818.1799999999999</v>
      </c>
      <c r="G81" s="7" t="n">
        <v>273.18</v>
      </c>
      <c r="H81" s="8" t="n">
        <v>50.13</v>
      </c>
      <c r="I81" s="7" t="n">
        <v>990</v>
      </c>
      <c r="J81" s="7" t="n">
        <v>0</v>
      </c>
      <c r="K81" s="7">
        <f>G81-J81</f>
        <v/>
      </c>
      <c r="L81" s="7">
        <f>K81*$L$1</f>
        <v/>
      </c>
      <c r="M81" s="9">
        <f>F81/K81</f>
        <v/>
      </c>
      <c r="N81" s="10">
        <f>IF(M81&lt;3.5,"SI",IF(M81&lt;4.5,IF(K81&gt;=100,"SI",IF(K81&gt;=40,"CUIDADO","NO")),IF(AND(M81&lt;5.5,F81&gt;=500,K81&gt;=80),"CUIDADO","NO")))</f>
        <v/>
      </c>
    </row>
    <row r="82" ht="15.75" customHeight="1" s="98">
      <c r="A82" s="11" t="inlineStr">
        <is>
          <t>Hevea</t>
        </is>
      </c>
      <c r="B82" s="11" t="inlineStr">
        <is>
          <t>set-jardin-2-plazas-moderno-sofa-2-plazas-2-sillones-mesa-3</t>
        </is>
      </c>
      <c r="C82" s="11" t="inlineStr">
        <is>
          <t>557-0798</t>
        </is>
      </c>
      <c r="D82" s="12" t="inlineStr">
        <is>
          <t>HASTON-7 SET SOFÁ 2 PLAZAS / 2 SEATER SOFA SET / SET CANAPÉ 2 PLACES</t>
        </is>
      </c>
      <c r="E82" s="13" t="n">
        <v>1070</v>
      </c>
      <c r="F82" s="13" t="n">
        <v>1607.44</v>
      </c>
      <c r="G82" s="13" t="n">
        <v>537.4400000000001</v>
      </c>
      <c r="H82" s="14" t="n">
        <v>50.23</v>
      </c>
      <c r="I82" s="13" t="n">
        <v>1945</v>
      </c>
      <c r="J82" s="13" t="n">
        <v>0</v>
      </c>
      <c r="K82" s="13">
        <f>G82-J82</f>
        <v/>
      </c>
      <c r="L82" s="13">
        <f>K82*$L$1</f>
        <v/>
      </c>
      <c r="M82" s="15">
        <f>F82/K82</f>
        <v/>
      </c>
      <c r="N82" s="10">
        <f>IF(M82&lt;3.5,"SI",IF(M82&lt;4.5,IF(K82&gt;=100,"SI",IF(K82&gt;=40,"CUIDADO","NO")),IF(AND(M82&lt;5.5,F82&gt;=500,K82&gt;=80),"CUIDADO","NO")))</f>
        <v/>
      </c>
    </row>
    <row r="83" ht="15.75" customHeight="1" s="98">
      <c r="A83" s="5" t="inlineStr">
        <is>
          <t>Hevea</t>
        </is>
      </c>
      <c r="B83" s="5" t="inlineStr">
        <is>
          <t>set-jardin-3-plazas-contemporaneo-sofa-3-plazas-2-sillones-mesa-4</t>
        </is>
      </c>
      <c r="C83" s="5" t="inlineStr">
        <is>
          <t>557-0799</t>
        </is>
      </c>
      <c r="D83" s="6" t="inlineStr">
        <is>
          <t>HASTON-8 SET SOFÁ 3 PLAZAS / 3 SEATER SOFA SET / SET CANAPÉ 3 PLACES</t>
        </is>
      </c>
      <c r="E83" s="7" t="n">
        <v>1252</v>
      </c>
      <c r="F83" s="7" t="n">
        <v>1880.17</v>
      </c>
      <c r="G83" s="7" t="n">
        <v>628.17</v>
      </c>
      <c r="H83" s="8" t="n">
        <v>50.17</v>
      </c>
      <c r="I83" s="7" t="n">
        <v>2275</v>
      </c>
      <c r="J83" s="7" t="n">
        <v>0</v>
      </c>
      <c r="K83" s="7">
        <f>G83-J83</f>
        <v/>
      </c>
      <c r="L83" s="7">
        <f>K83*$L$1</f>
        <v/>
      </c>
      <c r="M83" s="9">
        <f>F83/K83</f>
        <v/>
      </c>
      <c r="N83" s="10">
        <f>IF(M83&lt;3.5,"SI",IF(M83&lt;4.5,IF(K83&gt;=100,"SI",IF(K83&gt;=40,"CUIDADO","NO")),IF(AND(M83&lt;5.5,F83&gt;=500,K83&gt;=80),"CUIDADO","NO")))</f>
        <v/>
      </c>
    </row>
    <row r="84" ht="15.75" customHeight="1" s="98">
      <c r="A84" s="11" t="inlineStr">
        <is>
          <t>Hevea</t>
        </is>
      </c>
      <c r="B84" s="11" t="inlineStr">
        <is>
          <t>sillon-exterior-estilo-versatil-6470-cm</t>
        </is>
      </c>
      <c r="C84" s="11" t="inlineStr">
        <is>
          <t>557-010146</t>
        </is>
      </c>
      <c r="D84" s="12" t="inlineStr">
        <is>
          <t>ACAPULCO-1 SILLÓN / ARMCHAIR / FAUTEUIL</t>
        </is>
      </c>
      <c r="E84" s="13" t="n">
        <v>267</v>
      </c>
      <c r="F84" s="13" t="n">
        <v>400.83</v>
      </c>
      <c r="G84" s="13" t="n">
        <v>133.83</v>
      </c>
      <c r="H84" s="14" t="n">
        <v>50.12</v>
      </c>
      <c r="I84" s="13" t="n">
        <v>485</v>
      </c>
      <c r="J84" s="13" t="n">
        <v>50</v>
      </c>
      <c r="K84" s="13">
        <f>G84-J84</f>
        <v/>
      </c>
      <c r="L84" s="13">
        <f>K84*$L$1</f>
        <v/>
      </c>
      <c r="M84" s="15">
        <f>F84/K84</f>
        <v/>
      </c>
      <c r="N84" s="10">
        <f>IF(M84&lt;3.5,"SI",IF(M84&lt;4.5,IF(K84&gt;=100,"SI",IF(K84&gt;=40,"CUIDADO","NO")),IF(AND(M84&lt;5.5,F84&gt;=500,K84&gt;=80),"CUIDADO","NO")))</f>
        <v/>
      </c>
    </row>
    <row r="85" ht="15.75" customHeight="1" s="98">
      <c r="A85" s="5" t="inlineStr">
        <is>
          <t>Hevea</t>
        </is>
      </c>
      <c r="B85" s="5" t="inlineStr">
        <is>
          <t>sofa-terraza-2-plazas-estilo-elegante-13170-cm</t>
        </is>
      </c>
      <c r="C85" s="5" t="inlineStr">
        <is>
          <t>557-010148</t>
        </is>
      </c>
      <c r="D85" s="6" t="inlineStr">
        <is>
          <t>ACAPULCO-2 SOFÁ 2 PLAZAS / 2 SEATER SOFA / CANAPÉ 2 PLACES</t>
        </is>
      </c>
      <c r="E85" s="7" t="n">
        <v>383</v>
      </c>
      <c r="F85" s="7" t="n">
        <v>574.38</v>
      </c>
      <c r="G85" s="7" t="n">
        <v>191.38</v>
      </c>
      <c r="H85" s="17" t="n">
        <v>49.97</v>
      </c>
      <c r="I85" s="7" t="n">
        <v>695</v>
      </c>
      <c r="J85" s="7" t="n">
        <v>50</v>
      </c>
      <c r="K85" s="7">
        <f>G85-J85</f>
        <v/>
      </c>
      <c r="L85" s="7">
        <f>K85*$L$1</f>
        <v/>
      </c>
      <c r="M85" s="9">
        <f>F85/K85</f>
        <v/>
      </c>
      <c r="N85" s="10">
        <f>IF(M85&lt;3.5,"SI",IF(M85&lt;4.5,IF(K85&gt;=100,"SI",IF(K85&gt;=40,"CUIDADO","NO")),IF(AND(M85&lt;5.5,F85&gt;=500,K85&gt;=80),"CUIDADO","NO")))</f>
        <v/>
      </c>
    </row>
    <row r="86" ht="15.75" customHeight="1" s="98">
      <c r="A86" s="11" t="inlineStr">
        <is>
          <t>Hevea</t>
        </is>
      </c>
      <c r="B86" s="11" t="inlineStr">
        <is>
          <t>set-jardin-3-plazas-contemporaneo-sofa-3-plazas-2-sillones-mesa-5</t>
        </is>
      </c>
      <c r="C86" s="11" t="inlineStr">
        <is>
          <t>557-010147</t>
        </is>
      </c>
      <c r="D86" s="12" t="inlineStr">
        <is>
          <t>ACAPULCO-3 SOFÁ 3 PLAZAS / 3 SEATER SOFA / CANAPÉ 3 PLACES</t>
        </is>
      </c>
      <c r="E86" s="13" t="n">
        <v>523</v>
      </c>
      <c r="F86" s="13" t="n">
        <v>785.12</v>
      </c>
      <c r="G86" s="13" t="n">
        <v>262.12</v>
      </c>
      <c r="H86" s="14" t="n">
        <v>50.12</v>
      </c>
      <c r="I86" s="13" t="n">
        <v>950</v>
      </c>
      <c r="J86" s="13" t="n">
        <v>0</v>
      </c>
      <c r="K86" s="13">
        <f>G86-J86</f>
        <v/>
      </c>
      <c r="L86" s="13">
        <f>K86*$L$1</f>
        <v/>
      </c>
      <c r="M86" s="15">
        <f>F86/K86</f>
        <v/>
      </c>
      <c r="N86" s="10">
        <f>IF(M86&lt;3.5,"SI",IF(M86&lt;4.5,IF(K86&gt;=100,"SI",IF(K86&gt;=40,"CUIDADO","NO")),IF(AND(M86&lt;5.5,F86&gt;=500,K86&gt;=80),"CUIDADO","NO")))</f>
        <v/>
      </c>
    </row>
    <row r="87" ht="15.75" customHeight="1" s="98">
      <c r="A87" s="5" t="inlineStr">
        <is>
          <t>Hevea</t>
        </is>
      </c>
      <c r="B87" s="5" t="inlineStr">
        <is>
          <t>mesa-de-centro-exterior-hpl-90-cm-altura-40-cm</t>
        </is>
      </c>
      <c r="C87" s="5" t="inlineStr">
        <is>
          <t>557-010153</t>
        </is>
      </c>
      <c r="D87" s="6" t="inlineStr">
        <is>
          <t>MESA CENTRO 90 HPL UNIVERSAL / 90 HPL COFFEE TABLE / TABLE BASSE 90 HPL</t>
        </is>
      </c>
      <c r="E87" s="7" t="n">
        <v>152</v>
      </c>
      <c r="F87" s="7" t="n">
        <v>227.27</v>
      </c>
      <c r="G87" s="7" t="n">
        <v>75.27</v>
      </c>
      <c r="H87" s="17" t="n">
        <v>49.52</v>
      </c>
      <c r="I87" s="7" t="n">
        <v>275</v>
      </c>
      <c r="J87" s="7" t="n">
        <v>0</v>
      </c>
      <c r="K87" s="7">
        <f>G87-J87</f>
        <v/>
      </c>
      <c r="L87" s="7">
        <f>K87*$L$1</f>
        <v/>
      </c>
      <c r="M87" s="9">
        <f>F87/K87</f>
        <v/>
      </c>
      <c r="N87" s="10">
        <f>IF(M87&lt;3.5,"SI",IF(M87&lt;4.5,IF(K87&gt;=100,"SI",IF(K87&gt;=40,"CUIDADO","NO")),IF(AND(M87&lt;5.5,F87&gt;=500,K87&gt;=80),"CUIDADO","NO")))</f>
        <v/>
      </c>
    </row>
    <row r="88" ht="15.75" customHeight="1" s="98">
      <c r="A88" s="11" t="inlineStr">
        <is>
          <t>Hevea</t>
        </is>
      </c>
      <c r="B88" s="11" t="inlineStr">
        <is>
          <t>mesa-de-centro-exterior-hpl-120-cm-altura-40-cm-2</t>
        </is>
      </c>
      <c r="C88" s="11" t="inlineStr">
        <is>
          <t>557-010154</t>
        </is>
      </c>
      <c r="D88" s="12" t="inlineStr">
        <is>
          <t>MESA CENTRO 120 HPL UNIVERSAL / 120 HPL COFFEE TABLE / TABLE BASSE 120 HPL</t>
        </is>
      </c>
      <c r="E88" s="13" t="n">
        <v>201</v>
      </c>
      <c r="F88" s="13" t="n">
        <v>301.65</v>
      </c>
      <c r="G88" s="13" t="n">
        <v>100.65</v>
      </c>
      <c r="H88" s="14" t="n">
        <v>50.08</v>
      </c>
      <c r="I88" s="13" t="n">
        <v>365</v>
      </c>
      <c r="J88" s="13" t="n">
        <v>50</v>
      </c>
      <c r="K88" s="13">
        <f>G88-J88</f>
        <v/>
      </c>
      <c r="L88" s="13">
        <f>K88*$L$1</f>
        <v/>
      </c>
      <c r="M88" s="15">
        <f>F88/K88</f>
        <v/>
      </c>
      <c r="N88" s="10">
        <f>IF(M88&lt;3.5,"SI",IF(M88&lt;4.5,IF(K88&gt;=100,"SI",IF(K88&gt;=40,"CUIDADO","NO")),IF(AND(M88&lt;5.5,F88&gt;=500,K88&gt;=80),"CUIDADO","NO")))</f>
        <v/>
      </c>
    </row>
    <row r="89" ht="15.75" customHeight="1" s="98">
      <c r="A89" s="5" t="inlineStr">
        <is>
          <t>Hevea</t>
        </is>
      </c>
      <c r="B89" s="5" t="inlineStr">
        <is>
          <t>set-jardin-2-plazas-moderno-sofa-2-plazas-2-sillones-mesa-4</t>
        </is>
      </c>
      <c r="C89" s="5" t="inlineStr">
        <is>
          <t>557-010149</t>
        </is>
      </c>
      <c r="D89" s="6" t="inlineStr">
        <is>
          <t>ACAPULCO-7 SET SOFÁ 2 PLAZAS / 2 SEATER SOFA SET / SET CANAPÉ 2 PLACES</t>
        </is>
      </c>
      <c r="E89" s="7" t="n">
        <v>1067</v>
      </c>
      <c r="F89" s="7" t="n">
        <v>1603.31</v>
      </c>
      <c r="G89" s="7" t="n">
        <v>536.3099999999999</v>
      </c>
      <c r="H89" s="8" t="n">
        <v>50.26</v>
      </c>
      <c r="I89" s="7" t="n">
        <v>1940</v>
      </c>
      <c r="J89" s="7" t="n">
        <v>0</v>
      </c>
      <c r="K89" s="7">
        <f>G89-J89</f>
        <v/>
      </c>
      <c r="L89" s="7">
        <f>K89*$L$1</f>
        <v/>
      </c>
      <c r="M89" s="9">
        <f>F89/K89</f>
        <v/>
      </c>
      <c r="N89" s="10">
        <f>IF(M89&lt;3.5,"SI",IF(M89&lt;4.5,IF(K89&gt;=100,"SI",IF(K89&gt;=40,"CUIDADO","NO")),IF(AND(M89&lt;5.5,F89&gt;=500,K89&gt;=80),"CUIDADO","NO")))</f>
        <v/>
      </c>
    </row>
    <row r="90" ht="15.75" customHeight="1" s="98">
      <c r="A90" s="11" t="inlineStr">
        <is>
          <t>Hevea</t>
        </is>
      </c>
      <c r="B90" s="11" t="inlineStr">
        <is>
          <t>set-jardin-3-plazas-contemporaneo-sofa-3-plazas-2-sillones-mesa-5</t>
        </is>
      </c>
      <c r="C90" s="11" t="inlineStr">
        <is>
          <t>557-010147</t>
        </is>
      </c>
      <c r="D90" s="12" t="inlineStr">
        <is>
          <t>ACAPULCO-8 SET SOFÁ 3 PLAZAS / 3 SEATER SOFA SET / SET CANAPÉ 3 PLACES</t>
        </is>
      </c>
      <c r="E90" s="13" t="n">
        <v>1257</v>
      </c>
      <c r="F90" s="13" t="n">
        <v>1888.43</v>
      </c>
      <c r="G90" s="13" t="n">
        <v>631.4299999999999</v>
      </c>
      <c r="H90" s="14" t="n">
        <v>50.23</v>
      </c>
      <c r="I90" s="13" t="n">
        <v>2285</v>
      </c>
      <c r="J90" s="13" t="n">
        <v>0</v>
      </c>
      <c r="K90" s="13">
        <f>G90-J90</f>
        <v/>
      </c>
      <c r="L90" s="13">
        <f>K90*$L$1</f>
        <v/>
      </c>
      <c r="M90" s="15">
        <f>F90/K90</f>
        <v/>
      </c>
      <c r="N90" s="10">
        <f>IF(M90&lt;3.5,"SI",IF(M90&lt;4.5,IF(K90&gt;=100,"SI",IF(K90&gt;=40,"CUIDADO","NO")),IF(AND(M90&lt;5.5,F90&gt;=500,K90&gt;=80),"CUIDADO","NO")))</f>
        <v/>
      </c>
    </row>
    <row r="91" ht="15.75" customHeight="1" s="98">
      <c r="A91" s="5" t="inlineStr">
        <is>
          <t>Hevea</t>
        </is>
      </c>
      <c r="B91" s="5" t="inlineStr">
        <is>
          <t>pergola-aluminio-para-jardin-300300250-cm</t>
        </is>
      </c>
      <c r="C91" s="5" t="inlineStr">
        <is>
          <t>557-0919</t>
        </is>
      </c>
      <c r="D91" s="6" t="inlineStr">
        <is>
          <t>PÉRGOLA VENECIA / VENECIA PERGOLA / PERGOLA VENECIA</t>
        </is>
      </c>
      <c r="E91" s="7" t="n">
        <v>930</v>
      </c>
      <c r="F91" s="7" t="n">
        <v>1396.69</v>
      </c>
      <c r="G91" s="7" t="n">
        <v>466.69</v>
      </c>
      <c r="H91" s="8" t="n">
        <v>50.18</v>
      </c>
      <c r="I91" s="7" t="n">
        <v>1690</v>
      </c>
      <c r="J91" s="7" t="n">
        <v>0</v>
      </c>
      <c r="K91" s="7">
        <f>G91-J91</f>
        <v/>
      </c>
      <c r="L91" s="7">
        <f>K91*$L$1</f>
        <v/>
      </c>
      <c r="M91" s="9">
        <f>F91/K91</f>
        <v/>
      </c>
      <c r="N91" s="10">
        <f>IF(M91&lt;3.5,"SI",IF(M91&lt;4.5,IF(K91&gt;=100,"SI",IF(K91&gt;=40,"CUIDADO","NO")),IF(AND(M91&lt;5.5,F91&gt;=500,K91&gt;=80),"CUIDADO","NO")))</f>
        <v/>
      </c>
    </row>
    <row r="92" ht="15.75" customHeight="1" s="98">
      <c r="A92" s="11" t="inlineStr">
        <is>
          <t>Hevea</t>
        </is>
      </c>
      <c r="B92" s="11" t="inlineStr">
        <is>
          <t>sillon-exterior-estilo-urbano-6670-cm</t>
        </is>
      </c>
      <c r="C92" s="11" t="inlineStr">
        <is>
          <t>557-01951</t>
        </is>
      </c>
      <c r="D92" s="12" t="inlineStr">
        <is>
          <t>MANHATAN-1 SILLÓN / ARMCHAIR / FAUTEUIL</t>
        </is>
      </c>
      <c r="E92" s="13" t="n">
        <v>212</v>
      </c>
      <c r="F92" s="13" t="n">
        <v>318.18</v>
      </c>
      <c r="G92" s="13" t="n">
        <v>106.18</v>
      </c>
      <c r="H92" s="14" t="n">
        <v>50.09</v>
      </c>
      <c r="I92" s="13" t="n">
        <v>385</v>
      </c>
      <c r="J92" s="13" t="n">
        <v>50</v>
      </c>
      <c r="K92" s="13">
        <f>G92-J92</f>
        <v/>
      </c>
      <c r="L92" s="13">
        <f>K92*$L$1</f>
        <v/>
      </c>
      <c r="M92" s="15">
        <f>F92/K92</f>
        <v/>
      </c>
      <c r="N92" s="10">
        <f>IF(M92&lt;3.5,"SI",IF(M92&lt;4.5,IF(K92&gt;=100,"SI",IF(K92&gt;=40,"CUIDADO","NO")),IF(AND(M92&lt;5.5,F92&gt;=500,K92&gt;=80),"CUIDADO","NO")))</f>
        <v/>
      </c>
    </row>
    <row r="93" ht="15.75" customHeight="1" s="98">
      <c r="A93" s="5" t="inlineStr">
        <is>
          <t>Hevea</t>
        </is>
      </c>
      <c r="B93" s="5" t="inlineStr">
        <is>
          <t>sofa-terraza-2-plazas-estilo-contemporaneo-13370-cm</t>
        </is>
      </c>
      <c r="C93" s="5" t="inlineStr">
        <is>
          <t>557-01952</t>
        </is>
      </c>
      <c r="D93" s="6" t="inlineStr">
        <is>
          <t>MANHATAN-2 SOFÁ 2 PLAZAS / 2 SEATER SOFA / CANAPÉ 2 PLACES</t>
        </is>
      </c>
      <c r="E93" s="7" t="n">
        <v>325</v>
      </c>
      <c r="F93" s="7" t="n">
        <v>487.6</v>
      </c>
      <c r="G93" s="7" t="n">
        <v>162.6</v>
      </c>
      <c r="H93" s="8" t="n">
        <v>50.03</v>
      </c>
      <c r="I93" s="7" t="n">
        <v>590</v>
      </c>
      <c r="J93" s="7" t="n">
        <v>50</v>
      </c>
      <c r="K93" s="7">
        <f>G93-J93</f>
        <v/>
      </c>
      <c r="L93" s="7">
        <f>K93*$L$1</f>
        <v/>
      </c>
      <c r="M93" s="9">
        <f>F93/K93</f>
        <v/>
      </c>
      <c r="N93" s="10">
        <f>IF(M93&lt;3.5,"SI",IF(M93&lt;4.5,IF(K93&gt;=100,"SI",IF(K93&gt;=40,"CUIDADO","NO")),IF(AND(M93&lt;5.5,F93&gt;=500,K93&gt;=80),"CUIDADO","NO")))</f>
        <v/>
      </c>
    </row>
    <row r="94" ht="15.75" customHeight="1" s="98">
      <c r="A94" s="11" t="inlineStr">
        <is>
          <t>Hevea</t>
        </is>
      </c>
      <c r="B94" s="11" t="inlineStr">
        <is>
          <t>sofa-terraza-3-plazas-estilo-moderno-18770-cm</t>
        </is>
      </c>
      <c r="C94" s="11" t="inlineStr">
        <is>
          <t>557-01953</t>
        </is>
      </c>
      <c r="D94" s="12" t="inlineStr">
        <is>
          <t>MANHATAN-3 SOFÁ 3 PLAZAS / 3 SEATER SOFA / CANAPÉ 3 PLACES</t>
        </is>
      </c>
      <c r="E94" s="13" t="n">
        <v>468</v>
      </c>
      <c r="F94" s="13" t="n">
        <v>702.48</v>
      </c>
      <c r="G94" s="13" t="n">
        <v>234.48</v>
      </c>
      <c r="H94" s="14" t="n">
        <v>50.1</v>
      </c>
      <c r="I94" s="13" t="n">
        <v>850</v>
      </c>
      <c r="J94" s="13" t="n">
        <v>50</v>
      </c>
      <c r="K94" s="13">
        <f>G94-J94</f>
        <v/>
      </c>
      <c r="L94" s="13">
        <f>K94*$L$1</f>
        <v/>
      </c>
      <c r="M94" s="15">
        <f>F94/K94</f>
        <v/>
      </c>
      <c r="N94" s="10">
        <f>IF(M94&lt;3.5,"SI",IF(M94&lt;4.5,IF(K94&gt;=100,"SI",IF(K94&gt;=40,"CUIDADO","NO")),IF(AND(M94&lt;5.5,F94&gt;=500,K94&gt;=80),"CUIDADO","NO")))</f>
        <v/>
      </c>
    </row>
    <row r="95" ht="15.75" customHeight="1" s="98">
      <c r="A95" s="5" t="inlineStr">
        <is>
          <t>Hevea</t>
        </is>
      </c>
      <c r="B95" s="5" t="inlineStr">
        <is>
          <t>set-jardin-2-plazas-contemporaneo-sofa-2-plazas-2-sillones-mesa-3</t>
        </is>
      </c>
      <c r="C95" s="5" t="inlineStr">
        <is>
          <t>557-01954</t>
        </is>
      </c>
      <c r="D95" s="6" t="inlineStr">
        <is>
          <t>MANHATAN-7 SET SOFÁ 2 PLAZAS / 2 SEATER SOFA SET / SET CANAPÉ 2 PLACES</t>
        </is>
      </c>
      <c r="E95" s="7" t="n">
        <v>905</v>
      </c>
      <c r="F95" s="7" t="n">
        <v>1359.5</v>
      </c>
      <c r="G95" s="7" t="n">
        <v>454.5</v>
      </c>
      <c r="H95" s="8" t="n">
        <v>50.22</v>
      </c>
      <c r="I95" s="7" t="n">
        <v>1645</v>
      </c>
      <c r="J95" s="7" t="n">
        <v>0</v>
      </c>
      <c r="K95" s="7">
        <f>G95-J95</f>
        <v/>
      </c>
      <c r="L95" s="7">
        <f>K95*$L$1</f>
        <v/>
      </c>
      <c r="M95" s="9">
        <f>F95/K95</f>
        <v/>
      </c>
      <c r="N95" s="10">
        <f>IF(M95&lt;3.5,"SI",IF(M95&lt;4.5,IF(K95&gt;=100,"SI",IF(K95&gt;=40,"CUIDADO","NO")),IF(AND(M95&lt;5.5,F95&gt;=500,K95&gt;=80),"CUIDADO","NO")))</f>
        <v/>
      </c>
    </row>
    <row r="96" ht="15.75" customHeight="1" s="98">
      <c r="A96" s="11" t="inlineStr">
        <is>
          <t>Hevea</t>
        </is>
      </c>
      <c r="B96" s="11" t="inlineStr">
        <is>
          <t>set-jardin-3-plazas-urbano-sofa-3-plazas-2-sillones-mesa</t>
        </is>
      </c>
      <c r="C96" s="11" t="inlineStr">
        <is>
          <t>557-01955</t>
        </is>
      </c>
      <c r="D96" s="12" t="inlineStr">
        <is>
          <t>MANHATAN-8 SET SOFÁ 3 PLAZAS / 3 SEATER SOFA SET / SET CANAPÉ 3 PLACES</t>
        </is>
      </c>
      <c r="E96" s="13" t="n">
        <v>1092</v>
      </c>
      <c r="F96" s="13" t="n">
        <v>1640.5</v>
      </c>
      <c r="G96" s="13" t="n">
        <v>548.5</v>
      </c>
      <c r="H96" s="14" t="n">
        <v>50.23</v>
      </c>
      <c r="I96" s="13" t="n">
        <v>1985</v>
      </c>
      <c r="J96" s="13" t="n">
        <v>0</v>
      </c>
      <c r="K96" s="13">
        <f>G96-J96</f>
        <v/>
      </c>
      <c r="L96" s="13">
        <f>K96*$L$1</f>
        <v/>
      </c>
      <c r="M96" s="15">
        <f>F96/K96</f>
        <v/>
      </c>
      <c r="N96" s="10">
        <f>IF(M96&lt;3.5,"SI",IF(M96&lt;4.5,IF(K96&gt;=100,"SI",IF(K96&gt;=40,"CUIDADO","NO")),IF(AND(M96&lt;5.5,F96&gt;=500,K96&gt;=80),"CUIDADO","NO")))</f>
        <v/>
      </c>
    </row>
    <row r="97" ht="15.75" customHeight="1" s="98">
      <c r="A97" s="5" t="inlineStr">
        <is>
          <t>Hevea</t>
        </is>
      </c>
      <c r="B97" s="5" t="inlineStr">
        <is>
          <t>set-rinconera-exterior-hpl-sofisticado-sofa-de-esquina-mesa-de-centro</t>
        </is>
      </c>
      <c r="C97" s="5" t="inlineStr">
        <is>
          <t>557-010705</t>
        </is>
      </c>
      <c r="D97" s="6" t="inlineStr">
        <is>
          <t>LOIRA-7 HPL SET SOFA RINCONERA / CORNER SET / SET CANAPÉ D’ANGLE</t>
        </is>
      </c>
      <c r="E97" s="7" t="n">
        <v>1318</v>
      </c>
      <c r="F97" s="7" t="n">
        <v>1979.34</v>
      </c>
      <c r="G97" s="7" t="n">
        <v>661.34</v>
      </c>
      <c r="H97" s="8" t="n">
        <v>50.18</v>
      </c>
      <c r="I97" s="7" t="n">
        <v>2395</v>
      </c>
      <c r="J97" s="7" t="n">
        <v>0</v>
      </c>
      <c r="K97" s="7">
        <f>G97-J97</f>
        <v/>
      </c>
      <c r="L97" s="7">
        <f>K97*$L$1</f>
        <v/>
      </c>
      <c r="M97" s="9">
        <f>F97/K97</f>
        <v/>
      </c>
      <c r="N97" s="10">
        <f>IF(M97&lt;3.5,"SI",IF(M97&lt;4.5,IF(K97&gt;=100,"SI",IF(K97&gt;=40,"CUIDADO","NO")),IF(AND(M97&lt;5.5,F97&gt;=500,K97&gt;=80),"CUIDADO","NO")))</f>
        <v/>
      </c>
    </row>
    <row r="98" ht="15.75" customHeight="1" s="98">
      <c r="A98" s="11" t="inlineStr">
        <is>
          <t>Hevea</t>
        </is>
      </c>
      <c r="B98" s="11" t="inlineStr">
        <is>
          <t>set-rinconera-exterior-hpl-elegante-sofa-de-esquina-mesa-de-centro</t>
        </is>
      </c>
      <c r="C98" s="11" t="inlineStr">
        <is>
          <t>557-010026</t>
        </is>
      </c>
      <c r="D98" s="12" t="inlineStr">
        <is>
          <t>LOIRA-8 HPL SET SOFÁ RINCONERA / HPL CORNER SOFA SET / SET CANAPÉ D’ANGLE HPL</t>
        </is>
      </c>
      <c r="E98" s="13" t="n">
        <v>1725</v>
      </c>
      <c r="F98" s="13" t="n">
        <v>2590.91</v>
      </c>
      <c r="G98" s="13" t="n">
        <v>865.91</v>
      </c>
      <c r="H98" s="14" t="n">
        <v>50.2</v>
      </c>
      <c r="I98" s="13" t="n">
        <v>3135</v>
      </c>
      <c r="J98" s="13" t="n">
        <v>0</v>
      </c>
      <c r="K98" s="13">
        <f>G98-J98</f>
        <v/>
      </c>
      <c r="L98" s="13">
        <f>K98*$L$1</f>
        <v/>
      </c>
      <c r="M98" s="15">
        <f>F98/K98</f>
        <v/>
      </c>
      <c r="N98" s="10">
        <f>IF(M98&lt;3.5,"SI",IF(M98&lt;4.5,IF(K98&gt;=100,"SI",IF(K98&gt;=40,"CUIDADO","NO")),IF(AND(M98&lt;5.5,F98&gt;=500,K98&gt;=80),"CUIDADO","NO")))</f>
        <v/>
      </c>
    </row>
    <row r="99" ht="15.75" customHeight="1" s="98">
      <c r="A99" s="5" t="inlineStr">
        <is>
          <t>Hevea</t>
        </is>
      </c>
      <c r="B99" s="5" t="inlineStr">
        <is>
          <t>set-rinconera-exterior-hpl-moderno-sofa-de-esquina-mesa-de-centro</t>
        </is>
      </c>
      <c r="C99" s="5" t="inlineStr">
        <is>
          <t>557-010123</t>
        </is>
      </c>
      <c r="D99" s="6" t="inlineStr">
        <is>
          <t>LOIRA-30 HPL SET SOFÁ RINCONERA / HPL CORNER SOFA SET / SET CANAPÉ D’ANGLE HPL</t>
        </is>
      </c>
      <c r="E99" s="7" t="n">
        <v>1920</v>
      </c>
      <c r="F99" s="7" t="n">
        <v>2884.3</v>
      </c>
      <c r="G99" s="7" t="n">
        <v>964.3</v>
      </c>
      <c r="H99" s="8" t="n">
        <v>50.22</v>
      </c>
      <c r="I99" s="7" t="n">
        <v>3490</v>
      </c>
      <c r="J99" s="7" t="n">
        <v>0</v>
      </c>
      <c r="K99" s="7">
        <f>G99-J99</f>
        <v/>
      </c>
      <c r="L99" s="7">
        <f>K99*$L$1</f>
        <v/>
      </c>
      <c r="M99" s="9">
        <f>F99/K99</f>
        <v/>
      </c>
      <c r="N99" s="10">
        <f>IF(M99&lt;3.5,"SI",IF(M99&lt;4.5,IF(K99&gt;=100,"SI",IF(K99&gt;=40,"CUIDADO","NO")),IF(AND(M99&lt;5.5,F99&gt;=500,K99&gt;=80),"CUIDADO","NO")))</f>
        <v/>
      </c>
    </row>
    <row r="100" ht="15.75" customHeight="1" s="98">
      <c r="A100" s="11" t="inlineStr">
        <is>
          <t>Hevea</t>
        </is>
      </c>
      <c r="B100" s="11" t="inlineStr">
        <is>
          <t>set-rinconera-exterior-contemporaneo-sofa-de-esquina-mesa-de-centro</t>
        </is>
      </c>
      <c r="C100" s="11" t="inlineStr">
        <is>
          <t>557-1164</t>
        </is>
      </c>
      <c r="D100" s="12" t="inlineStr">
        <is>
          <t>ADEL-7 SET SOFÁ RINCONERA / CORNER SOFA SET / SET CANAPÉ D’ANGLE</t>
        </is>
      </c>
      <c r="E100" s="13" t="n">
        <v>1172</v>
      </c>
      <c r="F100" s="13" t="n">
        <v>1760.33</v>
      </c>
      <c r="G100" s="13" t="n">
        <v>588.33</v>
      </c>
      <c r="H100" s="14" t="n">
        <v>50.2</v>
      </c>
      <c r="I100" s="13" t="n">
        <v>2130</v>
      </c>
      <c r="J100" s="13" t="n">
        <v>0</v>
      </c>
      <c r="K100" s="13">
        <f>G100-J100</f>
        <v/>
      </c>
      <c r="L100" s="13">
        <f>K100*$L$1</f>
        <v/>
      </c>
      <c r="M100" s="15">
        <f>F100/K100</f>
        <v/>
      </c>
      <c r="N100" s="10">
        <f>IF(M100&lt;3.5,"SI",IF(M100&lt;4.5,IF(K100&gt;=100,"SI",IF(K100&gt;=40,"CUIDADO","NO")),IF(AND(M100&lt;5.5,F100&gt;=500,K100&gt;=80),"CUIDADO","NO")))</f>
        <v/>
      </c>
    </row>
    <row r="101" ht="15.75" customHeight="1" s="98">
      <c r="A101" s="5" t="inlineStr">
        <is>
          <t>Hevea</t>
        </is>
      </c>
      <c r="B101" s="5" t="inlineStr">
        <is>
          <t>set-rinconera-exterior-sofisticado-sofa-de-esquina-mesa-de-centro</t>
        </is>
      </c>
      <c r="C101" s="5" t="inlineStr">
        <is>
          <t>557-010048</t>
        </is>
      </c>
      <c r="D101" s="6" t="inlineStr">
        <is>
          <t>ADEL-30 SET SOFÁ RINCONERA / CORNER SOFA SET / SET CANAPÉ D’ANGLE</t>
        </is>
      </c>
      <c r="E101" s="7" t="n">
        <v>1736</v>
      </c>
      <c r="F101" s="7" t="n">
        <v>2607.44</v>
      </c>
      <c r="G101" s="7" t="n">
        <v>871.4400000000001</v>
      </c>
      <c r="H101" s="8" t="n">
        <v>50.2</v>
      </c>
      <c r="I101" s="7" t="n">
        <v>3155</v>
      </c>
      <c r="J101" s="7" t="n">
        <v>0</v>
      </c>
      <c r="K101" s="7">
        <f>G101-J101</f>
        <v/>
      </c>
      <c r="L101" s="7">
        <f>K101*$L$1</f>
        <v/>
      </c>
      <c r="M101" s="9">
        <f>F101/K101</f>
        <v/>
      </c>
      <c r="N101" s="10">
        <f>IF(M101&lt;3.5,"SI",IF(M101&lt;4.5,IF(K101&gt;=100,"SI",IF(K101&gt;=40,"CUIDADO","NO")),IF(AND(M101&lt;5.5,F101&gt;=500,K101&gt;=80),"CUIDADO","NO")))</f>
        <v/>
      </c>
    </row>
    <row r="102" ht="15.75" customHeight="1" s="98">
      <c r="A102" s="11" t="inlineStr">
        <is>
          <t>Hevea</t>
        </is>
      </c>
      <c r="B102" s="11" t="inlineStr">
        <is>
          <t>mesa-comedor-exterior-hpl-13590-cm</t>
        </is>
      </c>
      <c r="C102" s="11" t="inlineStr">
        <is>
          <t>557-010177</t>
        </is>
      </c>
      <c r="D102" s="12" t="inlineStr">
        <is>
          <t>CORCEGA-135x90 HPL MESA COMEDOR / HPL DINING TABLE 135x90 / TABLE À MANGER HPL 135x90</t>
        </is>
      </c>
      <c r="E102" s="13" t="n">
        <v>300</v>
      </c>
      <c r="F102" s="13" t="n">
        <v>450.41</v>
      </c>
      <c r="G102" s="13" t="n">
        <v>150.41</v>
      </c>
      <c r="H102" s="14" t="n">
        <v>50.14</v>
      </c>
      <c r="I102" s="13" t="n">
        <v>545</v>
      </c>
      <c r="J102" s="13" t="n">
        <v>50</v>
      </c>
      <c r="K102" s="13">
        <f>G102-J102</f>
        <v/>
      </c>
      <c r="L102" s="13">
        <f>K102*$L$1</f>
        <v/>
      </c>
      <c r="M102" s="15">
        <f>F102/K102</f>
        <v/>
      </c>
      <c r="N102" s="10">
        <f>IF(M102&lt;3.5,"SI",IF(M102&lt;4.5,IF(K102&gt;=100,"SI",IF(K102&gt;=40,"CUIDADO","NO")),IF(AND(M102&lt;5.5,F102&gt;=500,K102&gt;=80),"CUIDADO","NO")))</f>
        <v/>
      </c>
    </row>
    <row r="103" ht="15.75" customHeight="1" s="98">
      <c r="A103" s="5" t="inlineStr">
        <is>
          <t>Hevea</t>
        </is>
      </c>
      <c r="B103" s="5" t="inlineStr">
        <is>
          <t>mesa-comedor-exterior-hpl-13590-cm</t>
        </is>
      </c>
      <c r="C103" s="5" t="inlineStr">
        <is>
          <t>123-0017</t>
        </is>
      </c>
      <c r="D103" s="6" t="inlineStr">
        <is>
          <t>CORCEGA-160x90 HPL MESA COMEDOR / HPL DINING TABLE 160x90 / TABLE À MANGER HPL 160x90</t>
        </is>
      </c>
      <c r="E103" s="7" t="n">
        <v>328</v>
      </c>
      <c r="F103" s="7" t="n">
        <v>491.74</v>
      </c>
      <c r="G103" s="7" t="n">
        <v>163.74</v>
      </c>
      <c r="H103" s="17" t="n">
        <v>49.92</v>
      </c>
      <c r="I103" s="7" t="n">
        <v>595</v>
      </c>
      <c r="J103" s="7" t="n">
        <v>50</v>
      </c>
      <c r="K103" s="7">
        <f>G103-J103</f>
        <v/>
      </c>
      <c r="L103" s="7">
        <f>K103*$L$1</f>
        <v/>
      </c>
      <c r="M103" s="9">
        <f>F103/K103</f>
        <v/>
      </c>
      <c r="N103" s="10">
        <f>IF(M103&lt;3.5,"SI",IF(M103&lt;4.5,IF(K103&gt;=100,"SI",IF(K103&gt;=40,"CUIDADO","NO")),IF(AND(M103&lt;5.5,F103&gt;=500,K103&gt;=80),"CUIDADO","NO")))</f>
        <v/>
      </c>
    </row>
    <row r="104" ht="15.75" customHeight="1" s="98">
      <c r="A104" s="11" t="inlineStr">
        <is>
          <t>Hevea</t>
        </is>
      </c>
      <c r="B104" s="11" t="inlineStr">
        <is>
          <t>silla-exterior-estilo-estilizado</t>
        </is>
      </c>
      <c r="C104" s="11" t="inlineStr">
        <is>
          <t>123-0002</t>
        </is>
      </c>
      <c r="D104" s="12" t="inlineStr">
        <is>
          <t>SILLA JANEIRO 3 / JANEIRO CHAIR 3 / CHAISE JANEIRO 3</t>
        </is>
      </c>
      <c r="E104" s="13" t="n">
        <v>91</v>
      </c>
      <c r="F104" s="13" t="n">
        <v>136.36</v>
      </c>
      <c r="G104" s="13" t="n">
        <v>45.36</v>
      </c>
      <c r="H104" s="16" t="n">
        <v>49.85</v>
      </c>
      <c r="I104" s="13" t="n">
        <v>165</v>
      </c>
      <c r="J104" s="13" t="n">
        <v>0</v>
      </c>
      <c r="K104" s="13">
        <f>G104-J104</f>
        <v/>
      </c>
      <c r="L104" s="13">
        <f>K104*$L$1</f>
        <v/>
      </c>
      <c r="M104" s="15">
        <f>F104/K104</f>
        <v/>
      </c>
      <c r="N104" s="10">
        <f>IF(M104&lt;3.5,"SI",IF(M104&lt;4.5,IF(K104&gt;=100,"SI",IF(K104&gt;=40,"CUIDADO","NO")),IF(AND(M104&lt;5.5,F104&gt;=500,K104&gt;=80),"CUIDADO","NO")))</f>
        <v/>
      </c>
    </row>
    <row r="105" ht="15.75" customHeight="1" s="98">
      <c r="A105" s="5" t="inlineStr">
        <is>
          <t>Hevea</t>
        </is>
      </c>
      <c r="B105" s="5" t="inlineStr">
        <is>
          <t>silla-exterior-estilo-contemporaneo</t>
        </is>
      </c>
      <c r="C105" s="5" t="inlineStr">
        <is>
          <t>123-0001</t>
        </is>
      </c>
      <c r="D105" s="6" t="inlineStr">
        <is>
          <t>SILLA CÓRCEGA 3 / CORCEGA CHAIR 3 / CHAISE CORSE 3</t>
        </is>
      </c>
      <c r="E105" s="7" t="n">
        <v>80</v>
      </c>
      <c r="F105" s="7" t="n">
        <v>119.83</v>
      </c>
      <c r="G105" s="7" t="n">
        <v>39.83</v>
      </c>
      <c r="H105" s="17" t="n">
        <v>49.79</v>
      </c>
      <c r="I105" s="7" t="n">
        <v>145</v>
      </c>
      <c r="J105" s="7" t="n">
        <v>0</v>
      </c>
      <c r="K105" s="7">
        <f>G105-J105</f>
        <v/>
      </c>
      <c r="L105" s="7">
        <f>K105*$L$1</f>
        <v/>
      </c>
      <c r="M105" s="9">
        <f>F105/K105</f>
        <v/>
      </c>
      <c r="N105" s="10">
        <f>IF(M105&lt;3.5,"SI",IF(M105&lt;4.5,IF(K105&gt;=100,"SI",IF(K105&gt;=40,"CUIDADO","NO")),IF(AND(M105&lt;5.5,F105&gt;=500,K105&gt;=80),"CUIDADO","NO")))</f>
        <v/>
      </c>
    </row>
    <row r="106" ht="15.75" customHeight="1" s="98">
      <c r="A106" s="11" t="inlineStr">
        <is>
          <t>Hevea</t>
        </is>
      </c>
      <c r="B106" s="11" t="inlineStr">
        <is>
          <t>mesa-comedor-exterior-hpl-10090-cm</t>
        </is>
      </c>
      <c r="C106" s="11" t="inlineStr">
        <is>
          <t>123-0013</t>
        </is>
      </c>
      <c r="D106" s="12" t="inlineStr">
        <is>
          <t>MESA HPL MUNDRA Ø100 x 76H / HPL MUNDRA TABLE Ø100 x 76H / TABLE HPL MUNDRA Ø100 x 76H</t>
        </is>
      </c>
      <c r="E106" s="13" t="n">
        <v>264</v>
      </c>
      <c r="F106" s="13" t="n">
        <v>396.69</v>
      </c>
      <c r="G106" s="13" t="n">
        <v>132.69</v>
      </c>
      <c r="H106" s="14" t="n">
        <v>50.26</v>
      </c>
      <c r="I106" s="13" t="n">
        <v>480</v>
      </c>
      <c r="J106" s="13" t="n">
        <v>50</v>
      </c>
      <c r="K106" s="13">
        <f>G106-J106</f>
        <v/>
      </c>
      <c r="L106" s="13">
        <f>K106*$L$1</f>
        <v/>
      </c>
      <c r="M106" s="15">
        <f>F106/K106</f>
        <v/>
      </c>
      <c r="N106" s="10">
        <f>IF(M106&lt;3.5,"SI",IF(M106&lt;4.5,IF(K106&gt;=100,"SI",IF(K106&gt;=40,"CUIDADO","NO")),IF(AND(M106&lt;5.5,F106&gt;=500,K106&gt;=80),"CUIDADO","NO")))</f>
        <v/>
      </c>
    </row>
    <row r="107" ht="15.75" customHeight="1" s="98">
      <c r="A107" s="5" t="inlineStr">
        <is>
          <t>Hevea</t>
        </is>
      </c>
      <c r="B107" s="5" t="inlineStr">
        <is>
          <t>mesa-comedor-exterior-hpl-15090-cm</t>
        </is>
      </c>
      <c r="C107" s="5" t="inlineStr">
        <is>
          <t>557-011019</t>
        </is>
      </c>
      <c r="D107" s="6" t="inlineStr">
        <is>
          <t>HPL MUNDRA 150 MESA / HPL MUNDRA 150 TABLE / TABLE HPL MUNDRA 150</t>
        </is>
      </c>
      <c r="E107" s="7" t="n">
        <v>303</v>
      </c>
      <c r="F107" s="7" t="n">
        <v>454.55</v>
      </c>
      <c r="G107" s="7" t="n">
        <v>151.55</v>
      </c>
      <c r="H107" s="8" t="n">
        <v>50.02</v>
      </c>
      <c r="I107" s="7" t="n">
        <v>550</v>
      </c>
      <c r="J107" s="7" t="n">
        <v>50</v>
      </c>
      <c r="K107" s="7">
        <f>G107-J107</f>
        <v/>
      </c>
      <c r="L107" s="7">
        <f>K107*$L$1</f>
        <v/>
      </c>
      <c r="M107" s="9">
        <f>F107/K107</f>
        <v/>
      </c>
      <c r="N107" s="10">
        <f>IF(M107&lt;3.5,"SI",IF(M107&lt;4.5,IF(K107&gt;=100,"SI",IF(K107&gt;=40,"CUIDADO","NO")),IF(AND(M107&lt;5.5,F107&gt;=500,K107&gt;=80),"CUIDADO","NO")))</f>
        <v/>
      </c>
    </row>
    <row r="108" ht="15.75" customHeight="1" s="98">
      <c r="A108" s="11" t="inlineStr">
        <is>
          <t>Hevea</t>
        </is>
      </c>
      <c r="B108" s="11" t="inlineStr">
        <is>
          <t>sillon-exterior-estilo-versatil-58100-cm</t>
        </is>
      </c>
      <c r="C108" s="11" t="inlineStr">
        <is>
          <t>123-0011</t>
        </is>
      </c>
      <c r="D108" s="12" t="inlineStr">
        <is>
          <t>SILLÓN AVALON-3 / AVALON-3 ARMCHAIR / FAUTEUIL AVALON-3</t>
        </is>
      </c>
      <c r="E108" s="13" t="n">
        <v>53</v>
      </c>
      <c r="F108" s="13" t="n">
        <v>78.51000000000001</v>
      </c>
      <c r="G108" s="13" t="n">
        <v>25.51</v>
      </c>
      <c r="H108" s="16" t="n">
        <v>48.14</v>
      </c>
      <c r="I108" s="13" t="n">
        <v>95</v>
      </c>
      <c r="J108" s="13" t="n">
        <v>0</v>
      </c>
      <c r="K108" s="13">
        <f>G108-J108</f>
        <v/>
      </c>
      <c r="L108" s="13">
        <f>K108*$L$1</f>
        <v/>
      </c>
      <c r="M108" s="15">
        <f>F108/K108</f>
        <v/>
      </c>
      <c r="N108" s="10">
        <f>IF(M108&lt;3.5,"SI",IF(M108&lt;4.5,IF(K108&gt;=100,"SI",IF(K108&gt;=40,"CUIDADO","NO")),IF(AND(M108&lt;5.5,F108&gt;=500,K108&gt;=80),"CUIDADO","NO")))</f>
        <v/>
      </c>
    </row>
    <row r="109" ht="15.75" customHeight="1" s="98">
      <c r="A109" s="5" t="inlineStr">
        <is>
          <t>Hevea</t>
        </is>
      </c>
      <c r="B109" s="5" t="inlineStr">
        <is>
          <t>tumbona-de-exterior</t>
        </is>
      </c>
      <c r="C109" s="5" t="inlineStr">
        <is>
          <t>123-0038</t>
        </is>
      </c>
      <c r="D109" s="6" t="inlineStr">
        <is>
          <t>BRESCIA-12 TUMBONA / SUNBED / BAIN DE SOLEIL</t>
        </is>
      </c>
      <c r="E109" s="7" t="n">
        <v>88</v>
      </c>
      <c r="F109" s="7" t="n">
        <v>132.23</v>
      </c>
      <c r="G109" s="7" t="n">
        <v>44.23</v>
      </c>
      <c r="H109" s="8" t="n">
        <v>50.26</v>
      </c>
      <c r="I109" s="7" t="n">
        <v>160</v>
      </c>
      <c r="J109" s="7" t="n">
        <v>0</v>
      </c>
      <c r="K109" s="7">
        <f>G109-J109</f>
        <v/>
      </c>
      <c r="L109" s="7">
        <f>K109*$L$1</f>
        <v/>
      </c>
      <c r="M109" s="9">
        <f>F109/K109</f>
        <v/>
      </c>
      <c r="N109" s="10">
        <f>IF(M109&lt;3.5,"SI",IF(M109&lt;4.5,IF(K109&gt;=100,"SI",IF(K109&gt;=40,"CUIDADO","NO")),IF(AND(M109&lt;5.5,F109&gt;=500,K109&gt;=80),"CUIDADO","NO")))</f>
        <v/>
      </c>
    </row>
    <row r="110" ht="15.75" customHeight="1" s="98">
      <c r="A110" s="11" t="inlineStr">
        <is>
          <t>Hevea</t>
        </is>
      </c>
      <c r="B110" s="11" t="inlineStr">
        <is>
          <t>parasol-para-terraza-300-cm</t>
        </is>
      </c>
      <c r="C110" s="11" t="inlineStr">
        <is>
          <t>928-0016</t>
        </is>
      </c>
      <c r="D110" s="12" t="inlineStr">
        <is>
          <t>PARASOL VIENA 300 / VIENNA PARASOL 300 / PARASOL VIENNE 300</t>
        </is>
      </c>
      <c r="E110" s="13" t="n">
        <v>165</v>
      </c>
      <c r="F110" s="13" t="n">
        <v>247.93</v>
      </c>
      <c r="G110" s="13" t="n">
        <v>82.93000000000001</v>
      </c>
      <c r="H110" s="14" t="n">
        <v>50.26</v>
      </c>
      <c r="I110" s="13" t="n">
        <v>300</v>
      </c>
      <c r="J110" s="13" t="n">
        <v>0</v>
      </c>
      <c r="K110" s="13">
        <f>G110-J110</f>
        <v/>
      </c>
      <c r="L110" s="13">
        <f>K110*$L$1</f>
        <v/>
      </c>
      <c r="M110" s="15">
        <f>F110/K110</f>
        <v/>
      </c>
      <c r="N110" s="10">
        <f>IF(M110&lt;3.5,"SI",IF(M110&lt;4.5,IF(K110&gt;=100,"SI",IF(K110&gt;=40,"CUIDADO","NO")),IF(AND(M110&lt;5.5,F110&gt;=500,K110&gt;=80),"CUIDADO","NO")))</f>
        <v/>
      </c>
    </row>
    <row r="111" ht="15.75" customHeight="1" s="98">
      <c r="A111" s="5" t="inlineStr">
        <is>
          <t>Hevea</t>
        </is>
      </c>
      <c r="B111" s="5" t="inlineStr">
        <is>
          <t>parasol-para-terraza-350-cm</t>
        </is>
      </c>
      <c r="C111" s="5" t="inlineStr">
        <is>
          <t>557-1682</t>
        </is>
      </c>
      <c r="D111" s="6" t="inlineStr">
        <is>
          <t>PARASOL SAMSON Ø350 / SAMSON PARASOL / PARASOL SAMSON</t>
        </is>
      </c>
      <c r="E111" s="7" t="n">
        <v>490</v>
      </c>
      <c r="F111" s="7" t="n">
        <v>735.54</v>
      </c>
      <c r="G111" s="7" t="n">
        <v>245.54</v>
      </c>
      <c r="H111" s="8" t="n">
        <v>50.11</v>
      </c>
      <c r="I111" s="7" t="n">
        <v>890</v>
      </c>
      <c r="J111" s="7" t="n">
        <v>50</v>
      </c>
      <c r="K111" s="7">
        <f>G111-J111</f>
        <v/>
      </c>
      <c r="L111" s="7">
        <f>K111*$L$1</f>
        <v/>
      </c>
      <c r="M111" s="9">
        <f>F111/K111</f>
        <v/>
      </c>
      <c r="N111" s="10">
        <f>IF(M111&lt;3.5,"SI",IF(M111&lt;4.5,IF(K111&gt;=100,"SI",IF(K111&gt;=40,"CUIDADO","NO")),IF(AND(M111&lt;5.5,F111&gt;=500,K111&gt;=80),"CUIDADO","NO")))</f>
        <v/>
      </c>
    </row>
    <row r="112" ht="15.75" customHeight="1" s="98">
      <c r="A112" s="11" t="inlineStr">
        <is>
          <t>Hevea</t>
        </is>
      </c>
      <c r="B112" s="11" t="inlineStr">
        <is>
          <t>parasol-para-terraza-300-cm-2</t>
        </is>
      </c>
      <c r="C112" s="11" t="inlineStr">
        <is>
          <t>928-0010</t>
        </is>
      </c>
      <c r="D112" s="12" t="inlineStr">
        <is>
          <t>PARASOL CARACAS 300 / CARACAS PARASOL 300 / PARASOL CARACAS 300</t>
        </is>
      </c>
      <c r="E112" s="13" t="n">
        <v>75</v>
      </c>
      <c r="F112" s="13" t="n">
        <v>111.57</v>
      </c>
      <c r="G112" s="13" t="n">
        <v>36.57</v>
      </c>
      <c r="H112" s="16" t="n">
        <v>48.76</v>
      </c>
      <c r="I112" s="13" t="n">
        <v>135</v>
      </c>
      <c r="J112" s="13" t="n">
        <v>0</v>
      </c>
      <c r="K112" s="13">
        <f>G112-J112</f>
        <v/>
      </c>
      <c r="L112" s="13">
        <f>K112*$L$1</f>
        <v/>
      </c>
      <c r="M112" s="15">
        <f>F112/K112</f>
        <v/>
      </c>
      <c r="N112" s="10">
        <f>IF(M112&lt;3.5,"SI",IF(M112&lt;4.5,IF(K112&gt;=100,"SI",IF(K112&gt;=40,"CUIDADO","NO")),IF(AND(M112&lt;5.5,F112&gt;=500,K112&gt;=80),"CUIDADO","NO")))</f>
        <v/>
      </c>
    </row>
    <row r="113" ht="15.75" customHeight="1" s="98">
      <c r="A113" s="5" t="inlineStr">
        <is>
          <t>Hevea</t>
        </is>
      </c>
      <c r="B113" s="5" t="inlineStr">
        <is>
          <t>base-de-parasol-25-kg</t>
        </is>
      </c>
      <c r="C113" s="5" t="inlineStr">
        <is>
          <t>921-0026</t>
        </is>
      </c>
      <c r="D113" s="6" t="inlineStr">
        <is>
          <t>BASE DE PARASOL 25KG</t>
        </is>
      </c>
      <c r="E113" s="7" t="n">
        <v>36</v>
      </c>
      <c r="F113" s="7" t="n">
        <v>53.72</v>
      </c>
      <c r="G113" s="7" t="n">
        <v>17.72</v>
      </c>
      <c r="H113" s="17" t="n">
        <v>49.22</v>
      </c>
      <c r="I113" s="7" t="n">
        <v>65</v>
      </c>
      <c r="J113" s="7" t="n">
        <v>0</v>
      </c>
      <c r="K113" s="7">
        <f>G113-J113</f>
        <v/>
      </c>
      <c r="L113" s="7">
        <f>K113*$L$1</f>
        <v/>
      </c>
      <c r="M113" s="9">
        <f>F113/K113</f>
        <v/>
      </c>
      <c r="N113" s="10">
        <f>IF(M113&lt;3.5,"SI",IF(M113&lt;4.5,IF(K113&gt;=100,"SI",IF(K113&gt;=40,"CUIDADO","NO")),IF(AND(M113&lt;5.5,F113&gt;=500,K113&gt;=80),"CUIDADO","NO")))</f>
        <v/>
      </c>
    </row>
    <row r="114" ht="15.75" customHeight="1" s="98">
      <c r="A114" s="11" t="inlineStr">
        <is>
          <t>Hevea</t>
        </is>
      </c>
      <c r="B114" s="11" t="inlineStr">
        <is>
          <t>set-losas-cemento-para-base-de-parasol</t>
        </is>
      </c>
      <c r="C114" s="11" t="inlineStr">
        <is>
          <t>921-0009</t>
        </is>
      </c>
      <c r="D114" s="12" t="inlineStr">
        <is>
          <t>JUEGO 4 LOSAS CEMENTO BASE PARASOL GRANITE</t>
        </is>
      </c>
      <c r="E114" s="13" t="n">
        <v>99</v>
      </c>
      <c r="F114" s="13" t="n">
        <v>148.76</v>
      </c>
      <c r="G114" s="13" t="n">
        <v>49.76</v>
      </c>
      <c r="H114" s="14" t="n">
        <v>50.26</v>
      </c>
      <c r="I114" s="13" t="n">
        <v>180</v>
      </c>
      <c r="J114" s="13" t="n">
        <v>0</v>
      </c>
      <c r="K114" s="13">
        <f>G114-J114</f>
        <v/>
      </c>
      <c r="L114" s="13">
        <f>K114*$L$1</f>
        <v/>
      </c>
      <c r="M114" s="15">
        <f>F114/K114</f>
        <v/>
      </c>
      <c r="N114" s="10">
        <f>IF(M114&lt;3.5,"SI",IF(M114&lt;4.5,IF(K114&gt;=100,"SI",IF(K114&gt;=40,"CUIDADO","NO")),IF(AND(M114&lt;5.5,F114&gt;=500,K114&gt;=80),"CUIDADO","NO")))</f>
        <v/>
      </c>
    </row>
    <row r="115" ht="15.75" customHeight="1" s="98">
      <c r="A115" s="5" t="inlineStr">
        <is>
          <t>Hevea</t>
        </is>
      </c>
      <c r="B115" s="5" t="inlineStr">
        <is>
          <t>balancin-jardin-exterior-148194-cm</t>
        </is>
      </c>
      <c r="C115" s="5" t="inlineStr">
        <is>
          <t>557-010143</t>
        </is>
      </c>
      <c r="D115" s="6" t="inlineStr">
        <is>
          <t>BALANCÍN SIDNEY</t>
        </is>
      </c>
      <c r="E115" s="7" t="n">
        <v>820</v>
      </c>
      <c r="F115" s="7" t="n">
        <v>1231.4</v>
      </c>
      <c r="G115" s="7" t="n">
        <v>411.4</v>
      </c>
      <c r="H115" s="8" t="n">
        <v>50.17</v>
      </c>
      <c r="I115" s="7" t="n">
        <v>1490</v>
      </c>
      <c r="J115" s="7" t="n">
        <v>0</v>
      </c>
      <c r="K115" s="7">
        <f>G115-J115</f>
        <v/>
      </c>
      <c r="L115" s="7">
        <f>K115*$L$1</f>
        <v/>
      </c>
      <c r="M115" s="9">
        <f>F115/K115</f>
        <v/>
      </c>
      <c r="N115" s="10">
        <f>IF(M115&lt;3.5,"SI",IF(M115&lt;4.5,IF(K115&gt;=100,"SI",IF(K115&gt;=40,"CUIDADO","NO")),IF(AND(M115&lt;5.5,F115&gt;=500,K115&gt;=80),"CUIDADO","NO")))</f>
        <v/>
      </c>
    </row>
    <row r="116" ht="15.75" customHeight="1" s="98">
      <c r="A116" s="11" t="inlineStr">
        <is>
          <t>Hevea</t>
        </is>
      </c>
      <c r="B116" s="11" t="inlineStr">
        <is>
          <t>banco-jardin-con-mesa-integrada-220-cm</t>
        </is>
      </c>
      <c r="C116" s="11" t="inlineStr">
        <is>
          <t>557-010947</t>
        </is>
      </c>
      <c r="D116" s="12" t="inlineStr">
        <is>
          <t>YULIEN BANCO CON MESA / YULIEN BENCH WITH TABLE / BANC YULIEN AVEC TABLE</t>
        </is>
      </c>
      <c r="E116" s="13" t="n">
        <v>1318</v>
      </c>
      <c r="F116" s="13" t="n">
        <v>1979.34</v>
      </c>
      <c r="G116" s="13" t="n">
        <v>661.34</v>
      </c>
      <c r="H116" s="14" t="n">
        <v>50.18</v>
      </c>
      <c r="I116" s="13" t="n">
        <v>2395</v>
      </c>
      <c r="J116" s="13" t="n">
        <v>0</v>
      </c>
      <c r="K116" s="13">
        <f>G116-J116</f>
        <v/>
      </c>
      <c r="L116" s="13">
        <f>K116*$L$1</f>
        <v/>
      </c>
      <c r="M116" s="15">
        <f>F116/K116</f>
        <v/>
      </c>
      <c r="N116" s="10">
        <f>IF(M116&lt;3.5,"SI",IF(M116&lt;4.5,IF(K116&gt;=100,"SI",IF(K116&gt;=40,"CUIDADO","NO")),IF(AND(M116&lt;5.5,F116&gt;=500,K116&gt;=80),"CUIDADO","NO")))</f>
        <v/>
      </c>
    </row>
    <row r="117" ht="15.75" customHeight="1" s="98">
      <c r="A117" s="5" t="inlineStr">
        <is>
          <t>Hevea</t>
        </is>
      </c>
      <c r="B117" s="5" t="inlineStr">
        <is>
          <t>banco-de-exterior-150-cm</t>
        </is>
      </c>
      <c r="C117" s="5" t="inlineStr">
        <is>
          <t>557-010016</t>
        </is>
      </c>
      <c r="D117" s="6" t="inlineStr">
        <is>
          <t>GULLIVER BANCO / GULLIVER BENCH / BANC GULLIVER</t>
        </is>
      </c>
      <c r="E117" s="7" t="n">
        <v>193</v>
      </c>
      <c r="F117" s="7" t="n">
        <v>289.26</v>
      </c>
      <c r="G117" s="7" t="n">
        <v>96.26000000000001</v>
      </c>
      <c r="H117" s="17" t="n">
        <v>49.87</v>
      </c>
      <c r="I117" s="7" t="n">
        <v>350</v>
      </c>
      <c r="J117" s="7" t="n">
        <v>50</v>
      </c>
      <c r="K117" s="7">
        <f>G117-J117</f>
        <v/>
      </c>
      <c r="L117" s="7">
        <f>K117*$L$1</f>
        <v/>
      </c>
      <c r="M117" s="9">
        <f>F117/K117</f>
        <v/>
      </c>
      <c r="N117" s="10">
        <f>IF(M117&lt;3.5,"SI",IF(M117&lt;4.5,IF(K117&gt;=100,"SI",IF(K117&gt;=40,"CUIDADO","NO")),IF(AND(M117&lt;5.5,F117&gt;=500,K117&gt;=80),"CUIDADO","NO")))</f>
        <v/>
      </c>
    </row>
    <row r="118" ht="15.75" customHeight="1" s="98">
      <c r="A118" s="11" t="inlineStr">
        <is>
          <t>Hevea</t>
        </is>
      </c>
      <c r="B118" s="11" t="inlineStr">
        <is>
          <t>banco-de-exterior-108-cm</t>
        </is>
      </c>
      <c r="C118" s="11" t="inlineStr">
        <is>
          <t>557-011350</t>
        </is>
      </c>
      <c r="D118" s="12" t="inlineStr">
        <is>
          <t>SEVILLA BANCO / SEVILLA BENCH / BANC SEVILLA</t>
        </is>
      </c>
      <c r="E118" s="13" t="n">
        <v>174</v>
      </c>
      <c r="F118" s="13" t="n">
        <v>260.33</v>
      </c>
      <c r="G118" s="13" t="n">
        <v>86.33</v>
      </c>
      <c r="H118" s="16" t="n">
        <v>49.62</v>
      </c>
      <c r="I118" s="13" t="n">
        <v>315</v>
      </c>
      <c r="J118" s="13" t="n">
        <v>50</v>
      </c>
      <c r="K118" s="13">
        <f>G118-J118</f>
        <v/>
      </c>
      <c r="L118" s="13">
        <f>K118*$L$1</f>
        <v/>
      </c>
      <c r="M118" s="15">
        <f>F118/K118</f>
        <v/>
      </c>
      <c r="N118" s="10">
        <f>IF(M118&lt;3.5,"SI",IF(M118&lt;4.5,IF(K118&gt;=100,"SI",IF(K118&gt;=40,"CUIDADO","NO")),IF(AND(M118&lt;5.5,F118&gt;=500,K118&gt;=80),"CUIDADO","NO")))</f>
        <v/>
      </c>
    </row>
    <row r="119" ht="15.75" customHeight="1" s="98">
      <c r="A119" s="5" t="inlineStr">
        <is>
          <t>Balliu</t>
        </is>
      </c>
      <c r="B119" s="5" t="inlineStr">
        <is>
          <t>balliu-tumbona-de-exterior-resina-923110d9</t>
        </is>
      </c>
      <c r="C119" s="5" t="inlineStr">
        <is>
          <t>BALLIU_EVA_PRO_TUMBONA_CHASIS_BLANCO_TA_923110D9</t>
        </is>
      </c>
      <c r="D119" s="6" t="inlineStr">
        <is>
          <t>Tumbona de exterior resina</t>
        </is>
      </c>
      <c r="E119" s="7" t="n">
        <v>112.55</v>
      </c>
      <c r="F119" s="7" t="n">
        <v>230.73</v>
      </c>
      <c r="G119" s="7" t="n">
        <v>64.09999999999999</v>
      </c>
      <c r="H119" s="8" t="n">
        <v>56.95</v>
      </c>
      <c r="I119" s="7" t="n">
        <v>230.73</v>
      </c>
      <c r="J119" s="7" t="n">
        <v>0</v>
      </c>
      <c r="K119" s="7">
        <f>G119-J119</f>
        <v/>
      </c>
      <c r="L119" s="7">
        <f>K119*$L$1</f>
        <v/>
      </c>
      <c r="M119" s="9">
        <f>F119/K119</f>
        <v/>
      </c>
      <c r="N119" s="10">
        <f>IF(M119&lt;3.5,"SI",IF(M119&lt;4.5,IF(K119&gt;=100,"SI",IF(K119&gt;=40,"CUIDADO","NO")),IF(AND(M119&lt;5.5,F119&gt;=500,K119&gt;=80),"CUIDADO","NO")))</f>
        <v/>
      </c>
    </row>
    <row r="120" ht="15.75" customHeight="1" s="98">
      <c r="A120" s="11" t="inlineStr">
        <is>
          <t>Balliu</t>
        </is>
      </c>
      <c r="B120" s="11" t="inlineStr">
        <is>
          <t>balliu-tumbona-de-exterior-resina-73-cm-b19af1ea</t>
        </is>
      </c>
      <c r="C120" s="11" t="inlineStr">
        <is>
          <t>BALLIU_EVA_PRO_TUMBONA_CHASIS_BLANCO_TE_B19AF1EA</t>
        </is>
      </c>
      <c r="D120" s="12" t="inlineStr">
        <is>
          <t>Tumbona de exterior resina</t>
        </is>
      </c>
      <c r="E120" s="13" t="n">
        <v>117.05</v>
      </c>
      <c r="F120" s="13" t="n">
        <v>239.95</v>
      </c>
      <c r="G120" s="13" t="n">
        <v>66.66</v>
      </c>
      <c r="H120" s="14" t="n">
        <v>56.95</v>
      </c>
      <c r="I120" s="13" t="n">
        <v>239.95</v>
      </c>
      <c r="J120" s="13" t="n">
        <v>0</v>
      </c>
      <c r="K120" s="13">
        <f>G120-J120</f>
        <v/>
      </c>
      <c r="L120" s="13">
        <f>K120*$L$1</f>
        <v/>
      </c>
      <c r="M120" s="15">
        <f>F120/K120</f>
        <v/>
      </c>
      <c r="N120" s="10">
        <f>IF(M120&lt;3.5,"SI",IF(M120&lt;4.5,IF(K120&gt;=100,"SI",IF(K120&gt;=40,"CUIDADO","NO")),IF(AND(M120&lt;5.5,F120&gt;=500,K120&gt;=80),"CUIDADO","NO")))</f>
        <v/>
      </c>
    </row>
    <row r="121" ht="15.75" customHeight="1" s="98">
      <c r="A121" s="5" t="inlineStr">
        <is>
          <t>Balliu</t>
        </is>
      </c>
      <c r="B121" s="5" t="inlineStr">
        <is>
          <t>balliu-tumbona-de-exterior-resina-ddeeef3f</t>
        </is>
      </c>
      <c r="C121" s="5" t="inlineStr">
        <is>
          <t>BALLIU_EVA_PRO_TUMBONA_CHASIS_PRESTIGE__DDEEEF3F</t>
        </is>
      </c>
      <c r="D121" s="6" t="inlineStr">
        <is>
          <t>Tumbona de exterior resina</t>
        </is>
      </c>
      <c r="E121" s="7" t="n">
        <v>124.07</v>
      </c>
      <c r="F121" s="7" t="n">
        <v>254.34</v>
      </c>
      <c r="G121" s="7" t="n">
        <v>70.66</v>
      </c>
      <c r="H121" s="8" t="n">
        <v>56.95</v>
      </c>
      <c r="I121" s="7" t="n">
        <v>254.34</v>
      </c>
      <c r="J121" s="7" t="n">
        <v>0</v>
      </c>
      <c r="K121" s="7">
        <f>G121-J121</f>
        <v/>
      </c>
      <c r="L121" s="7">
        <f>K121*$L$1</f>
        <v/>
      </c>
      <c r="M121" s="9">
        <f>F121/K121</f>
        <v/>
      </c>
      <c r="N121" s="10">
        <f>IF(M121&lt;3.5,"SI",IF(M121&lt;4.5,IF(K121&gt;=100,"SI",IF(K121&gt;=40,"CUIDADO","NO")),IF(AND(M121&lt;5.5,F121&gt;=500,K121&gt;=80),"CUIDADO","NO")))</f>
        <v/>
      </c>
    </row>
    <row r="122" ht="15.75" customHeight="1" s="98">
      <c r="A122" s="11" t="inlineStr">
        <is>
          <t>Balliu</t>
        </is>
      </c>
      <c r="B122" s="11" t="inlineStr">
        <is>
          <t>balliu-tumbona-de-exterior-resina-75-cm-009e68e4</t>
        </is>
      </c>
      <c r="C122" s="11" t="inlineStr">
        <is>
          <t>BALLIU_CARMEN_TUMBONA_CHASIS_BLANCO_TA_ADD04DFC</t>
        </is>
      </c>
      <c r="D122" s="12" t="inlineStr">
        <is>
          <t>Tumbona de exterior resina | 75 cm</t>
        </is>
      </c>
      <c r="E122" s="13" t="n">
        <v>107.1</v>
      </c>
      <c r="F122" s="13" t="n">
        <v>219.56</v>
      </c>
      <c r="G122" s="13" t="n">
        <v>60.99</v>
      </c>
      <c r="H122" s="14" t="n">
        <v>56.95</v>
      </c>
      <c r="I122" s="13" t="n">
        <v>219.56</v>
      </c>
      <c r="J122" s="13" t="n">
        <v>0</v>
      </c>
      <c r="K122" s="13">
        <f>G122-J122</f>
        <v/>
      </c>
      <c r="L122" s="13">
        <f>K122*$L$1</f>
        <v/>
      </c>
      <c r="M122" s="15">
        <f>F122/K122</f>
        <v/>
      </c>
      <c r="N122" s="10">
        <f>IF(M122&lt;3.5,"SI",IF(M122&lt;4.5,IF(K122&gt;=100,"SI",IF(K122&gt;=40,"CUIDADO","NO")),IF(AND(M122&lt;5.5,F122&gt;=500,K122&gt;=80),"CUIDADO","NO")))</f>
        <v/>
      </c>
    </row>
    <row r="123" ht="15.75" customHeight="1" s="98">
      <c r="A123" s="5" t="inlineStr">
        <is>
          <t>Balliu</t>
        </is>
      </c>
      <c r="B123" s="5" t="inlineStr">
        <is>
          <t>balliu-tumbona-de-exterior-resina-75-cm-009e68e4</t>
        </is>
      </c>
      <c r="C123" s="5" t="inlineStr">
        <is>
          <t>BALLIU_CARMEN_TUMBONA_CHASIS_PRESTIGE__3B908F70</t>
        </is>
      </c>
      <c r="D123" s="6" t="inlineStr">
        <is>
          <t>Tumbona de exterior resina | 75 cm</t>
        </is>
      </c>
      <c r="E123" s="7" t="n">
        <v>112.55</v>
      </c>
      <c r="F123" s="7" t="n">
        <v>230.73</v>
      </c>
      <c r="G123" s="7" t="n">
        <v>64.09999999999999</v>
      </c>
      <c r="H123" s="8" t="n">
        <v>56.95</v>
      </c>
      <c r="I123" s="7" t="n">
        <v>230.73</v>
      </c>
      <c r="J123" s="7" t="n">
        <v>0</v>
      </c>
      <c r="K123" s="7">
        <f>G123-J123</f>
        <v/>
      </c>
      <c r="L123" s="7">
        <f>K123*$L$1</f>
        <v/>
      </c>
      <c r="M123" s="9">
        <f>F123/K123</f>
        <v/>
      </c>
      <c r="N123" s="10">
        <f>IF(M123&lt;3.5,"SI",IF(M123&lt;4.5,IF(K123&gt;=100,"SI",IF(K123&gt;=40,"CUIDADO","NO")),IF(AND(M123&lt;5.5,F123&gt;=500,K123&gt;=80),"CUIDADO","NO")))</f>
        <v/>
      </c>
    </row>
    <row r="124" ht="15.75" customHeight="1" s="98">
      <c r="A124" s="11" t="inlineStr">
        <is>
          <t>Balliu</t>
        </is>
      </c>
      <c r="B124" s="11" t="inlineStr">
        <is>
          <t>balliu-tumbona-de-exterior-resina-75-cm-009e68e4</t>
        </is>
      </c>
      <c r="C124" s="11" t="inlineStr">
        <is>
          <t>BALLIU_CARMEN_TUMBONA_CHASIS_BLANCO_TE_009E68E4</t>
        </is>
      </c>
      <c r="D124" s="12" t="inlineStr">
        <is>
          <t>Tumbona de exterior resina | 75 cm</t>
        </is>
      </c>
      <c r="E124" s="13" t="n">
        <v>93.89</v>
      </c>
      <c r="F124" s="13" t="n">
        <v>192.47</v>
      </c>
      <c r="G124" s="13" t="n">
        <v>53.47</v>
      </c>
      <c r="H124" s="14" t="n">
        <v>56.95</v>
      </c>
      <c r="I124" s="13" t="n">
        <v>192.47</v>
      </c>
      <c r="J124" s="13" t="n">
        <v>0</v>
      </c>
      <c r="K124" s="13">
        <f>G124-J124</f>
        <v/>
      </c>
      <c r="L124" s="13">
        <f>K124*$L$1</f>
        <v/>
      </c>
      <c r="M124" s="15">
        <f>F124/K124</f>
        <v/>
      </c>
      <c r="N124" s="10">
        <f>IF(M124&lt;3.5,"SI",IF(M124&lt;4.5,IF(K124&gt;=100,"SI",IF(K124&gt;=40,"CUIDADO","NO")),IF(AND(M124&lt;5.5,F124&gt;=500,K124&gt;=80),"CUIDADO","NO")))</f>
        <v/>
      </c>
    </row>
    <row r="125" ht="15.75" customHeight="1" s="98">
      <c r="A125" s="5" t="inlineStr">
        <is>
          <t>Balliu</t>
        </is>
      </c>
      <c r="B125" s="5" t="inlineStr">
        <is>
          <t>balliu-tumbona-de-exterior-resina-75-cm-009e68e4</t>
        </is>
      </c>
      <c r="C125" s="5" t="inlineStr">
        <is>
          <t>BALLIU_CARMEN_TUMBONA_CHASIS_PRESTIGE__16A6D4DB</t>
        </is>
      </c>
      <c r="D125" s="6" t="inlineStr">
        <is>
          <t>Tumbona de exterior resina | 75 cm</t>
        </is>
      </c>
      <c r="E125" s="7" t="n">
        <v>96.47</v>
      </c>
      <c r="F125" s="7" t="n">
        <v>197.76</v>
      </c>
      <c r="G125" s="7" t="n">
        <v>54.94</v>
      </c>
      <c r="H125" s="8" t="n">
        <v>56.95</v>
      </c>
      <c r="I125" s="7" t="n">
        <v>197.76</v>
      </c>
      <c r="J125" s="7" t="n">
        <v>0</v>
      </c>
      <c r="K125" s="7">
        <f>G125-J125</f>
        <v/>
      </c>
      <c r="L125" s="7">
        <f>K125*$L$1</f>
        <v/>
      </c>
      <c r="M125" s="9">
        <f>F125/K125</f>
        <v/>
      </c>
      <c r="N125" s="10">
        <f>IF(M125&lt;3.5,"SI",IF(M125&lt;4.5,IF(K125&gt;=100,"SI",IF(K125&gt;=40,"CUIDADO","NO")),IF(AND(M125&lt;5.5,F125&gt;=500,K125&gt;=80),"CUIDADO","NO")))</f>
        <v/>
      </c>
    </row>
    <row r="126" ht="15.75" customHeight="1" s="98">
      <c r="A126" s="11" t="inlineStr">
        <is>
          <t>Balliu</t>
        </is>
      </c>
      <c r="B126" s="11" t="inlineStr">
        <is>
          <t>balliu-tumbona-de-exterior-resina-75-cm-aca076ae</t>
        </is>
      </c>
      <c r="C126" s="11" t="inlineStr">
        <is>
          <t>BALLIU_LOLA_TUMBONA_CHASIS_BLANCO_TA_3D8CA52F</t>
        </is>
      </c>
      <c r="D126" s="12" t="inlineStr">
        <is>
          <t>Tumbona de exterior resina | 75 cm</t>
        </is>
      </c>
      <c r="E126" s="13" t="n">
        <v>106.97</v>
      </c>
      <c r="F126" s="13" t="n">
        <v>219.29</v>
      </c>
      <c r="G126" s="13" t="n">
        <v>60.92</v>
      </c>
      <c r="H126" s="14" t="n">
        <v>56.95</v>
      </c>
      <c r="I126" s="13" t="n">
        <v>219.29</v>
      </c>
      <c r="J126" s="13" t="n">
        <v>0</v>
      </c>
      <c r="K126" s="13">
        <f>G126-J126</f>
        <v/>
      </c>
      <c r="L126" s="13">
        <f>K126*$L$1</f>
        <v/>
      </c>
      <c r="M126" s="15">
        <f>F126/K126</f>
        <v/>
      </c>
      <c r="N126" s="10">
        <f>IF(M126&lt;3.5,"SI",IF(M126&lt;4.5,IF(K126&gt;=100,"SI",IF(K126&gt;=40,"CUIDADO","NO")),IF(AND(M126&lt;5.5,F126&gt;=500,K126&gt;=80),"CUIDADO","NO")))</f>
        <v/>
      </c>
    </row>
    <row r="127" ht="15.75" customHeight="1" s="98">
      <c r="A127" s="5" t="inlineStr">
        <is>
          <t>Balliu</t>
        </is>
      </c>
      <c r="B127" s="5" t="inlineStr">
        <is>
          <t>balliu-tumbona-de-exterior-resina-75-cm-aca076ae</t>
        </is>
      </c>
      <c r="C127" s="5" t="inlineStr">
        <is>
          <t>BALLIU_LOLA_TUMBONA_CHASIS_PRESTIGE__9F313C12</t>
        </is>
      </c>
      <c r="D127" s="6" t="inlineStr">
        <is>
          <t>Tumbona de exterior resina | 75 cm</t>
        </is>
      </c>
      <c r="E127" s="7" t="n">
        <v>108.81</v>
      </c>
      <c r="F127" s="7" t="n">
        <v>223.06</v>
      </c>
      <c r="G127" s="7" t="n">
        <v>61.97</v>
      </c>
      <c r="H127" s="8" t="n">
        <v>56.95</v>
      </c>
      <c r="I127" s="7" t="n">
        <v>223.06</v>
      </c>
      <c r="J127" s="7" t="n">
        <v>0</v>
      </c>
      <c r="K127" s="7">
        <f>G127-J127</f>
        <v/>
      </c>
      <c r="L127" s="7">
        <f>K127*$L$1</f>
        <v/>
      </c>
      <c r="M127" s="9">
        <f>F127/K127</f>
        <v/>
      </c>
      <c r="N127" s="10">
        <f>IF(M127&lt;3.5,"SI",IF(M127&lt;4.5,IF(K127&gt;=100,"SI",IF(K127&gt;=40,"CUIDADO","NO")),IF(AND(M127&lt;5.5,F127&gt;=500,K127&gt;=80),"CUIDADO","NO")))</f>
        <v/>
      </c>
    </row>
    <row r="128" ht="15.75" customHeight="1" s="98">
      <c r="A128" s="11" t="inlineStr">
        <is>
          <t>Balliu</t>
        </is>
      </c>
      <c r="B128" s="11" t="inlineStr">
        <is>
          <t>balliu-tumbona-de-exterior-resina-75-cm-aca076ae</t>
        </is>
      </c>
      <c r="C128" s="11" t="inlineStr">
        <is>
          <t>BALLIU_LOLA_TUMBONA_CHASIS_BLANCO_TE_ACA076AE</t>
        </is>
      </c>
      <c r="D128" s="12" t="inlineStr">
        <is>
          <t>Tumbona de exterior resina | 75 cm</t>
        </is>
      </c>
      <c r="E128" s="13" t="n">
        <v>93.34</v>
      </c>
      <c r="F128" s="13" t="n">
        <v>191.35</v>
      </c>
      <c r="G128" s="13" t="n">
        <v>53.16</v>
      </c>
      <c r="H128" s="14" t="n">
        <v>56.95</v>
      </c>
      <c r="I128" s="13" t="n">
        <v>191.35</v>
      </c>
      <c r="J128" s="13" t="n">
        <v>0</v>
      </c>
      <c r="K128" s="13">
        <f>G128-J128</f>
        <v/>
      </c>
      <c r="L128" s="13">
        <f>K128*$L$1</f>
        <v/>
      </c>
      <c r="M128" s="15">
        <f>F128/K128</f>
        <v/>
      </c>
      <c r="N128" s="10">
        <f>IF(M128&lt;3.5,"SI",IF(M128&lt;4.5,IF(K128&gt;=100,"SI",IF(K128&gt;=40,"CUIDADO","NO")),IF(AND(M128&lt;5.5,F128&gt;=500,K128&gt;=80),"CUIDADO","NO")))</f>
        <v/>
      </c>
    </row>
    <row r="129" ht="15.75" customHeight="1" s="98">
      <c r="A129" s="5" t="inlineStr">
        <is>
          <t>Balliu</t>
        </is>
      </c>
      <c r="B129" s="5" t="inlineStr">
        <is>
          <t>balliu-tumbona-de-exterior-resina-75-cm-aca076ae</t>
        </is>
      </c>
      <c r="C129" s="5" t="inlineStr">
        <is>
          <t>BALLIU_LOLA_TUMBONA_CHASIS_PRESTIGE__B52B3A7F</t>
        </is>
      </c>
      <c r="D129" s="6" t="inlineStr">
        <is>
          <t>Tumbona de exterior resina | 75 cm</t>
        </is>
      </c>
      <c r="E129" s="7" t="n">
        <v>96.2</v>
      </c>
      <c r="F129" s="7" t="n">
        <v>197.21</v>
      </c>
      <c r="G129" s="7" t="n">
        <v>54.79</v>
      </c>
      <c r="H129" s="8" t="n">
        <v>56.95</v>
      </c>
      <c r="I129" s="7" t="n">
        <v>197.21</v>
      </c>
      <c r="J129" s="7" t="n">
        <v>0</v>
      </c>
      <c r="K129" s="7">
        <f>G129-J129</f>
        <v/>
      </c>
      <c r="L129" s="7">
        <f>K129*$L$1</f>
        <v/>
      </c>
      <c r="M129" s="9">
        <f>F129/K129</f>
        <v/>
      </c>
      <c r="N129" s="10">
        <f>IF(M129&lt;3.5,"SI",IF(M129&lt;4.5,IF(K129&gt;=100,"SI",IF(K129&gt;=40,"CUIDADO","NO")),IF(AND(M129&lt;5.5,F129&gt;=500,K129&gt;=80),"CUIDADO","NO")))</f>
        <v/>
      </c>
    </row>
    <row r="130" ht="15.75" customHeight="1" s="98">
      <c r="A130" s="11" t="inlineStr">
        <is>
          <t>Balliu</t>
        </is>
      </c>
      <c r="B130" s="11" t="inlineStr">
        <is>
          <t>balliu-tumbona-de-exterior-resina-73-cm-b19af1ea</t>
        </is>
      </c>
      <c r="C130" s="11" t="inlineStr">
        <is>
          <t>BALLIU_EVA_PRO_TUMBONA_CHASIS_BLANCO_TE_B19AF1EA</t>
        </is>
      </c>
      <c r="D130" s="12" t="inlineStr">
        <is>
          <t>Tumbona de exterior resina | 73 cm</t>
        </is>
      </c>
      <c r="E130" s="13" t="n">
        <v>82.84999999999999</v>
      </c>
      <c r="F130" s="13" t="n">
        <v>169.84</v>
      </c>
      <c r="G130" s="13" t="n">
        <v>47.18</v>
      </c>
      <c r="H130" s="14" t="n">
        <v>56.95</v>
      </c>
      <c r="I130" s="13" t="n">
        <v>169.84</v>
      </c>
      <c r="J130" s="13" t="n">
        <v>0</v>
      </c>
      <c r="K130" s="13">
        <f>G130-J130</f>
        <v/>
      </c>
      <c r="L130" s="13">
        <f>K130*$L$1</f>
        <v/>
      </c>
      <c r="M130" s="15">
        <f>F130/K130</f>
        <v/>
      </c>
      <c r="N130" s="10">
        <f>IF(M130&lt;3.5,"SI",IF(M130&lt;4.5,IF(K130&gt;=100,"SI",IF(K130&gt;=40,"CUIDADO","NO")),IF(AND(M130&lt;5.5,F130&gt;=500,K130&gt;=80),"CUIDADO","NO")))</f>
        <v/>
      </c>
    </row>
    <row r="131" ht="15.75" customHeight="1" s="98">
      <c r="A131" s="5" t="inlineStr">
        <is>
          <t>Balliu</t>
        </is>
      </c>
      <c r="B131" s="5" t="inlineStr">
        <is>
          <t>balliu-tumbona-de-exterior-resina-73-cm-32a6c0ea</t>
        </is>
      </c>
      <c r="C131" s="5" t="inlineStr">
        <is>
          <t>BALLIU_EVA_PRO_TUMBONA_CHASIS_BLANCO_TA_32A6C0EA</t>
        </is>
      </c>
      <c r="D131" s="6" t="inlineStr">
        <is>
          <t>Tumbona de exterior resina | 73 cm</t>
        </is>
      </c>
      <c r="E131" s="7" t="n">
        <v>89.39</v>
      </c>
      <c r="F131" s="7" t="n">
        <v>183.25</v>
      </c>
      <c r="G131" s="7" t="n">
        <v>50.91</v>
      </c>
      <c r="H131" s="8" t="n">
        <v>56.95</v>
      </c>
      <c r="I131" s="7" t="n">
        <v>183.25</v>
      </c>
      <c r="J131" s="7" t="n">
        <v>0</v>
      </c>
      <c r="K131" s="7">
        <f>G131-J131</f>
        <v/>
      </c>
      <c r="L131" s="7">
        <f>K131*$L$1</f>
        <v/>
      </c>
      <c r="M131" s="9">
        <f>F131/K131</f>
        <v/>
      </c>
      <c r="N131" s="10">
        <f>IF(M131&lt;3.5,"SI",IF(M131&lt;4.5,IF(K131&gt;=100,"SI",IF(K131&gt;=40,"CUIDADO","NO")),IF(AND(M131&lt;5.5,F131&gt;=500,K131&gt;=80),"CUIDADO","NO")))</f>
        <v/>
      </c>
    </row>
    <row r="132" ht="15.75" customHeight="1" s="98">
      <c r="A132" s="11" t="inlineStr">
        <is>
          <t>Balliu</t>
        </is>
      </c>
      <c r="B132" s="11" t="inlineStr">
        <is>
          <t>balliu-tumbona-de-exterior-resina-73-cm-d369d964</t>
        </is>
      </c>
      <c r="C132" s="11" t="inlineStr">
        <is>
          <t>BALLIU_EVA_RG_TUMBONA_CHASIS_BLANCO_TE_D369D964</t>
        </is>
      </c>
      <c r="D132" s="12" t="inlineStr">
        <is>
          <t>Tumbona de exterior resina | 73 cm</t>
        </is>
      </c>
      <c r="E132" s="13" t="n">
        <v>94.7</v>
      </c>
      <c r="F132" s="13" t="n">
        <v>194.14</v>
      </c>
      <c r="G132" s="13" t="n">
        <v>53.93</v>
      </c>
      <c r="H132" s="14" t="n">
        <v>56.95</v>
      </c>
      <c r="I132" s="13" t="n">
        <v>194.14</v>
      </c>
      <c r="J132" s="13" t="n">
        <v>0</v>
      </c>
      <c r="K132" s="13">
        <f>G132-J132</f>
        <v/>
      </c>
      <c r="L132" s="13">
        <f>K132*$L$1</f>
        <v/>
      </c>
      <c r="M132" s="15">
        <f>F132/K132</f>
        <v/>
      </c>
      <c r="N132" s="10">
        <f>IF(M132&lt;3.5,"SI",IF(M132&lt;4.5,IF(K132&gt;=100,"SI",IF(K132&gt;=40,"CUIDADO","NO")),IF(AND(M132&lt;5.5,F132&gt;=500,K132&gt;=80),"CUIDADO","NO")))</f>
        <v/>
      </c>
    </row>
    <row r="133" ht="15.75" customHeight="1" s="98">
      <c r="A133" s="5" t="inlineStr">
        <is>
          <t>Balliu</t>
        </is>
      </c>
      <c r="B133" s="5" t="inlineStr">
        <is>
          <t>balliu-tumbona-de-exterior-resina-73-cm-d369d964</t>
        </is>
      </c>
      <c r="C133" s="5" t="inlineStr">
        <is>
          <t>BALLIU_EVA_RG_TUMBONA_CHASIS_ARENA_TEL_D8285FFB</t>
        </is>
      </c>
      <c r="D133" s="6" t="inlineStr">
        <is>
          <t>Tumbona de exterior resina | 73 cm</t>
        </is>
      </c>
      <c r="E133" s="7" t="n">
        <v>98.52</v>
      </c>
      <c r="F133" s="7" t="n">
        <v>201.97</v>
      </c>
      <c r="G133" s="7" t="n">
        <v>56.11</v>
      </c>
      <c r="H133" s="8" t="n">
        <v>56.95</v>
      </c>
      <c r="I133" s="7" t="n">
        <v>201.97</v>
      </c>
      <c r="J133" s="7" t="n">
        <v>0</v>
      </c>
      <c r="K133" s="7">
        <f>G133-J133</f>
        <v/>
      </c>
      <c r="L133" s="7">
        <f>K133*$L$1</f>
        <v/>
      </c>
      <c r="M133" s="9">
        <f>F133/K133</f>
        <v/>
      </c>
      <c r="N133" s="10">
        <f>IF(M133&lt;3.5,"SI",IF(M133&lt;4.5,IF(K133&gt;=100,"SI",IF(K133&gt;=40,"CUIDADO","NO")),IF(AND(M133&lt;5.5,F133&gt;=500,K133&gt;=80),"CUIDADO","NO")))</f>
        <v/>
      </c>
    </row>
    <row r="134" ht="15.75" customHeight="1" s="98">
      <c r="A134" s="11" t="inlineStr">
        <is>
          <t>Balliu</t>
        </is>
      </c>
      <c r="B134" s="11" t="inlineStr">
        <is>
          <t>balliu-tumbona-de-exterior-resina-73-cm-0648657b</t>
        </is>
      </c>
      <c r="C134" s="11" t="inlineStr">
        <is>
          <t>BALLIU_EVA_RTG_TUMBONA_CHASIS_BLANCO_TA_0648657B</t>
        </is>
      </c>
      <c r="D134" s="12" t="inlineStr">
        <is>
          <t>Tumbona de exterior resina | 73 cm</t>
        </is>
      </c>
      <c r="E134" s="13" t="n">
        <v>97.43000000000001</v>
      </c>
      <c r="F134" s="13" t="n">
        <v>199.73</v>
      </c>
      <c r="G134" s="13" t="n">
        <v>55.49</v>
      </c>
      <c r="H134" s="14" t="n">
        <v>56.95</v>
      </c>
      <c r="I134" s="13" t="n">
        <v>199.73</v>
      </c>
      <c r="J134" s="13" t="n">
        <v>0</v>
      </c>
      <c r="K134" s="13">
        <f>G134-J134</f>
        <v/>
      </c>
      <c r="L134" s="13">
        <f>K134*$L$1</f>
        <v/>
      </c>
      <c r="M134" s="15">
        <f>F134/K134</f>
        <v/>
      </c>
      <c r="N134" s="10">
        <f>IF(M134&lt;3.5,"SI",IF(M134&lt;4.5,IF(K134&gt;=100,"SI",IF(K134&gt;=40,"CUIDADO","NO")),IF(AND(M134&lt;5.5,F134&gt;=500,K134&gt;=80),"CUIDADO","NO")))</f>
        <v/>
      </c>
    </row>
    <row r="135" ht="15.75" customHeight="1" s="98">
      <c r="A135" s="5" t="inlineStr">
        <is>
          <t>Balliu</t>
        </is>
      </c>
      <c r="B135" s="5" t="inlineStr">
        <is>
          <t>balliu-tumbona-de-exterior-resina-28ff014d</t>
        </is>
      </c>
      <c r="C135" s="5" t="inlineStr">
        <is>
          <t>BALLIU_NOA_TUMBONA_CHASIS_BLANCO_TE_28FF014D</t>
        </is>
      </c>
      <c r="D135" s="6" t="inlineStr">
        <is>
          <t>Tumbona de exterior resina</t>
        </is>
      </c>
      <c r="E135" s="7" t="n">
        <v>215.24</v>
      </c>
      <c r="F135" s="7" t="n">
        <v>441.24</v>
      </c>
      <c r="G135" s="7" t="n">
        <v>122.58</v>
      </c>
      <c r="H135" s="8" t="n">
        <v>56.95</v>
      </c>
      <c r="I135" s="7" t="n">
        <v>441.24</v>
      </c>
      <c r="J135" s="7" t="n">
        <v>0</v>
      </c>
      <c r="K135" s="7">
        <f>G135-J135</f>
        <v/>
      </c>
      <c r="L135" s="7">
        <f>K135*$L$1</f>
        <v/>
      </c>
      <c r="M135" s="9">
        <f>F135/K135</f>
        <v/>
      </c>
      <c r="N135" s="10">
        <f>IF(M135&lt;3.5,"SI",IF(M135&lt;4.5,IF(K135&gt;=100,"SI",IF(K135&gt;=40,"CUIDADO","NO")),IF(AND(M135&lt;5.5,F135&gt;=500,K135&gt;=80),"CUIDADO","NO")))</f>
        <v/>
      </c>
    </row>
    <row r="136" ht="15.75" customHeight="1" s="98">
      <c r="A136" s="11" t="inlineStr">
        <is>
          <t>Balliu</t>
        </is>
      </c>
      <c r="B136" s="11" t="inlineStr">
        <is>
          <t>balliu-tumbona-de-exterior-resina-28ff014d</t>
        </is>
      </c>
      <c r="C136" s="11" t="inlineStr">
        <is>
          <t>BALLIU_NOA_TUMBONA_CHASIS_PRESTIGE__E5BE2A33</t>
        </is>
      </c>
      <c r="D136" s="12" t="inlineStr">
        <is>
          <t>Tumbona de exterior resina</t>
        </is>
      </c>
      <c r="E136" s="13" t="n">
        <v>225.25</v>
      </c>
      <c r="F136" s="13" t="n">
        <v>461.76</v>
      </c>
      <c r="G136" s="13" t="n">
        <v>128.28</v>
      </c>
      <c r="H136" s="14" t="n">
        <v>56.95</v>
      </c>
      <c r="I136" s="13" t="n">
        <v>461.76</v>
      </c>
      <c r="J136" s="13" t="n">
        <v>0</v>
      </c>
      <c r="K136" s="13">
        <f>G136-J136</f>
        <v/>
      </c>
      <c r="L136" s="13">
        <f>K136*$L$1</f>
        <v/>
      </c>
      <c r="M136" s="15">
        <f>F136/K136</f>
        <v/>
      </c>
      <c r="N136" s="10">
        <f>IF(M136&lt;3.5,"SI",IF(M136&lt;4.5,IF(K136&gt;=100,"SI",IF(K136&gt;=40,"CUIDADO","NO")),IF(AND(M136&lt;5.5,F136&gt;=500,K136&gt;=80),"CUIDADO","NO")))</f>
        <v/>
      </c>
    </row>
    <row r="137" ht="15.75" customHeight="1" s="98">
      <c r="A137" s="5" t="inlineStr">
        <is>
          <t>Balliu</t>
        </is>
      </c>
      <c r="B137" s="5" t="inlineStr">
        <is>
          <t>balliu-tumbona-de-exterior-sin-ruedas-aluminio-da3f5c24</t>
        </is>
      </c>
      <c r="C137" s="5" t="inlineStr">
        <is>
          <t>BALLIU_OLIMPIA_TUMBONA_SIN_RUEDAS_DA3F5C24</t>
        </is>
      </c>
      <c r="D137" s="6" t="inlineStr">
        <is>
          <t>Tumbona de exterior sin ruedas aluminio</t>
        </is>
      </c>
      <c r="E137" s="7" t="n">
        <v>287.64</v>
      </c>
      <c r="F137" s="7" t="n">
        <v>589.66</v>
      </c>
      <c r="G137" s="7" t="n">
        <v>163.81</v>
      </c>
      <c r="H137" s="8" t="n">
        <v>56.95</v>
      </c>
      <c r="I137" s="7" t="n">
        <v>589.66</v>
      </c>
      <c r="J137" s="7" t="n">
        <v>0</v>
      </c>
      <c r="K137" s="7">
        <f>G137-J137</f>
        <v/>
      </c>
      <c r="L137" s="7">
        <f>K137*$L$1</f>
        <v/>
      </c>
      <c r="M137" s="9">
        <f>F137/K137</f>
        <v/>
      </c>
      <c r="N137" s="10">
        <f>IF(M137&lt;3.5,"SI",IF(M137&lt;4.5,IF(K137&gt;=100,"SI",IF(K137&gt;=40,"CUIDADO","NO")),IF(AND(M137&lt;5.5,F137&gt;=500,K137&gt;=80),"CUIDADO","NO")))</f>
        <v/>
      </c>
    </row>
    <row r="138" ht="15.75" customHeight="1" s="98">
      <c r="A138" s="11" t="inlineStr">
        <is>
          <t>Balliu</t>
        </is>
      </c>
      <c r="B138" s="11" t="inlineStr">
        <is>
          <t>balliu-tumbona-de-exterior-sin-ruedas-aluminio-da3f5c24</t>
        </is>
      </c>
      <c r="C138" s="11" t="inlineStr">
        <is>
          <t>BALLIU_OLIMPIA_TUMBONA_CON_RUEDAS_82D4D0A8</t>
        </is>
      </c>
      <c r="D138" s="12" t="inlineStr">
        <is>
          <t>Tumbona de exterior con ruedas aluminio</t>
        </is>
      </c>
      <c r="E138" s="13" t="n">
        <v>315.63</v>
      </c>
      <c r="F138" s="13" t="n">
        <v>647.04</v>
      </c>
      <c r="G138" s="13" t="n">
        <v>179.75</v>
      </c>
      <c r="H138" s="14" t="n">
        <v>56.95</v>
      </c>
      <c r="I138" s="13" t="n">
        <v>647.04</v>
      </c>
      <c r="J138" s="13" t="n">
        <v>0</v>
      </c>
      <c r="K138" s="13">
        <f>G138-J138</f>
        <v/>
      </c>
      <c r="L138" s="13">
        <f>K138*$L$1</f>
        <v/>
      </c>
      <c r="M138" s="15">
        <f>F138/K138</f>
        <v/>
      </c>
      <c r="N138" s="10">
        <f>IF(M138&lt;3.5,"SI",IF(M138&lt;4.5,IF(K138&gt;=100,"SI",IF(K138&gt;=40,"CUIDADO","NO")),IF(AND(M138&lt;5.5,F138&gt;=500,K138&gt;=80),"CUIDADO","NO")))</f>
        <v/>
      </c>
    </row>
    <row r="139" ht="15.75" customHeight="1" s="98">
      <c r="A139" s="5" t="inlineStr">
        <is>
          <t>Balliu</t>
        </is>
      </c>
      <c r="B139" s="5" t="inlineStr">
        <is>
          <t>balliu-tumbona-de-exterior-aluminio-36870d09</t>
        </is>
      </c>
      <c r="C139" s="5" t="inlineStr">
        <is>
          <t>BALLIU_ETNA_TUMBONA_TELA_BALLIU_36870D09</t>
        </is>
      </c>
      <c r="D139" s="6" t="inlineStr">
        <is>
          <t>Tumbona de exterior aluminio</t>
        </is>
      </c>
      <c r="E139" s="7" t="n">
        <v>229.08</v>
      </c>
      <c r="F139" s="7" t="n">
        <v>469.61</v>
      </c>
      <c r="G139" s="7" t="n">
        <v>130.46</v>
      </c>
      <c r="H139" s="8" t="n">
        <v>56.95</v>
      </c>
      <c r="I139" s="7" t="n">
        <v>469.61</v>
      </c>
      <c r="J139" s="7" t="n">
        <v>0</v>
      </c>
      <c r="K139" s="7">
        <f>G139-J139</f>
        <v/>
      </c>
      <c r="L139" s="7">
        <f>K139*$L$1</f>
        <v/>
      </c>
      <c r="M139" s="9">
        <f>F139/K139</f>
        <v/>
      </c>
      <c r="N139" s="10">
        <f>IF(M139&lt;3.5,"SI",IF(M139&lt;4.5,IF(K139&gt;=100,"SI",IF(K139&gt;=40,"CUIDADO","NO")),IF(AND(M139&lt;5.5,F139&gt;=500,K139&gt;=80),"CUIDADO","NO")))</f>
        <v/>
      </c>
    </row>
    <row r="140" ht="15.75" customHeight="1" s="98">
      <c r="A140" s="11" t="inlineStr">
        <is>
          <t>Balliu</t>
        </is>
      </c>
      <c r="B140" s="11" t="inlineStr">
        <is>
          <t>balliu-tumbona-de-exterior-aluminio-36870d09</t>
        </is>
      </c>
      <c r="C140" s="11" t="inlineStr">
        <is>
          <t>BALLIU_ETNA_TUMBONA_TELA_BALLIU_CON__AFBA154C</t>
        </is>
      </c>
      <c r="D140" s="12" t="inlineStr">
        <is>
          <t>Tumbona de exterior con ruedas aluminio</t>
        </is>
      </c>
      <c r="E140" s="13" t="n">
        <v>252.74</v>
      </c>
      <c r="F140" s="13" t="n">
        <v>518.12</v>
      </c>
      <c r="G140" s="13" t="n">
        <v>143.93</v>
      </c>
      <c r="H140" s="14" t="n">
        <v>56.95</v>
      </c>
      <c r="I140" s="13" t="n">
        <v>518.12</v>
      </c>
      <c r="J140" s="13" t="n">
        <v>0</v>
      </c>
      <c r="K140" s="13">
        <f>G140-J140</f>
        <v/>
      </c>
      <c r="L140" s="13">
        <f>K140*$L$1</f>
        <v/>
      </c>
      <c r="M140" s="15">
        <f>F140/K140</f>
        <v/>
      </c>
      <c r="N140" s="10">
        <f>IF(M140&lt;3.5,"SI",IF(M140&lt;4.5,IF(K140&gt;=100,"SI",IF(K140&gt;=40,"CUIDADO","NO")),IF(AND(M140&lt;5.5,F140&gt;=500,K140&gt;=80),"CUIDADO","NO")))</f>
        <v/>
      </c>
    </row>
    <row r="141" ht="15.75" customHeight="1" s="98">
      <c r="A141" s="5" t="inlineStr">
        <is>
          <t>Balliu</t>
        </is>
      </c>
      <c r="B141" s="5" t="inlineStr">
        <is>
          <t>balliu-tumbona-de-exterior-aluminio-d08586c1</t>
        </is>
      </c>
      <c r="C141" s="5" t="inlineStr">
        <is>
          <t>BALLIU_ETNA_ALTA_TUMBONA_AL_TELA_BALLIU_D08586C1</t>
        </is>
      </c>
      <c r="D141" s="6" t="inlineStr">
        <is>
          <t>Tumbona de exterior aluminio</t>
        </is>
      </c>
      <c r="E141" s="7" t="n">
        <v>248.76</v>
      </c>
      <c r="F141" s="7" t="n">
        <v>509.96</v>
      </c>
      <c r="G141" s="7" t="n">
        <v>141.67</v>
      </c>
      <c r="H141" s="8" t="n">
        <v>56.95</v>
      </c>
      <c r="I141" s="7" t="n">
        <v>509.96</v>
      </c>
      <c r="J141" s="7" t="n">
        <v>0</v>
      </c>
      <c r="K141" s="7">
        <f>G141-J141</f>
        <v/>
      </c>
      <c r="L141" s="7">
        <f>K141*$L$1</f>
        <v/>
      </c>
      <c r="M141" s="9">
        <f>F141/K141</f>
        <v/>
      </c>
      <c r="N141" s="10">
        <f>IF(M141&lt;3.5,"SI",IF(M141&lt;4.5,IF(K141&gt;=100,"SI",IF(K141&gt;=40,"CUIDADO","NO")),IF(AND(M141&lt;5.5,F141&gt;=500,K141&gt;=80),"CUIDADO","NO")))</f>
        <v/>
      </c>
    </row>
    <row r="142" ht="15.75" customHeight="1" s="98">
      <c r="A142" s="11" t="inlineStr">
        <is>
          <t>Balliu</t>
        </is>
      </c>
      <c r="B142" s="11" t="inlineStr">
        <is>
          <t>balliu-tumbona-de-exterior-aluminio-d08586c1</t>
        </is>
      </c>
      <c r="C142" s="11" t="inlineStr">
        <is>
          <t>BALLIU_ETNA_ALTA_TUMBONA_AL_TELA_BALLIU_CON__9E0F219D</t>
        </is>
      </c>
      <c r="D142" s="12" t="inlineStr">
        <is>
          <t>Tumbona de exterior con ruedas aluminio</t>
        </is>
      </c>
      <c r="E142" s="13" t="n">
        <v>266.56</v>
      </c>
      <c r="F142" s="13" t="n">
        <v>546.45</v>
      </c>
      <c r="G142" s="13" t="n">
        <v>151.81</v>
      </c>
      <c r="H142" s="14" t="n">
        <v>56.95</v>
      </c>
      <c r="I142" s="13" t="n">
        <v>546.45</v>
      </c>
      <c r="J142" s="13" t="n">
        <v>0</v>
      </c>
      <c r="K142" s="13">
        <f>G142-J142</f>
        <v/>
      </c>
      <c r="L142" s="13">
        <f>K142*$L$1</f>
        <v/>
      </c>
      <c r="M142" s="15">
        <f>F142/K142</f>
        <v/>
      </c>
      <c r="N142" s="10">
        <f>IF(M142&lt;3.5,"SI",IF(M142&lt;4.5,IF(K142&gt;=100,"SI",IF(K142&gt;=40,"CUIDADO","NO")),IF(AND(M142&lt;5.5,F142&gt;=500,K142&gt;=80),"CUIDADO","NO")))</f>
        <v/>
      </c>
    </row>
    <row r="143" ht="15.75" customHeight="1" s="98">
      <c r="A143" s="5" t="inlineStr">
        <is>
          <t>Balliu</t>
        </is>
      </c>
      <c r="B143" s="5" t="inlineStr">
        <is>
          <t>balliu-tumbona-de-exterior-con-ruedas-aluminio-58-cm-9064b7b9</t>
        </is>
      </c>
      <c r="C143" s="5" t="inlineStr">
        <is>
          <t>BALLIU_IRIS_TUMBONA_CON_RUEDAS_9064B7B9</t>
        </is>
      </c>
      <c r="D143" s="6" t="inlineStr">
        <is>
          <t>Tumbona de exterior con ruedas aluminio | 58 cm</t>
        </is>
      </c>
      <c r="E143" s="7" t="n">
        <v>337.77</v>
      </c>
      <c r="F143" s="7" t="n">
        <v>692.4299999999999</v>
      </c>
      <c r="G143" s="7" t="n">
        <v>192.36</v>
      </c>
      <c r="H143" s="8" t="n">
        <v>56.95</v>
      </c>
      <c r="I143" s="7" t="n">
        <v>692.4299999999999</v>
      </c>
      <c r="J143" s="7" t="n">
        <v>0</v>
      </c>
      <c r="K143" s="7">
        <f>G143-J143</f>
        <v/>
      </c>
      <c r="L143" s="7">
        <f>K143*$L$1</f>
        <v/>
      </c>
      <c r="M143" s="9">
        <f>F143/K143</f>
        <v/>
      </c>
      <c r="N143" s="10">
        <f>IF(M143&lt;3.5,"SI",IF(M143&lt;4.5,IF(K143&gt;=100,"SI",IF(K143&gt;=40,"CUIDADO","NO")),IF(AND(M143&lt;5.5,F143&gt;=500,K143&gt;=80),"CUIDADO","NO")))</f>
        <v/>
      </c>
    </row>
    <row r="144" ht="15.75" customHeight="1" s="98">
      <c r="A144" s="11" t="inlineStr">
        <is>
          <t>Balliu</t>
        </is>
      </c>
      <c r="B144" s="11" t="inlineStr">
        <is>
          <t>balliu-tumbona-de-exterior-aluminio-68-cm-f7ab4da8</t>
        </is>
      </c>
      <c r="C144" s="11" t="inlineStr">
        <is>
          <t>BALLIU_MARINA_TUMBONA_TELA_BALLIU_F7AB4DA8</t>
        </is>
      </c>
      <c r="D144" s="12" t="inlineStr">
        <is>
          <t>Tumbona de exterior aluminio | 68 cm</t>
        </is>
      </c>
      <c r="E144" s="13" t="n">
        <v>173.92</v>
      </c>
      <c r="F144" s="13" t="n">
        <v>356.54</v>
      </c>
      <c r="G144" s="13" t="n">
        <v>99.05</v>
      </c>
      <c r="H144" s="14" t="n">
        <v>56.95</v>
      </c>
      <c r="I144" s="13" t="n">
        <v>356.54</v>
      </c>
      <c r="J144" s="13" t="n">
        <v>0</v>
      </c>
      <c r="K144" s="13">
        <f>G144-J144</f>
        <v/>
      </c>
      <c r="L144" s="13">
        <f>K144*$L$1</f>
        <v/>
      </c>
      <c r="M144" s="15">
        <f>F144/K144</f>
        <v/>
      </c>
      <c r="N144" s="10">
        <f>IF(M144&lt;3.5,"SI",IF(M144&lt;4.5,IF(K144&gt;=100,"SI",IF(K144&gt;=40,"CUIDADO","NO")),IF(AND(M144&lt;5.5,F144&gt;=500,K144&gt;=80),"CUIDADO","NO")))</f>
        <v/>
      </c>
    </row>
    <row r="145" ht="15.75" customHeight="1" s="98">
      <c r="A145" s="5" t="inlineStr">
        <is>
          <t>Balliu</t>
        </is>
      </c>
      <c r="B145" s="5" t="inlineStr">
        <is>
          <t>balliu-tumbona-de-exterior-20620134</t>
        </is>
      </c>
      <c r="C145" s="5" t="inlineStr">
        <is>
          <t>BALLIU_ALBA_TUMBONA_TELA_BALLIU_20620134</t>
        </is>
      </c>
      <c r="D145" s="6" t="inlineStr">
        <is>
          <t>Tumbona de exterior</t>
        </is>
      </c>
      <c r="E145" s="7" t="n">
        <v>226.62</v>
      </c>
      <c r="F145" s="7" t="n">
        <v>464.57</v>
      </c>
      <c r="G145" s="7" t="n">
        <v>129.06</v>
      </c>
      <c r="H145" s="8" t="n">
        <v>56.95</v>
      </c>
      <c r="I145" s="7" t="n">
        <v>464.57</v>
      </c>
      <c r="J145" s="7" t="n">
        <v>0</v>
      </c>
      <c r="K145" s="7">
        <f>G145-J145</f>
        <v/>
      </c>
      <c r="L145" s="7">
        <f>K145*$L$1</f>
        <v/>
      </c>
      <c r="M145" s="9">
        <f>F145/K145</f>
        <v/>
      </c>
      <c r="N145" s="10">
        <f>IF(M145&lt;3.5,"SI",IF(M145&lt;4.5,IF(K145&gt;=100,"SI",IF(K145&gt;=40,"CUIDADO","NO")),IF(AND(M145&lt;5.5,F145&gt;=500,K145&gt;=80),"CUIDADO","NO")))</f>
        <v/>
      </c>
    </row>
    <row r="146" ht="15.75" customHeight="1" s="98">
      <c r="A146" s="11" t="inlineStr">
        <is>
          <t>Balliu</t>
        </is>
      </c>
      <c r="B146" s="11" t="inlineStr">
        <is>
          <t>balliu-mini-tumbona-de-exterior-aluminio-62-cm-5a6f53eb</t>
        </is>
      </c>
      <c r="C146" s="11" t="inlineStr">
        <is>
          <t>BALLIU_CANNES_MINI_TUMBONA_MINI_TUMBONA_CAN_5A6F53EB</t>
        </is>
      </c>
      <c r="D146" s="12" t="inlineStr">
        <is>
          <t>Mini tumbona de exterior aluminio | 62 cm</t>
        </is>
      </c>
      <c r="E146" s="13" t="n">
        <v>140.89</v>
      </c>
      <c r="F146" s="13" t="n">
        <v>288.82</v>
      </c>
      <c r="G146" s="13" t="n">
        <v>80.23999999999999</v>
      </c>
      <c r="H146" s="14" t="n">
        <v>56.95</v>
      </c>
      <c r="I146" s="13" t="n">
        <v>288.82</v>
      </c>
      <c r="J146" s="13" t="n">
        <v>0</v>
      </c>
      <c r="K146" s="13">
        <f>G146-J146</f>
        <v/>
      </c>
      <c r="L146" s="13">
        <f>K146*$L$1</f>
        <v/>
      </c>
      <c r="M146" s="15">
        <f>F146/K146</f>
        <v/>
      </c>
      <c r="N146" s="10">
        <f>IF(M146&lt;3.5,"SI",IF(M146&lt;4.5,IF(K146&gt;=100,"SI",IF(K146&gt;=40,"CUIDADO","NO")),IF(AND(M146&lt;5.5,F146&gt;=500,K146&gt;=80),"CUIDADO","NO")))</f>
        <v/>
      </c>
    </row>
    <row r="147" ht="15.75" customHeight="1" s="98">
      <c r="A147" s="5" t="inlineStr">
        <is>
          <t>Balliu</t>
        </is>
      </c>
      <c r="B147" s="5" t="inlineStr">
        <is>
          <t>balliu-mini-tumbona-de-exterior-madera-59-cm-fa211c70</t>
        </is>
      </c>
      <c r="C147" s="5" t="inlineStr">
        <is>
          <t>BALLIU_BRISTOL_MINI_TUMBONA_MINI_TUMBONA_BRI_FA211C70</t>
        </is>
      </c>
      <c r="D147" s="6" t="inlineStr">
        <is>
          <t>Mini tumbona de exterior madera | 59 cm</t>
        </is>
      </c>
      <c r="E147" s="7" t="n">
        <v>139.67</v>
      </c>
      <c r="F147" s="7" t="n">
        <v>286.32</v>
      </c>
      <c r="G147" s="7" t="n">
        <v>79.54000000000001</v>
      </c>
      <c r="H147" s="8" t="n">
        <v>56.95</v>
      </c>
      <c r="I147" s="7" t="n">
        <v>286.32</v>
      </c>
      <c r="J147" s="7" t="n">
        <v>0</v>
      </c>
      <c r="K147" s="7">
        <f>G147-J147</f>
        <v/>
      </c>
      <c r="L147" s="7">
        <f>K147*$L$1</f>
        <v/>
      </c>
      <c r="M147" s="9">
        <f>F147/K147</f>
        <v/>
      </c>
      <c r="N147" s="10">
        <f>IF(M147&lt;3.5,"SI",IF(M147&lt;4.5,IF(K147&gt;=100,"SI",IF(K147&gt;=40,"CUIDADO","NO")),IF(AND(M147&lt;5.5,F147&gt;=500,K147&gt;=80),"CUIDADO","NO")))</f>
        <v/>
      </c>
    </row>
    <row r="148" ht="15.75" customHeight="1" s="98">
      <c r="A148" s="11" t="inlineStr">
        <is>
          <t>Balliu</t>
        </is>
      </c>
      <c r="B148" s="11" t="inlineStr">
        <is>
          <t>balliu-mini-tumbona-de-exterior-aluminio-57-cm-98ab84ce</t>
        </is>
      </c>
      <c r="C148" s="11" t="inlineStr">
        <is>
          <t>BALLIU_MARINA_MINI_TUMBONA_MINI_TUMBONA_MAR_98AB84CE</t>
        </is>
      </c>
      <c r="D148" s="12" t="inlineStr">
        <is>
          <t>Mini tumbona de exterior aluminio | 57 cm</t>
        </is>
      </c>
      <c r="E148" s="13" t="n">
        <v>114.6</v>
      </c>
      <c r="F148" s="13" t="n">
        <v>234.93</v>
      </c>
      <c r="G148" s="13" t="n">
        <v>65.26000000000001</v>
      </c>
      <c r="H148" s="14" t="n">
        <v>56.95</v>
      </c>
      <c r="I148" s="13" t="n">
        <v>234.93</v>
      </c>
      <c r="J148" s="13" t="n">
        <v>0</v>
      </c>
      <c r="K148" s="13">
        <f>G148-J148</f>
        <v/>
      </c>
      <c r="L148" s="13">
        <f>K148*$L$1</f>
        <v/>
      </c>
      <c r="M148" s="15">
        <f>F148/K148</f>
        <v/>
      </c>
      <c r="N148" s="10">
        <f>IF(M148&lt;3.5,"SI",IF(M148&lt;4.5,IF(K148&gt;=100,"SI",IF(K148&gt;=40,"CUIDADO","NO")),IF(AND(M148&lt;5.5,F148&gt;=500,K148&gt;=80),"CUIDADO","NO")))</f>
        <v/>
      </c>
    </row>
    <row r="149" ht="15.75" customHeight="1" s="98">
      <c r="A149" s="5" t="inlineStr">
        <is>
          <t>Balliu</t>
        </is>
      </c>
      <c r="B149" s="5" t="inlineStr">
        <is>
          <t>balliu-cama-balinesa-exterior-aluminio-estilo-sofisticado-160-cm-2bd3a7a4</t>
        </is>
      </c>
      <c r="C149" s="5" t="inlineStr">
        <is>
          <t>BALLIU_AURA_CAMA_BALINESA_TELA_NAUTICA_2BD3A7A4</t>
        </is>
      </c>
      <c r="D149" s="6" t="inlineStr">
        <is>
          <t>Cama balinesa exterior aluminio · estilo sofisticado | 160 cm</t>
        </is>
      </c>
      <c r="E149" s="7" t="n">
        <v>1073.61</v>
      </c>
      <c r="F149" s="7" t="n">
        <v>2200.9</v>
      </c>
      <c r="G149" s="7" t="n">
        <v>611.42</v>
      </c>
      <c r="H149" s="8" t="n">
        <v>56.95</v>
      </c>
      <c r="I149" s="7" t="n">
        <v>2200.9</v>
      </c>
      <c r="J149" s="7" t="n">
        <v>0</v>
      </c>
      <c r="K149" s="7">
        <f>G149-J149</f>
        <v/>
      </c>
      <c r="L149" s="7">
        <f>K149*$L$1</f>
        <v/>
      </c>
      <c r="M149" s="9">
        <f>F149/K149</f>
        <v/>
      </c>
      <c r="N149" s="10">
        <f>IF(M149&lt;3.5,"SI",IF(M149&lt;4.5,IF(K149&gt;=100,"SI",IF(K149&gt;=40,"CUIDADO","NO")),IF(AND(M149&lt;5.5,F149&gt;=500,K149&gt;=80),"CUIDADO","NO")))</f>
        <v/>
      </c>
    </row>
    <row r="150" ht="15.75" customHeight="1" s="98">
      <c r="A150" s="11" t="inlineStr">
        <is>
          <t>Balliu</t>
        </is>
      </c>
      <c r="B150" s="11" t="inlineStr">
        <is>
          <t>balliu-cama-balinesa-exterior-aluminio-estilo-minimalista-198-cm-dcaf71d8</t>
        </is>
      </c>
      <c r="C150" s="11" t="inlineStr">
        <is>
          <t>BALLIU_ALMA_CAMA_BALINESA_TELA_NAUTICA_DCAF71D8</t>
        </is>
      </c>
      <c r="D150" s="12" t="inlineStr">
        <is>
          <t>Cama balinesa exterior aluminio · estilo minimalista | 198 cm</t>
        </is>
      </c>
      <c r="E150" s="13" t="n">
        <v>1510.81</v>
      </c>
      <c r="F150" s="13" t="n">
        <v>3097.16</v>
      </c>
      <c r="G150" s="13" t="n">
        <v>860.41</v>
      </c>
      <c r="H150" s="14" t="n">
        <v>56.95</v>
      </c>
      <c r="I150" s="13" t="n">
        <v>3097.16</v>
      </c>
      <c r="J150" s="13" t="n">
        <v>0</v>
      </c>
      <c r="K150" s="13">
        <f>G150-J150</f>
        <v/>
      </c>
      <c r="L150" s="13">
        <f>K150*$L$1</f>
        <v/>
      </c>
      <c r="M150" s="15">
        <f>F150/K150</f>
        <v/>
      </c>
      <c r="N150" s="10">
        <f>IF(M150&lt;3.5,"SI",IF(M150&lt;4.5,IF(K150&gt;=100,"SI",IF(K150&gt;=40,"CUIDADO","NO")),IF(AND(M150&lt;5.5,F150&gt;=500,K150&gt;=80),"CUIDADO","NO")))</f>
        <v/>
      </c>
    </row>
    <row r="151" ht="15.75" customHeight="1" s="98">
      <c r="A151" s="5" t="inlineStr">
        <is>
          <t>Balliu</t>
        </is>
      </c>
      <c r="B151" s="5" t="inlineStr">
        <is>
          <t>balliu-taburete-exterior-aluminio-estilo-elegante-56-cm-a66b4a0a</t>
        </is>
      </c>
      <c r="C151" s="5" t="inlineStr">
        <is>
          <t>BALLIU_ETNA_SILLA_TABURETE_ETNA_AL_A66B4A0A</t>
        </is>
      </c>
      <c r="D151" s="6" t="inlineStr">
        <is>
          <t>Taburete exterior aluminio · estilo elegante | 56 cm</t>
        </is>
      </c>
      <c r="E151" s="7" t="n">
        <v>100.25</v>
      </c>
      <c r="F151" s="7" t="n">
        <v>205.51</v>
      </c>
      <c r="G151" s="7" t="n">
        <v>57.09</v>
      </c>
      <c r="H151" s="8" t="n">
        <v>56.95</v>
      </c>
      <c r="I151" s="7" t="n">
        <v>205.51</v>
      </c>
      <c r="J151" s="7" t="n">
        <v>0</v>
      </c>
      <c r="K151" s="7">
        <f>G151-J151</f>
        <v/>
      </c>
      <c r="L151" s="7">
        <f>K151*$L$1</f>
        <v/>
      </c>
      <c r="M151" s="9">
        <f>F151/K151</f>
        <v/>
      </c>
      <c r="N151" s="10">
        <f>IF(M151&lt;3.5,"SI",IF(M151&lt;4.5,IF(K151&gt;=100,"SI",IF(K151&gt;=40,"CUIDADO","NO")),IF(AND(M151&lt;5.5,F151&gt;=500,K151&gt;=80),"CUIDADO","NO")))</f>
        <v/>
      </c>
    </row>
    <row r="152" ht="15.75" customHeight="1" s="98">
      <c r="A152" s="11" t="inlineStr">
        <is>
          <t>Balliu</t>
        </is>
      </c>
      <c r="B152" s="11" t="inlineStr">
        <is>
          <t>balliu-silla-exterior-con-brazos-aluminio-estilo-elegante-56-cm-5c88bd77</t>
        </is>
      </c>
      <c r="C152" s="11" t="inlineStr">
        <is>
          <t>BALLIU_ETNA_SILLA_CON_BRAZOS_5C88BD77</t>
        </is>
      </c>
      <c r="D152" s="12" t="inlineStr">
        <is>
          <t>Silla exterior con brazos aluminio · estilo elegante | 56 cm</t>
        </is>
      </c>
      <c r="E152" s="13" t="n">
        <v>97.70999999999999</v>
      </c>
      <c r="F152" s="13" t="n">
        <v>200.31</v>
      </c>
      <c r="G152" s="13" t="n">
        <v>55.64</v>
      </c>
      <c r="H152" s="14" t="n">
        <v>56.95</v>
      </c>
      <c r="I152" s="13" t="n">
        <v>200.31</v>
      </c>
      <c r="J152" s="13" t="n">
        <v>0</v>
      </c>
      <c r="K152" s="13">
        <f>G152-J152</f>
        <v/>
      </c>
      <c r="L152" s="13">
        <f>K152*$L$1</f>
        <v/>
      </c>
      <c r="M152" s="15">
        <f>F152/K152</f>
        <v/>
      </c>
      <c r="N152" s="10">
        <f>IF(M152&lt;3.5,"SI",IF(M152&lt;4.5,IF(K152&gt;=100,"SI",IF(K152&gt;=40,"CUIDADO","NO")),IF(AND(M152&lt;5.5,F152&gt;=500,K152&gt;=80),"CUIDADO","NO")))</f>
        <v/>
      </c>
    </row>
    <row r="153" ht="15.75" customHeight="1" s="98">
      <c r="A153" s="5" t="inlineStr">
        <is>
          <t>Balliu</t>
        </is>
      </c>
      <c r="B153" s="5" t="inlineStr">
        <is>
          <t>balliu-silla-exterior-con-brazos-aluminio-estilo-elegante-56-cm-eaf4a34a</t>
        </is>
      </c>
      <c r="C153" s="5" t="inlineStr">
        <is>
          <t>BALLIU_ETNA_SILLA_ALTA_CON_BRAZOS_EAF4A34A</t>
        </is>
      </c>
      <c r="D153" s="6" t="inlineStr">
        <is>
          <t>Silla exterior con brazos aluminio · estilo elegante | 56 cm</t>
        </is>
      </c>
      <c r="E153" s="7" t="n">
        <v>102.17</v>
      </c>
      <c r="F153" s="7" t="n">
        <v>209.45</v>
      </c>
      <c r="G153" s="7" t="n">
        <v>58.19</v>
      </c>
      <c r="H153" s="8" t="n">
        <v>56.95</v>
      </c>
      <c r="I153" s="7" t="n">
        <v>209.45</v>
      </c>
      <c r="J153" s="7" t="n">
        <v>0</v>
      </c>
      <c r="K153" s="7">
        <f>G153-J153</f>
        <v/>
      </c>
      <c r="L153" s="7">
        <f>K153*$L$1</f>
        <v/>
      </c>
      <c r="M153" s="9">
        <f>F153/K153</f>
        <v/>
      </c>
      <c r="N153" s="10">
        <f>IF(M153&lt;3.5,"SI",IF(M153&lt;4.5,IF(K153&gt;=100,"SI",IF(K153&gt;=40,"CUIDADO","NO")),IF(AND(M153&lt;5.5,F153&gt;=500,K153&gt;=80),"CUIDADO","NO")))</f>
        <v/>
      </c>
    </row>
    <row r="154" ht="15.75" customHeight="1" s="98">
      <c r="A154" s="11" t="inlineStr">
        <is>
          <t>Balliu</t>
        </is>
      </c>
      <c r="B154" s="11" t="inlineStr">
        <is>
          <t>balliu-silla-exterior-resina-estilo-minimalista-484cbea0</t>
        </is>
      </c>
      <c r="C154" s="11" t="inlineStr">
        <is>
          <t>BALLIU_DUNA_SILLA_BLANCA_484CBEA0</t>
        </is>
      </c>
      <c r="D154" s="12" t="inlineStr">
        <is>
          <t>Silla exterior resina · estilo minimalista</t>
        </is>
      </c>
      <c r="E154" s="13" t="n">
        <v>41.58</v>
      </c>
      <c r="F154" s="13" t="n">
        <v>85.23999999999999</v>
      </c>
      <c r="G154" s="13" t="n">
        <v>23.68</v>
      </c>
      <c r="H154" s="14" t="n">
        <v>56.95</v>
      </c>
      <c r="I154" s="13" t="n">
        <v>85.23999999999999</v>
      </c>
      <c r="J154" s="13" t="n">
        <v>0</v>
      </c>
      <c r="K154" s="13">
        <f>G154-J154</f>
        <v/>
      </c>
      <c r="L154" s="13">
        <f>K154*$L$1</f>
        <v/>
      </c>
      <c r="M154" s="15">
        <f>F154/K154</f>
        <v/>
      </c>
      <c r="N154" s="10">
        <f>IF(M154&lt;3.5,"SI",IF(M154&lt;4.5,IF(K154&gt;=100,"SI",IF(K154&gt;=40,"CUIDADO","NO")),IF(AND(M154&lt;5.5,F154&gt;=500,K154&gt;=80),"CUIDADO","NO")))</f>
        <v/>
      </c>
    </row>
    <row r="155" ht="15.75" customHeight="1" s="98">
      <c r="A155" s="5" t="inlineStr">
        <is>
          <t>Balliu</t>
        </is>
      </c>
      <c r="B155" s="5" t="inlineStr">
        <is>
          <t>balliu-silla-exterior-resina-estilo-minimalista-484cbea0</t>
        </is>
      </c>
      <c r="C155" s="5" t="inlineStr">
        <is>
          <t>BALLIU_DUNA_SILLA_COLOR_NEGRO_TORT_611D28CC</t>
        </is>
      </c>
      <c r="D155" s="6" t="inlineStr">
        <is>
          <t>Silla exterior resina · estilo minimalista</t>
        </is>
      </c>
      <c r="E155" s="7" t="n">
        <v>43.92</v>
      </c>
      <c r="F155" s="7" t="n">
        <v>90.04000000000001</v>
      </c>
      <c r="G155" s="7" t="n">
        <v>25.01</v>
      </c>
      <c r="H155" s="8" t="n">
        <v>56.95</v>
      </c>
      <c r="I155" s="7" t="n">
        <v>90.04000000000001</v>
      </c>
      <c r="J155" s="7" t="n">
        <v>0</v>
      </c>
      <c r="K155" s="7">
        <f>G155-J155</f>
        <v/>
      </c>
      <c r="L155" s="7">
        <f>K155*$L$1</f>
        <v/>
      </c>
      <c r="M155" s="9">
        <f>F155/K155</f>
        <v/>
      </c>
      <c r="N155" s="10">
        <f>IF(M155&lt;3.5,"SI",IF(M155&lt;4.5,IF(K155&gt;=100,"SI",IF(K155&gt;=40,"CUIDADO","NO")),IF(AND(M155&lt;5.5,F155&gt;=500,K155&gt;=80),"CUIDADO","NO")))</f>
        <v/>
      </c>
    </row>
    <row r="156" ht="15.75" customHeight="1" s="98">
      <c r="A156" s="11" t="inlineStr">
        <is>
          <t>Balliu</t>
        </is>
      </c>
      <c r="B156" s="11" t="inlineStr">
        <is>
          <t>balliu-silla-exterior-resina-estilo-clasico-57-cm-8164cc65</t>
        </is>
      </c>
      <c r="C156" s="11" t="inlineStr">
        <is>
          <t>BALLIU_BIMBA_SILLA_BLANCA_8164CC65</t>
        </is>
      </c>
      <c r="D156" s="12" t="inlineStr">
        <is>
          <t>Silla exterior resina · estilo clásico | 57 cm</t>
        </is>
      </c>
      <c r="E156" s="13" t="n">
        <v>54.81</v>
      </c>
      <c r="F156" s="13" t="n">
        <v>112.36</v>
      </c>
      <c r="G156" s="13" t="n">
        <v>31.21</v>
      </c>
      <c r="H156" s="14" t="n">
        <v>56.95</v>
      </c>
      <c r="I156" s="13" t="n">
        <v>112.36</v>
      </c>
      <c r="J156" s="13" t="n">
        <v>0</v>
      </c>
      <c r="K156" s="13">
        <f>G156-J156</f>
        <v/>
      </c>
      <c r="L156" s="13">
        <f>K156*$L$1</f>
        <v/>
      </c>
      <c r="M156" s="15">
        <f>F156/K156</f>
        <v/>
      </c>
      <c r="N156" s="10">
        <f>IF(M156&lt;3.5,"SI",IF(M156&lt;4.5,IF(K156&gt;=100,"SI",IF(K156&gt;=40,"CUIDADO","NO")),IF(AND(M156&lt;5.5,F156&gt;=500,K156&gt;=80),"CUIDADO","NO")))</f>
        <v/>
      </c>
    </row>
    <row r="157" ht="15.75" customHeight="1" s="98">
      <c r="A157" s="5" t="inlineStr">
        <is>
          <t>Balliu</t>
        </is>
      </c>
      <c r="B157" s="5" t="inlineStr">
        <is>
          <t>balliu-silla-exterior-resina-estilo-clasico-57-cm-8164cc65</t>
        </is>
      </c>
      <c r="C157" s="5" t="inlineStr">
        <is>
          <t>BALLIU_BIMBA_SILLA_NEGRA_5F329445</t>
        </is>
      </c>
      <c r="D157" s="6" t="inlineStr">
        <is>
          <t>Silla exterior resina · estilo clásico | 57 cm</t>
        </is>
      </c>
      <c r="E157" s="7" t="n">
        <v>55.63</v>
      </c>
      <c r="F157" s="7" t="n">
        <v>114.04</v>
      </c>
      <c r="G157" s="7" t="n">
        <v>31.68</v>
      </c>
      <c r="H157" s="8" t="n">
        <v>56.95</v>
      </c>
      <c r="I157" s="7" t="n">
        <v>114.04</v>
      </c>
      <c r="J157" s="7" t="n">
        <v>0</v>
      </c>
      <c r="K157" s="7">
        <f>G157-J157</f>
        <v/>
      </c>
      <c r="L157" s="7">
        <f>K157*$L$1</f>
        <v/>
      </c>
      <c r="M157" s="9">
        <f>F157/K157</f>
        <v/>
      </c>
      <c r="N157" s="10">
        <f>IF(M157&lt;3.5,"SI",IF(M157&lt;4.5,IF(K157&gt;=100,"SI",IF(K157&gt;=40,"CUIDADO","NO")),IF(AND(M157&lt;5.5,F157&gt;=500,K157&gt;=80),"CUIDADO","NO")))</f>
        <v/>
      </c>
    </row>
    <row r="158" ht="15.75" customHeight="1" s="98">
      <c r="A158" s="11" t="inlineStr">
        <is>
          <t>Balliu</t>
        </is>
      </c>
      <c r="B158" s="11" t="inlineStr">
        <is>
          <t>balliu-silla-exterior-resina-estilo-funcional-0b607ec7</t>
        </is>
      </c>
      <c r="C158" s="11" t="inlineStr">
        <is>
          <t>BALLIU_SELVA_SILLA_BLANCA_0B607EC7</t>
        </is>
      </c>
      <c r="D158" s="12" t="inlineStr">
        <is>
          <t>Silla exterior resina · estilo funcional</t>
        </is>
      </c>
      <c r="E158" s="13" t="n">
        <v>17.17</v>
      </c>
      <c r="F158" s="13" t="n">
        <v>35.2</v>
      </c>
      <c r="G158" s="13" t="n">
        <v>9.779999999999999</v>
      </c>
      <c r="H158" s="14" t="n">
        <v>56.95</v>
      </c>
      <c r="I158" s="13" t="n">
        <v>35.2</v>
      </c>
      <c r="J158" s="13" t="n">
        <v>0</v>
      </c>
      <c r="K158" s="13">
        <f>G158-J158</f>
        <v/>
      </c>
      <c r="L158" s="13">
        <f>K158*$L$1</f>
        <v/>
      </c>
      <c r="M158" s="15">
        <f>F158/K158</f>
        <v/>
      </c>
      <c r="N158" s="10">
        <f>IF(M158&lt;3.5,"SI",IF(M158&lt;4.5,IF(K158&gt;=100,"SI",IF(K158&gt;=40,"CUIDADO","NO")),IF(AND(M158&lt;5.5,F158&gt;=500,K158&gt;=80),"CUIDADO","NO")))</f>
        <v/>
      </c>
    </row>
    <row r="159" ht="15.75" customHeight="1" s="98">
      <c r="A159" s="5" t="inlineStr">
        <is>
          <t>Balliu</t>
        </is>
      </c>
      <c r="B159" s="5" t="inlineStr">
        <is>
          <t>balliu-silla-exterior-resina-estilo-funcional-0b607ec7</t>
        </is>
      </c>
      <c r="C159" s="5" t="inlineStr">
        <is>
          <t>BALLIU_SELVA_SILLA_COLOR_5FDA60B0</t>
        </is>
      </c>
      <c r="D159" s="6" t="inlineStr">
        <is>
          <t>Silla exterior resina · estilo funcional</t>
        </is>
      </c>
      <c r="E159" s="7" t="n">
        <v>20.77</v>
      </c>
      <c r="F159" s="7" t="n">
        <v>42.58</v>
      </c>
      <c r="G159" s="7" t="n">
        <v>11.83</v>
      </c>
      <c r="H159" s="8" t="n">
        <v>56.95</v>
      </c>
      <c r="I159" s="7" t="n">
        <v>42.58</v>
      </c>
      <c r="J159" s="7" t="n">
        <v>0</v>
      </c>
      <c r="K159" s="7">
        <f>G159-J159</f>
        <v/>
      </c>
      <c r="L159" s="7">
        <f>K159*$L$1</f>
        <v/>
      </c>
      <c r="M159" s="9">
        <f>F159/K159</f>
        <v/>
      </c>
      <c r="N159" s="10">
        <f>IF(M159&lt;3.5,"SI",IF(M159&lt;4.5,IF(K159&gt;=100,"SI",IF(K159&gt;=40,"CUIDADO","NO")),IF(AND(M159&lt;5.5,F159&gt;=500,K159&gt;=80),"CUIDADO","NO")))</f>
        <v/>
      </c>
    </row>
    <row r="160" ht="15.75" customHeight="1" s="98">
      <c r="A160" s="11" t="inlineStr">
        <is>
          <t>Balliu</t>
        </is>
      </c>
      <c r="B160" s="11" t="inlineStr">
        <is>
          <t>balliu-silla-exterior-sin-brazos-resina-estilo-contemporaneo-49-cm-af080e9c</t>
        </is>
      </c>
      <c r="C160" s="11" t="inlineStr">
        <is>
          <t>BALLIU_BRUNA_SILLA_SIN_BRAZOS_AF080E9C</t>
        </is>
      </c>
      <c r="D160" s="12" t="inlineStr">
        <is>
          <t>Silla exterior sin brazos resina · estilo contemporáneo | 49 cm</t>
        </is>
      </c>
      <c r="E160" s="13" t="n">
        <v>43.89</v>
      </c>
      <c r="F160" s="13" t="n">
        <v>89.97</v>
      </c>
      <c r="G160" s="13" t="n">
        <v>25</v>
      </c>
      <c r="H160" s="14" t="n">
        <v>56.95</v>
      </c>
      <c r="I160" s="13" t="n">
        <v>89.97</v>
      </c>
      <c r="J160" s="13" t="n">
        <v>0</v>
      </c>
      <c r="K160" s="13">
        <f>G160-J160</f>
        <v/>
      </c>
      <c r="L160" s="13">
        <f>K160*$L$1</f>
        <v/>
      </c>
      <c r="M160" s="15">
        <f>F160/K160</f>
        <v/>
      </c>
      <c r="N160" s="10">
        <f>IF(M160&lt;3.5,"SI",IF(M160&lt;4.5,IF(K160&gt;=100,"SI",IF(K160&gt;=40,"CUIDADO","NO")),IF(AND(M160&lt;5.5,F160&gt;=500,K160&gt;=80),"CUIDADO","NO")))</f>
        <v/>
      </c>
    </row>
    <row r="161" ht="15.75" customHeight="1" s="98">
      <c r="A161" s="5" t="inlineStr">
        <is>
          <t>Balliu</t>
        </is>
      </c>
      <c r="B161" s="5" t="inlineStr">
        <is>
          <t>balliu-silla-exterior-sin-brazos-resina-estilo-contemporaneo-49-cm-af080e9c</t>
        </is>
      </c>
      <c r="C161" s="5" t="inlineStr">
        <is>
          <t>BALLIU_BRUNA_SILLA_CON_BRAZOS_D52BECC5</t>
        </is>
      </c>
      <c r="D161" s="6" t="inlineStr">
        <is>
          <t>Silla exterior con brazos resina · estilo contemporáneo | 49 cm</t>
        </is>
      </c>
      <c r="E161" s="7" t="n">
        <v>52.19</v>
      </c>
      <c r="F161" s="7" t="n">
        <v>106.99</v>
      </c>
      <c r="G161" s="7" t="n">
        <v>29.72</v>
      </c>
      <c r="H161" s="8" t="n">
        <v>56.95</v>
      </c>
      <c r="I161" s="7" t="n">
        <v>106.99</v>
      </c>
      <c r="J161" s="7" t="n">
        <v>0</v>
      </c>
      <c r="K161" s="7">
        <f>G161-J161</f>
        <v/>
      </c>
      <c r="L161" s="7">
        <f>K161*$L$1</f>
        <v/>
      </c>
      <c r="M161" s="9">
        <f>F161/K161</f>
        <v/>
      </c>
      <c r="N161" s="10">
        <f>IF(M161&lt;3.5,"SI",IF(M161&lt;4.5,IF(K161&gt;=100,"SI",IF(K161&gt;=40,"CUIDADO","NO")),IF(AND(M161&lt;5.5,F161&gt;=500,K161&gt;=80),"CUIDADO","NO")))</f>
        <v/>
      </c>
    </row>
    <row r="162" ht="15.75" customHeight="1" s="98">
      <c r="A162" s="11" t="inlineStr">
        <is>
          <t>Balliu</t>
        </is>
      </c>
      <c r="B162" s="11" t="inlineStr">
        <is>
          <t>balliu-silla-exterior-sin-brazos-resina-estilo-funcional-daabcdaf</t>
        </is>
      </c>
      <c r="C162" s="11" t="inlineStr">
        <is>
          <t>BALLIU_VERA_SILLA_SIN_BRAZOS_DAABCDAF</t>
        </is>
      </c>
      <c r="D162" s="12" t="inlineStr">
        <is>
          <t>Silla exterior sin brazos resina · estilo funcional</t>
        </is>
      </c>
      <c r="E162" s="13" t="n">
        <v>48.33</v>
      </c>
      <c r="F162" s="13" t="n">
        <v>99.08</v>
      </c>
      <c r="G162" s="13" t="n">
        <v>27.52</v>
      </c>
      <c r="H162" s="14" t="n">
        <v>56.95</v>
      </c>
      <c r="I162" s="13" t="n">
        <v>99.08</v>
      </c>
      <c r="J162" s="13" t="n">
        <v>0</v>
      </c>
      <c r="K162" s="13">
        <f>G162-J162</f>
        <v/>
      </c>
      <c r="L162" s="13">
        <f>K162*$L$1</f>
        <v/>
      </c>
      <c r="M162" s="15">
        <f>F162/K162</f>
        <v/>
      </c>
      <c r="N162" s="10">
        <f>IF(M162&lt;3.5,"SI",IF(M162&lt;4.5,IF(K162&gt;=100,"SI",IF(K162&gt;=40,"CUIDADO","NO")),IF(AND(M162&lt;5.5,F162&gt;=500,K162&gt;=80),"CUIDADO","NO")))</f>
        <v/>
      </c>
    </row>
    <row r="163" ht="15.75" customHeight="1" s="98">
      <c r="A163" s="5" t="inlineStr">
        <is>
          <t>Balliu</t>
        </is>
      </c>
      <c r="B163" s="5" t="inlineStr">
        <is>
          <t>balliu-silla-exterior-sin-brazos-resina-estilo-funcional-daabcdaf</t>
        </is>
      </c>
      <c r="C163" s="5" t="inlineStr">
        <is>
          <t>BALLIU_VERA_SILLA_CON_BRAZOS_75353330</t>
        </is>
      </c>
      <c r="D163" s="6" t="inlineStr">
        <is>
          <t>Silla exterior con brazos resina · estilo funcional</t>
        </is>
      </c>
      <c r="E163" s="7" t="n">
        <v>49.44</v>
      </c>
      <c r="F163" s="7" t="n">
        <v>101.35</v>
      </c>
      <c r="G163" s="7" t="n">
        <v>28.16</v>
      </c>
      <c r="H163" s="8" t="n">
        <v>56.95</v>
      </c>
      <c r="I163" s="7" t="n">
        <v>101.35</v>
      </c>
      <c r="J163" s="7" t="n">
        <v>0</v>
      </c>
      <c r="K163" s="7">
        <f>G163-J163</f>
        <v/>
      </c>
      <c r="L163" s="7">
        <f>K163*$L$1</f>
        <v/>
      </c>
      <c r="M163" s="9">
        <f>F163/K163</f>
        <v/>
      </c>
      <c r="N163" s="10">
        <f>IF(M163&lt;3.5,"SI",IF(M163&lt;4.5,IF(K163&gt;=100,"SI",IF(K163&gt;=40,"CUIDADO","NO")),IF(AND(M163&lt;5.5,F163&gt;=500,K163&gt;=80),"CUIDADO","NO")))</f>
        <v/>
      </c>
    </row>
    <row r="164" ht="15.75" customHeight="1" s="98">
      <c r="A164" s="11" t="inlineStr">
        <is>
          <t>Balliu</t>
        </is>
      </c>
      <c r="B164" s="11" t="inlineStr">
        <is>
          <t>balliu-silla-exterior-sin-brazos-resina-estilo-funcional-daabcdaf</t>
        </is>
      </c>
      <c r="C164" s="11" t="inlineStr">
        <is>
          <t>BALLIU_VERA_SILLA_L_CON_BRAZOS_51F30794</t>
        </is>
      </c>
      <c r="D164" s="12" t="inlineStr">
        <is>
          <t>Silla exterior con brazos resina · estilo funcional</t>
        </is>
      </c>
      <c r="E164" s="13" t="n">
        <v>71.33</v>
      </c>
      <c r="F164" s="13" t="n">
        <v>146.23</v>
      </c>
      <c r="G164" s="13" t="n">
        <v>40.62</v>
      </c>
      <c r="H164" s="14" t="n">
        <v>56.95</v>
      </c>
      <c r="I164" s="13" t="n">
        <v>146.23</v>
      </c>
      <c r="J164" s="13" t="n">
        <v>0</v>
      </c>
      <c r="K164" s="13">
        <f>G164-J164</f>
        <v/>
      </c>
      <c r="L164" s="13">
        <f>K164*$L$1</f>
        <v/>
      </c>
      <c r="M164" s="15">
        <f>F164/K164</f>
        <v/>
      </c>
      <c r="N164" s="10">
        <f>IF(M164&lt;3.5,"SI",IF(M164&lt;4.5,IF(K164&gt;=100,"SI",IF(K164&gt;=40,"CUIDADO","NO")),IF(AND(M164&lt;5.5,F164&gt;=500,K164&gt;=80),"CUIDADO","NO")))</f>
        <v/>
      </c>
    </row>
    <row r="165" ht="15.75" customHeight="1" s="98">
      <c r="A165" s="5" t="inlineStr">
        <is>
          <t>Balliu</t>
        </is>
      </c>
      <c r="B165" s="5" t="inlineStr">
        <is>
          <t>balliu-silla-exterior-sin-brazos-estilo-contemporaneo-53-cm-cd07e7d6</t>
        </is>
      </c>
      <c r="C165" s="5" t="inlineStr">
        <is>
          <t>BALLIU_SILLA_VENUS_SIN_BRAZOS_CD07E7D6</t>
        </is>
      </c>
      <c r="D165" s="6" t="inlineStr">
        <is>
          <t>Silla exterior sin brazos · estilo contemporáneo | 53 cm</t>
        </is>
      </c>
      <c r="E165" s="7" t="n">
        <v>40.56</v>
      </c>
      <c r="F165" s="7" t="n">
        <v>83.15000000000001</v>
      </c>
      <c r="G165" s="7" t="n">
        <v>23.1</v>
      </c>
      <c r="H165" s="8" t="n">
        <v>56.95</v>
      </c>
      <c r="I165" s="7" t="n">
        <v>83.15000000000001</v>
      </c>
      <c r="J165" s="7" t="n">
        <v>0</v>
      </c>
      <c r="K165" s="7">
        <f>G165-J165</f>
        <v/>
      </c>
      <c r="L165" s="7">
        <f>K165*$L$1</f>
        <v/>
      </c>
      <c r="M165" s="9">
        <f>F165/K165</f>
        <v/>
      </c>
      <c r="N165" s="10">
        <f>IF(M165&lt;3.5,"SI",IF(M165&lt;4.5,IF(K165&gt;=100,"SI",IF(K165&gt;=40,"CUIDADO","NO")),IF(AND(M165&lt;5.5,F165&gt;=500,K165&gt;=80),"CUIDADO","NO")))</f>
        <v/>
      </c>
    </row>
    <row r="166" ht="15.75" customHeight="1" s="98">
      <c r="A166" s="11" t="inlineStr">
        <is>
          <t>Balliu</t>
        </is>
      </c>
      <c r="B166" s="11" t="inlineStr">
        <is>
          <t>balliu-silla-exterior-con-brazos-estilo-contemporaneo-53-cm-c654c52f</t>
        </is>
      </c>
      <c r="C166" s="11" t="inlineStr">
        <is>
          <t>BALLIU_SILLA_VENUS_CON_BRAZOS_C654C52F</t>
        </is>
      </c>
      <c r="D166" s="12" t="inlineStr">
        <is>
          <t>Silla exterior con brazos · estilo contemporáneo | 53 cm</t>
        </is>
      </c>
      <c r="E166" s="13" t="n">
        <v>43.83</v>
      </c>
      <c r="F166" s="13" t="n">
        <v>89.84999999999999</v>
      </c>
      <c r="G166" s="13" t="n">
        <v>24.96</v>
      </c>
      <c r="H166" s="14" t="n">
        <v>56.95</v>
      </c>
      <c r="I166" s="13" t="n">
        <v>89.84999999999999</v>
      </c>
      <c r="J166" s="13" t="n">
        <v>0</v>
      </c>
      <c r="K166" s="13">
        <f>G166-J166</f>
        <v/>
      </c>
      <c r="L166" s="13">
        <f>K166*$L$1</f>
        <v/>
      </c>
      <c r="M166" s="15">
        <f>F166/K166</f>
        <v/>
      </c>
      <c r="N166" s="10">
        <f>IF(M166&lt;3.5,"SI",IF(M166&lt;4.5,IF(K166&gt;=100,"SI",IF(K166&gt;=40,"CUIDADO","NO")),IF(AND(M166&lt;5.5,F166&gt;=500,K166&gt;=80),"CUIDADO","NO")))</f>
        <v/>
      </c>
    </row>
    <row r="167" ht="15.75" customHeight="1" s="98">
      <c r="A167" s="5" t="inlineStr">
        <is>
          <t>Balliu</t>
        </is>
      </c>
      <c r="B167" s="5" t="inlineStr">
        <is>
          <t>balliu-silla-exterior-con-brazos-resina-estilo-funcional-94b6e5b5-2</t>
        </is>
      </c>
      <c r="C167" s="5" t="inlineStr">
        <is>
          <t>BALLIU_BRUNA_SILLA_CON_BRAZ_94B6E5B5</t>
        </is>
      </c>
      <c r="D167" s="6" t="inlineStr">
        <is>
          <t>Silla exterior con brazos resina · estilo funcional</t>
        </is>
      </c>
      <c r="E167" s="7" t="n">
        <v>55.51</v>
      </c>
      <c r="F167" s="7" t="n">
        <v>113.8</v>
      </c>
      <c r="G167" s="7" t="n">
        <v>31.61</v>
      </c>
      <c r="H167" s="8" t="n">
        <v>56.95</v>
      </c>
      <c r="I167" s="7" t="n">
        <v>113.8</v>
      </c>
      <c r="J167" s="7" t="n">
        <v>0</v>
      </c>
      <c r="K167" s="7">
        <f>G167-J167</f>
        <v/>
      </c>
      <c r="L167" s="7">
        <f>K167*$L$1</f>
        <v/>
      </c>
      <c r="M167" s="9">
        <f>F167/K167</f>
        <v/>
      </c>
      <c r="N167" s="10">
        <f>IF(M167&lt;3.5,"SI",IF(M167&lt;4.5,IF(K167&gt;=100,"SI",IF(K167&gt;=40,"CUIDADO","NO")),IF(AND(M167&lt;5.5,F167&gt;=500,K167&gt;=80),"CUIDADO","NO")))</f>
        <v/>
      </c>
    </row>
    <row r="168" ht="15.75" customHeight="1" s="98">
      <c r="A168" s="11" t="inlineStr">
        <is>
          <t>Balliu</t>
        </is>
      </c>
      <c r="B168" s="11" t="inlineStr">
        <is>
          <t>balliu-silla-exterior-con-brazos-aluminio-estilo-elegante-58-cm-bc0c02ec</t>
        </is>
      </c>
      <c r="C168" s="11" t="inlineStr">
        <is>
          <t>BALLIU_MILA_SILLA_CON_BRAZOS_BC0C02EC</t>
        </is>
      </c>
      <c r="D168" s="12" t="inlineStr">
        <is>
          <t>Silla exterior con brazos aluminio · estilo elegante | 58 cm</t>
        </is>
      </c>
      <c r="E168" s="13" t="n">
        <v>60.67</v>
      </c>
      <c r="F168" s="13" t="n">
        <v>124.37</v>
      </c>
      <c r="G168" s="13" t="n">
        <v>34.55</v>
      </c>
      <c r="H168" s="14" t="n">
        <v>56.95</v>
      </c>
      <c r="I168" s="13" t="n">
        <v>124.37</v>
      </c>
      <c r="J168" s="13" t="n">
        <v>0</v>
      </c>
      <c r="K168" s="13">
        <f>G168-J168</f>
        <v/>
      </c>
      <c r="L168" s="13">
        <f>K168*$L$1</f>
        <v/>
      </c>
      <c r="M168" s="15">
        <f>F168/K168</f>
        <v/>
      </c>
      <c r="N168" s="10">
        <f>IF(M168&lt;3.5,"SI",IF(M168&lt;4.5,IF(K168&gt;=100,"SI",IF(K168&gt;=40,"CUIDADO","NO")),IF(AND(M168&lt;5.5,F168&gt;=500,K168&gt;=80),"CUIDADO","NO")))</f>
        <v/>
      </c>
    </row>
    <row r="169" ht="15.75" customHeight="1" s="98">
      <c r="A169" s="5" t="inlineStr">
        <is>
          <t>Balliu</t>
        </is>
      </c>
      <c r="B169" s="5" t="inlineStr">
        <is>
          <t>balliu-silla-exterior-con-brazos-resina-estilo-funcional-94b6e5b5-2</t>
        </is>
      </c>
      <c r="C169" s="5" t="inlineStr">
        <is>
          <t>BALLIU_BRUNA_SILLA_CON_BRAZ_94B6E5B5</t>
        </is>
      </c>
      <c r="D169" s="6" t="inlineStr">
        <is>
          <t>Silla exterior con brazos resina · estilo funcional</t>
        </is>
      </c>
      <c r="E169" s="7" t="n">
        <v>122.56</v>
      </c>
      <c r="F169" s="7" t="n">
        <v>251.25</v>
      </c>
      <c r="G169" s="7" t="n">
        <v>69.8</v>
      </c>
      <c r="H169" s="8" t="n">
        <v>56.95</v>
      </c>
      <c r="I169" s="7" t="n">
        <v>251.25</v>
      </c>
      <c r="J169" s="7" t="n">
        <v>0</v>
      </c>
      <c r="K169" s="7">
        <f>G169-J169</f>
        <v/>
      </c>
      <c r="L169" s="7">
        <f>K169*$L$1</f>
        <v/>
      </c>
      <c r="M169" s="9">
        <f>F169/K169</f>
        <v/>
      </c>
      <c r="N169" s="10">
        <f>IF(M169&lt;3.5,"SI",IF(M169&lt;4.5,IF(K169&gt;=100,"SI",IF(K169&gt;=40,"CUIDADO","NO")),IF(AND(M169&lt;5.5,F169&gt;=500,K169&gt;=80),"CUIDADO","NO")))</f>
        <v/>
      </c>
    </row>
    <row r="170" ht="15.75" customHeight="1" s="98">
      <c r="A170" s="11" t="inlineStr">
        <is>
          <t>Balliu</t>
        </is>
      </c>
      <c r="B170" s="11" t="inlineStr">
        <is>
          <t>balliu-silla-exterior-aluminio-estilo-contemporaneo-afd89221</t>
        </is>
      </c>
      <c r="C170" s="11" t="inlineStr">
        <is>
          <t>BALLIU_GRETA_SILLA_ALUMINIO_AFD89221</t>
        </is>
      </c>
      <c r="D170" s="12" t="inlineStr">
        <is>
          <t>Silla exterior aluminio · estilo contemporáneo</t>
        </is>
      </c>
      <c r="E170" s="13" t="n">
        <v>96.11</v>
      </c>
      <c r="F170" s="13" t="n">
        <v>197.03</v>
      </c>
      <c r="G170" s="13" t="n">
        <v>54.73</v>
      </c>
      <c r="H170" s="14" t="n">
        <v>56.95</v>
      </c>
      <c r="I170" s="13" t="n">
        <v>197.03</v>
      </c>
      <c r="J170" s="13" t="n">
        <v>0</v>
      </c>
      <c r="K170" s="13">
        <f>G170-J170</f>
        <v/>
      </c>
      <c r="L170" s="13">
        <f>K170*$L$1</f>
        <v/>
      </c>
      <c r="M170" s="15">
        <f>F170/K170</f>
        <v/>
      </c>
      <c r="N170" s="10">
        <f>IF(M170&lt;3.5,"SI",IF(M170&lt;4.5,IF(K170&gt;=100,"SI",IF(K170&gt;=40,"CUIDADO","NO")),IF(AND(M170&lt;5.5,F170&gt;=500,K170&gt;=80),"CUIDADO","NO")))</f>
        <v/>
      </c>
    </row>
    <row r="171" ht="15.75" customHeight="1" s="98">
      <c r="A171" s="5" t="inlineStr">
        <is>
          <t>Balliu</t>
        </is>
      </c>
      <c r="B171" s="5" t="inlineStr">
        <is>
          <t>balliu-mesa-exterior-aluminio-9e30ca7f</t>
        </is>
      </c>
      <c r="C171" s="5" t="inlineStr">
        <is>
          <t>BALLIU_GRETA_MESA_TABLERO_ALUMINIO_9E30CA7F</t>
        </is>
      </c>
      <c r="D171" s="6" t="inlineStr">
        <is>
          <t>Mesa exterior aluminio</t>
        </is>
      </c>
      <c r="E171" s="7" t="n">
        <v>67.33</v>
      </c>
      <c r="F171" s="7" t="n">
        <v>138.03</v>
      </c>
      <c r="G171" s="7" t="n">
        <v>38.34</v>
      </c>
      <c r="H171" s="8" t="n">
        <v>56.95</v>
      </c>
      <c r="I171" s="7" t="n">
        <v>138.03</v>
      </c>
      <c r="J171" s="7" t="n">
        <v>0</v>
      </c>
      <c r="K171" s="7">
        <f>G171-J171</f>
        <v/>
      </c>
      <c r="L171" s="7">
        <f>K171*$L$1</f>
        <v/>
      </c>
      <c r="M171" s="9">
        <f>F171/K171</f>
        <v/>
      </c>
      <c r="N171" s="10">
        <f>IF(M171&lt;3.5,"SI",IF(M171&lt;4.5,IF(K171&gt;=100,"SI",IF(K171&gt;=40,"CUIDADO","NO")),IF(AND(M171&lt;5.5,F171&gt;=500,K171&gt;=80),"CUIDADO","NO")))</f>
        <v/>
      </c>
    </row>
    <row r="172" ht="15.75" customHeight="1" s="98">
      <c r="A172" s="11" t="inlineStr">
        <is>
          <t>Balliu</t>
        </is>
      </c>
      <c r="B172" s="11" t="inlineStr">
        <is>
          <t>balliu-mesa-exterior-5d0fb586</t>
        </is>
      </c>
      <c r="C172" s="11" t="inlineStr">
        <is>
          <t>BALLIU_MINI_MESA_COLOR_BLANCO_5D0FB586</t>
        </is>
      </c>
      <c r="D172" s="12" t="inlineStr">
        <is>
          <t>Mesa exterior</t>
        </is>
      </c>
      <c r="E172" s="13" t="n">
        <v>14.17</v>
      </c>
      <c r="F172" s="13" t="n">
        <v>29.05</v>
      </c>
      <c r="G172" s="13" t="n">
        <v>8.07</v>
      </c>
      <c r="H172" s="14" t="n">
        <v>56.95</v>
      </c>
      <c r="I172" s="13" t="n">
        <v>29.05</v>
      </c>
      <c r="J172" s="13" t="n">
        <v>0</v>
      </c>
      <c r="K172" s="13">
        <f>G172-J172</f>
        <v/>
      </c>
      <c r="L172" s="13">
        <f>K172*$L$1</f>
        <v/>
      </c>
      <c r="M172" s="15">
        <f>F172/K172</f>
        <v/>
      </c>
      <c r="N172" s="10">
        <f>IF(M172&lt;3.5,"SI",IF(M172&lt;4.5,IF(K172&gt;=100,"SI",IF(K172&gt;=40,"CUIDADO","NO")),IF(AND(M172&lt;5.5,F172&gt;=500,K172&gt;=80),"CUIDADO","NO")))</f>
        <v/>
      </c>
    </row>
    <row r="173" ht="15.75" customHeight="1" s="98">
      <c r="A173" s="5" t="inlineStr">
        <is>
          <t>Balliu</t>
        </is>
      </c>
      <c r="B173" s="5" t="inlineStr">
        <is>
          <t>balliu-mesa-exterior-1cf4d3d5</t>
        </is>
      </c>
      <c r="C173" s="5" t="inlineStr">
        <is>
          <t>BALLIU_MINI_MESA_COLOR_NATURAL_PR_1CF4D3D5</t>
        </is>
      </c>
      <c r="D173" s="6" t="inlineStr">
        <is>
          <t>Mesa exterior</t>
        </is>
      </c>
      <c r="E173" s="7" t="n">
        <v>14.95</v>
      </c>
      <c r="F173" s="7" t="n">
        <v>30.65</v>
      </c>
      <c r="G173" s="7" t="n">
        <v>8.51</v>
      </c>
      <c r="H173" s="8" t="n">
        <v>56.95</v>
      </c>
      <c r="I173" s="7" t="n">
        <v>30.65</v>
      </c>
      <c r="J173" s="7" t="n">
        <v>0</v>
      </c>
      <c r="K173" s="7">
        <f>G173-J173</f>
        <v/>
      </c>
      <c r="L173" s="7">
        <f>K173*$L$1</f>
        <v/>
      </c>
      <c r="M173" s="9">
        <f>F173/K173</f>
        <v/>
      </c>
      <c r="N173" s="10">
        <f>IF(M173&lt;3.5,"SI",IF(M173&lt;4.5,IF(K173&gt;=100,"SI",IF(K173&gt;=40,"CUIDADO","NO")),IF(AND(M173&lt;5.5,F173&gt;=500,K173&gt;=80),"CUIDADO","NO")))</f>
        <v/>
      </c>
    </row>
    <row r="174" ht="15.75" customHeight="1" s="98">
      <c r="A174" s="11" t="inlineStr">
        <is>
          <t>Balliu</t>
        </is>
      </c>
      <c r="B174" s="11" t="inlineStr">
        <is>
          <t>balliu-mesa-auxiliar-exterior-resina-48-cm-de421a42</t>
        </is>
      </c>
      <c r="C174" s="11" t="inlineStr">
        <is>
          <t>BALLIU_EVA_PRO_MINI_MESA_AU_COLOR_BLANCO_DE421A42</t>
        </is>
      </c>
      <c r="D174" s="12" t="inlineStr">
        <is>
          <t>Mesa auxiliar exterior resina | 48 cm</t>
        </is>
      </c>
      <c r="E174" s="13" t="n">
        <v>17.13</v>
      </c>
      <c r="F174" s="13" t="n">
        <v>35.12</v>
      </c>
      <c r="G174" s="13" t="n">
        <v>9.75</v>
      </c>
      <c r="H174" s="14" t="n">
        <v>56.95</v>
      </c>
      <c r="I174" s="13" t="n">
        <v>35.12</v>
      </c>
      <c r="J174" s="13" t="n">
        <v>0</v>
      </c>
      <c r="K174" s="13">
        <f>G174-J174</f>
        <v/>
      </c>
      <c r="L174" s="13">
        <f>K174*$L$1</f>
        <v/>
      </c>
      <c r="M174" s="15">
        <f>F174/K174</f>
        <v/>
      </c>
      <c r="N174" s="10">
        <f>IF(M174&lt;3.5,"SI",IF(M174&lt;4.5,IF(K174&gt;=100,"SI",IF(K174&gt;=40,"CUIDADO","NO")),IF(AND(M174&lt;5.5,F174&gt;=500,K174&gt;=80),"CUIDADO","NO")))</f>
        <v/>
      </c>
    </row>
    <row r="175" ht="15.75" customHeight="1" s="98">
      <c r="A175" s="5" t="inlineStr">
        <is>
          <t>Balliu</t>
        </is>
      </c>
      <c r="B175" s="5" t="inlineStr">
        <is>
          <t>balliu-mesa-auxiliar-exterior-resina-48-cm-911a77ba</t>
        </is>
      </c>
      <c r="C175" s="5" t="inlineStr">
        <is>
          <t>BALLIU_EVA_PRO_MINI_MESA_AU_COLOR_NATURAL_PR_911A77BA</t>
        </is>
      </c>
      <c r="D175" s="6" t="inlineStr">
        <is>
          <t>Mesa auxiliar exterior resina | 48 cm</t>
        </is>
      </c>
      <c r="E175" s="7" t="n">
        <v>17.63</v>
      </c>
      <c r="F175" s="7" t="n">
        <v>36.14</v>
      </c>
      <c r="G175" s="7" t="n">
        <v>10.04</v>
      </c>
      <c r="H175" s="8" t="n">
        <v>56.95</v>
      </c>
      <c r="I175" s="7" t="n">
        <v>36.14</v>
      </c>
      <c r="J175" s="7" t="n">
        <v>0</v>
      </c>
      <c r="K175" s="7">
        <f>G175-J175</f>
        <v/>
      </c>
      <c r="L175" s="7">
        <f>K175*$L$1</f>
        <v/>
      </c>
      <c r="M175" s="9">
        <f>F175/K175</f>
        <v/>
      </c>
      <c r="N175" s="10">
        <f>IF(M175&lt;3.5,"SI",IF(M175&lt;4.5,IF(K175&gt;=100,"SI",IF(K175&gt;=40,"CUIDADO","NO")),IF(AND(M175&lt;5.5,F175&gt;=500,K175&gt;=80),"CUIDADO","NO")))</f>
        <v/>
      </c>
    </row>
    <row r="176" ht="15.75" customHeight="1" s="98">
      <c r="A176" s="11" t="inlineStr">
        <is>
          <t>Balliu</t>
        </is>
      </c>
      <c r="B176" s="11" t="inlineStr">
        <is>
          <t>balliu-mesa-auxiliar-exterior-resina-48-cm-35554775</t>
        </is>
      </c>
      <c r="C176" s="11" t="inlineStr">
        <is>
          <t>BALLIU_EVA_PRO_BCN_MESA_AUX_COLOR_BLANCO_35554775</t>
        </is>
      </c>
      <c r="D176" s="12" t="inlineStr">
        <is>
          <t>Mesa auxiliar exterior resina | 48 cm</t>
        </is>
      </c>
      <c r="E176" s="13" t="n">
        <v>18.44</v>
      </c>
      <c r="F176" s="13" t="n">
        <v>37.8</v>
      </c>
      <c r="G176" s="13" t="n">
        <v>10.5</v>
      </c>
      <c r="H176" s="14" t="n">
        <v>56.95</v>
      </c>
      <c r="I176" s="13" t="n">
        <v>37.8</v>
      </c>
      <c r="J176" s="13" t="n">
        <v>0</v>
      </c>
      <c r="K176" s="13">
        <f>G176-J176</f>
        <v/>
      </c>
      <c r="L176" s="13">
        <f>K176*$L$1</f>
        <v/>
      </c>
      <c r="M176" s="15">
        <f>F176/K176</f>
        <v/>
      </c>
      <c r="N176" s="10">
        <f>IF(M176&lt;3.5,"SI",IF(M176&lt;4.5,IF(K176&gt;=100,"SI",IF(K176&gt;=40,"CUIDADO","NO")),IF(AND(M176&lt;5.5,F176&gt;=500,K176&gt;=80),"CUIDADO","NO")))</f>
        <v/>
      </c>
    </row>
    <row r="177" ht="15.75" customHeight="1" s="98">
      <c r="A177" s="5" t="inlineStr">
        <is>
          <t>Balliu</t>
        </is>
      </c>
      <c r="B177" s="5" t="inlineStr">
        <is>
          <t>balliu-mesa-auxiliar-exterior-resina-48-cm-25cd2ede</t>
        </is>
      </c>
      <c r="C177" s="5" t="inlineStr">
        <is>
          <t>BALLIU_EVA_PRO_BCN_MESA_AUX_COLOR_NATURAL_PR_25CD2EDE</t>
        </is>
      </c>
      <c r="D177" s="6" t="inlineStr">
        <is>
          <t>Mesa auxiliar exterior resina | 48 cm</t>
        </is>
      </c>
      <c r="E177" s="7" t="n">
        <v>19.36</v>
      </c>
      <c r="F177" s="7" t="n">
        <v>39.69</v>
      </c>
      <c r="G177" s="7" t="n">
        <v>11.03</v>
      </c>
      <c r="H177" s="8" t="n">
        <v>56.95</v>
      </c>
      <c r="I177" s="7" t="n">
        <v>39.69</v>
      </c>
      <c r="J177" s="7" t="n">
        <v>0</v>
      </c>
      <c r="K177" s="7">
        <f>G177-J177</f>
        <v/>
      </c>
      <c r="L177" s="7">
        <f>K177*$L$1</f>
        <v/>
      </c>
      <c r="M177" s="9">
        <f>F177/K177</f>
        <v/>
      </c>
      <c r="N177" s="10">
        <f>IF(M177&lt;3.5,"SI",IF(M177&lt;4.5,IF(K177&gt;=100,"SI",IF(K177&gt;=40,"CUIDADO","NO")),IF(AND(M177&lt;5.5,F177&gt;=500,K177&gt;=80),"CUIDADO","NO")))</f>
        <v/>
      </c>
    </row>
    <row r="178" ht="15.75" customHeight="1" s="98">
      <c r="A178" s="11" t="inlineStr">
        <is>
          <t>Balliu</t>
        </is>
      </c>
      <c r="B178" s="11" t="inlineStr">
        <is>
          <t>balliu-mesa-auxiliar-exterior-aluminio-54-cm-6c7a42d9</t>
        </is>
      </c>
      <c r="C178" s="11" t="inlineStr">
        <is>
          <t>BALLIU_OLIMPIA_MESA_AUXILIA_TELA_BALLIU_6C7A42D9</t>
        </is>
      </c>
      <c r="D178" s="12" t="inlineStr">
        <is>
          <t>Mesa auxiliar exterior aluminio | 54 cm</t>
        </is>
      </c>
      <c r="E178" s="13" t="n">
        <v>84.68000000000001</v>
      </c>
      <c r="F178" s="13" t="n">
        <v>173.59</v>
      </c>
      <c r="G178" s="13" t="n">
        <v>48.23</v>
      </c>
      <c r="H178" s="14" t="n">
        <v>56.95</v>
      </c>
      <c r="I178" s="13" t="n">
        <v>173.59</v>
      </c>
      <c r="J178" s="13" t="n">
        <v>0</v>
      </c>
      <c r="K178" s="13">
        <f>G178-J178</f>
        <v/>
      </c>
      <c r="L178" s="13">
        <f>K178*$L$1</f>
        <v/>
      </c>
      <c r="M178" s="15">
        <f>F178/K178</f>
        <v/>
      </c>
      <c r="N178" s="10">
        <f>IF(M178&lt;3.5,"SI",IF(M178&lt;4.5,IF(K178&gt;=100,"SI",IF(K178&gt;=40,"CUIDADO","NO")),IF(AND(M178&lt;5.5,F178&gt;=500,K178&gt;=80),"CUIDADO","NO")))</f>
        <v/>
      </c>
    </row>
    <row r="179" ht="15.75" customHeight="1" s="98">
      <c r="A179" s="5" t="inlineStr">
        <is>
          <t>Balliu</t>
        </is>
      </c>
      <c r="B179" s="5" t="inlineStr">
        <is>
          <t>balliu-mesa-auxiliar-exterior-aluminio-90b11e5b</t>
        </is>
      </c>
      <c r="C179" s="5" t="inlineStr">
        <is>
          <t>BALLIU_NOA_MESA_AUXILIAR_COLOR_BLANCO_90B11E5B</t>
        </is>
      </c>
      <c r="D179" s="6" t="inlineStr">
        <is>
          <t>Mesa auxiliar exterior aluminio</t>
        </is>
      </c>
      <c r="E179" s="7" t="n">
        <v>69.97</v>
      </c>
      <c r="F179" s="7" t="n">
        <v>143.44</v>
      </c>
      <c r="G179" s="7" t="n">
        <v>39.85</v>
      </c>
      <c r="H179" s="8" t="n">
        <v>56.95</v>
      </c>
      <c r="I179" s="7" t="n">
        <v>143.44</v>
      </c>
      <c r="J179" s="7" t="n">
        <v>0</v>
      </c>
      <c r="K179" s="7">
        <f>G179-J179</f>
        <v/>
      </c>
      <c r="L179" s="7">
        <f>K179*$L$1</f>
        <v/>
      </c>
      <c r="M179" s="9">
        <f>F179/K179</f>
        <v/>
      </c>
      <c r="N179" s="10">
        <f>IF(M179&lt;3.5,"SI",IF(M179&lt;4.5,IF(K179&gt;=100,"SI",IF(K179&gt;=40,"CUIDADO","NO")),IF(AND(M179&lt;5.5,F179&gt;=500,K179&gt;=80),"CUIDADO","NO")))</f>
        <v/>
      </c>
    </row>
    <row r="180" ht="15.75" customHeight="1" s="98">
      <c r="A180" s="11" t="inlineStr">
        <is>
          <t>Balliu</t>
        </is>
      </c>
      <c r="B180" s="11" t="inlineStr">
        <is>
          <t>balliu-mesa-auxiliar-exterior-aluminio-27ce9446</t>
        </is>
      </c>
      <c r="C180" s="11" t="inlineStr">
        <is>
          <t>BALLIU_NOA_MESA_AUXILIAR_COLOR_NATURAL_PR_27CE9446</t>
        </is>
      </c>
      <c r="D180" s="12" t="inlineStr">
        <is>
          <t>Mesa auxiliar exterior aluminio</t>
        </is>
      </c>
      <c r="E180" s="13" t="n">
        <v>73.58</v>
      </c>
      <c r="F180" s="13" t="n">
        <v>150.84</v>
      </c>
      <c r="G180" s="13" t="n">
        <v>41.9</v>
      </c>
      <c r="H180" s="14" t="n">
        <v>56.95</v>
      </c>
      <c r="I180" s="13" t="n">
        <v>150.84</v>
      </c>
      <c r="J180" s="13" t="n">
        <v>0</v>
      </c>
      <c r="K180" s="13">
        <f>G180-J180</f>
        <v/>
      </c>
      <c r="L180" s="13">
        <f>K180*$L$1</f>
        <v/>
      </c>
      <c r="M180" s="15">
        <f>F180/K180</f>
        <v/>
      </c>
      <c r="N180" s="10">
        <f>IF(M180&lt;3.5,"SI",IF(M180&lt;4.5,IF(K180&gt;=100,"SI",IF(K180&gt;=40,"CUIDADO","NO")),IF(AND(M180&lt;5.5,F180&gt;=500,K180&gt;=80),"CUIDADO","NO")))</f>
        <v/>
      </c>
    </row>
    <row r="181" ht="15.75" customHeight="1" s="98">
      <c r="A181" s="5" t="inlineStr">
        <is>
          <t>Balliu</t>
        </is>
      </c>
      <c r="B181" s="5" t="inlineStr">
        <is>
          <t>balliu-mesa-auxiliar-exterior-aluminio-60-cm-9c991818</t>
        </is>
      </c>
      <c r="C181" s="5" t="inlineStr">
        <is>
          <t>BALLIU_ETNA_MESA_AUXILIAR_TABLERO_HPL_C5331CE8</t>
        </is>
      </c>
      <c r="D181" s="6" t="inlineStr">
        <is>
          <t>Mesa auxiliar exterior aluminio | 60 cm</t>
        </is>
      </c>
      <c r="E181" s="7" t="n">
        <v>89.70999999999999</v>
      </c>
      <c r="F181" s="7" t="n">
        <v>183.91</v>
      </c>
      <c r="G181" s="7" t="n">
        <v>51.09</v>
      </c>
      <c r="H181" s="8" t="n">
        <v>56.95</v>
      </c>
      <c r="I181" s="7" t="n">
        <v>183.91</v>
      </c>
      <c r="J181" s="7" t="n">
        <v>0</v>
      </c>
      <c r="K181" s="7">
        <f>G181-J181</f>
        <v/>
      </c>
      <c r="L181" s="7">
        <f>K181*$L$1</f>
        <v/>
      </c>
      <c r="M181" s="9">
        <f>F181/K181</f>
        <v/>
      </c>
      <c r="N181" s="10">
        <f>IF(M181&lt;3.5,"SI",IF(M181&lt;4.5,IF(K181&gt;=100,"SI",IF(K181&gt;=40,"CUIDADO","NO")),IF(AND(M181&lt;5.5,F181&gt;=500,K181&gt;=80),"CUIDADO","NO")))</f>
        <v/>
      </c>
    </row>
    <row r="182" ht="15.75" customHeight="1" s="98">
      <c r="A182" s="11" t="inlineStr">
        <is>
          <t>Balliu</t>
        </is>
      </c>
      <c r="B182" s="11" t="inlineStr">
        <is>
          <t>balliu-mesa-auxiliar-exterior-aluminio-60-cm-9c991818</t>
        </is>
      </c>
      <c r="C182" s="11" t="inlineStr">
        <is>
          <t>BALLIU_ETNA_MESA_AUXILIAR_TABLERO_HPL_GD_7664D255</t>
        </is>
      </c>
      <c r="D182" s="12" t="inlineStr">
        <is>
          <t>Mesa auxiliar exterior aluminio | 60 cm</t>
        </is>
      </c>
      <c r="E182" s="13" t="n">
        <v>94.05</v>
      </c>
      <c r="F182" s="13" t="n">
        <v>192.8</v>
      </c>
      <c r="G182" s="13" t="n">
        <v>53.56</v>
      </c>
      <c r="H182" s="14" t="n">
        <v>56.95</v>
      </c>
      <c r="I182" s="13" t="n">
        <v>192.8</v>
      </c>
      <c r="J182" s="13" t="n">
        <v>0</v>
      </c>
      <c r="K182" s="13">
        <f>G182-J182</f>
        <v/>
      </c>
      <c r="L182" s="13">
        <f>K182*$L$1</f>
        <v/>
      </c>
      <c r="M182" s="15">
        <f>F182/K182</f>
        <v/>
      </c>
      <c r="N182" s="10">
        <f>IF(M182&lt;3.5,"SI",IF(M182&lt;4.5,IF(K182&gt;=100,"SI",IF(K182&gt;=40,"CUIDADO","NO")),IF(AND(M182&lt;5.5,F182&gt;=500,K182&gt;=80),"CUIDADO","NO")))</f>
        <v/>
      </c>
    </row>
    <row r="183" ht="15.75" customHeight="1" s="98">
      <c r="A183" s="5" t="inlineStr">
        <is>
          <t>Balliu</t>
        </is>
      </c>
      <c r="B183" s="5" t="inlineStr">
        <is>
          <t>balliu-mesa-auxiliar-exterior-aluminio-60-cm-9c991818</t>
        </is>
      </c>
      <c r="C183" s="5" t="inlineStr">
        <is>
          <t>BALLIU_ETNA_MESA_AUXILIAR_DIAMETRO_60_WERZ_9C991818</t>
        </is>
      </c>
      <c r="D183" s="6" t="inlineStr">
        <is>
          <t>Mesa auxiliar exterior aluminio | 60 cm</t>
        </is>
      </c>
      <c r="E183" s="7" t="n">
        <v>84.79000000000001</v>
      </c>
      <c r="F183" s="7" t="n">
        <v>173.82</v>
      </c>
      <c r="G183" s="7" t="n">
        <v>48.29</v>
      </c>
      <c r="H183" s="8" t="n">
        <v>56.95</v>
      </c>
      <c r="I183" s="7" t="n">
        <v>173.82</v>
      </c>
      <c r="J183" s="7" t="n">
        <v>0</v>
      </c>
      <c r="K183" s="7">
        <f>G183-J183</f>
        <v/>
      </c>
      <c r="L183" s="7">
        <f>K183*$L$1</f>
        <v/>
      </c>
      <c r="M183" s="9">
        <f>F183/K183</f>
        <v/>
      </c>
      <c r="N183" s="10">
        <f>IF(M183&lt;3.5,"SI",IF(M183&lt;4.5,IF(K183&gt;=100,"SI",IF(K183&gt;=40,"CUIDADO","NO")),IF(AND(M183&lt;5.5,F183&gt;=500,K183&gt;=80),"CUIDADO","NO")))</f>
        <v/>
      </c>
    </row>
    <row r="184" ht="15.75" customHeight="1" s="98">
      <c r="A184" s="11" t="inlineStr">
        <is>
          <t>Balliu</t>
        </is>
      </c>
      <c r="B184" s="11" t="inlineStr">
        <is>
          <t>balliu-mesa-exterior-resina-70-cm-33ce1613</t>
        </is>
      </c>
      <c r="C184" s="11" t="inlineStr">
        <is>
          <t>BALLIU_SELVA_MESA_DIAMETRO_70_WERZ_33CE1613</t>
        </is>
      </c>
      <c r="D184" s="12" t="inlineStr">
        <is>
          <t>Mesa exterior resina | Ø70 cm</t>
        </is>
      </c>
      <c r="E184" s="13" t="n">
        <v>97.55</v>
      </c>
      <c r="F184" s="13" t="n">
        <v>199.98</v>
      </c>
      <c r="G184" s="13" t="n">
        <v>55.55</v>
      </c>
      <c r="H184" s="14" t="n">
        <v>56.95</v>
      </c>
      <c r="I184" s="13" t="n">
        <v>199.98</v>
      </c>
      <c r="J184" s="13" t="n">
        <v>0</v>
      </c>
      <c r="K184" s="13">
        <f>G184-J184</f>
        <v/>
      </c>
      <c r="L184" s="13">
        <f>K184*$L$1</f>
        <v/>
      </c>
      <c r="M184" s="15">
        <f>F184/K184</f>
        <v/>
      </c>
      <c r="N184" s="10">
        <f>IF(M184&lt;3.5,"SI",IF(M184&lt;4.5,IF(K184&gt;=100,"SI",IF(K184&gt;=40,"CUIDADO","NO")),IF(AND(M184&lt;5.5,F184&gt;=500,K184&gt;=80),"CUIDADO","NO")))</f>
        <v/>
      </c>
    </row>
    <row r="185" ht="15.75" customHeight="1" s="98">
      <c r="A185" s="5" t="inlineStr">
        <is>
          <t>Balliu</t>
        </is>
      </c>
      <c r="B185" s="5" t="inlineStr">
        <is>
          <t>balliu-mesa-exterior-resina-80-cm-eb565c3e</t>
        </is>
      </c>
      <c r="C185" s="5" t="inlineStr">
        <is>
          <t>BALLIU_SELVA_MESA_DIAMETRO_80_WERZ_EB565C3E</t>
        </is>
      </c>
      <c r="D185" s="6" t="inlineStr">
        <is>
          <t>Mesa exterior resina | Ø80 cm</t>
        </is>
      </c>
      <c r="E185" s="7" t="n">
        <v>101.49</v>
      </c>
      <c r="F185" s="7" t="n">
        <v>208.05</v>
      </c>
      <c r="G185" s="7" t="n">
        <v>57.8</v>
      </c>
      <c r="H185" s="8" t="n">
        <v>56.95</v>
      </c>
      <c r="I185" s="7" t="n">
        <v>208.05</v>
      </c>
      <c r="J185" s="7" t="n">
        <v>0</v>
      </c>
      <c r="K185" s="7">
        <f>G185-J185</f>
        <v/>
      </c>
      <c r="L185" s="7">
        <f>K185*$L$1</f>
        <v/>
      </c>
      <c r="M185" s="9">
        <f>F185/K185</f>
        <v/>
      </c>
      <c r="N185" s="10">
        <f>IF(M185&lt;3.5,"SI",IF(M185&lt;4.5,IF(K185&gt;=100,"SI",IF(K185&gt;=40,"CUIDADO","NO")),IF(AND(M185&lt;5.5,F185&gt;=500,K185&gt;=80),"CUIDADO","NO")))</f>
        <v/>
      </c>
    </row>
    <row r="186" ht="15.75" customHeight="1" s="98">
      <c r="A186" s="11" t="inlineStr">
        <is>
          <t>Balliu</t>
        </is>
      </c>
      <c r="B186" s="11" t="inlineStr">
        <is>
          <t>balliu-mesa-exterior-resina-90-cm-871df608</t>
        </is>
      </c>
      <c r="C186" s="11" t="inlineStr">
        <is>
          <t>BALLIU_SELVA_MESA_DIAMETRO_90_WERZ_871DF608</t>
        </is>
      </c>
      <c r="D186" s="12" t="inlineStr">
        <is>
          <t>Mesa exterior resina | Ø90 cm</t>
        </is>
      </c>
      <c r="E186" s="13" t="n">
        <v>118.78</v>
      </c>
      <c r="F186" s="13" t="n">
        <v>243.5</v>
      </c>
      <c r="G186" s="13" t="n">
        <v>67.65000000000001</v>
      </c>
      <c r="H186" s="14" t="n">
        <v>56.95</v>
      </c>
      <c r="I186" s="13" t="n">
        <v>243.5</v>
      </c>
      <c r="J186" s="13" t="n">
        <v>0</v>
      </c>
      <c r="K186" s="13">
        <f>G186-J186</f>
        <v/>
      </c>
      <c r="L186" s="13">
        <f>K186*$L$1</f>
        <v/>
      </c>
      <c r="M186" s="15">
        <f>F186/K186</f>
        <v/>
      </c>
      <c r="N186" s="10">
        <f>IF(M186&lt;3.5,"SI",IF(M186&lt;4.5,IF(K186&gt;=100,"SI",IF(K186&gt;=40,"CUIDADO","NO")),IF(AND(M186&lt;5.5,F186&gt;=500,K186&gt;=80),"CUIDADO","NO")))</f>
        <v/>
      </c>
    </row>
    <row r="187" ht="15.75" customHeight="1" s="98">
      <c r="A187" s="5" t="inlineStr">
        <is>
          <t>Balliu</t>
        </is>
      </c>
      <c r="B187" s="5" t="inlineStr">
        <is>
          <t>balliu-mesa-exterior-resina-7070-cm-7ab14c9a</t>
        </is>
      </c>
      <c r="C187" s="5" t="inlineStr">
        <is>
          <t>BALLIU_SELVA_MESA_70_X_70_WERZALIT_7AB14C9A</t>
        </is>
      </c>
      <c r="D187" s="6" t="inlineStr">
        <is>
          <t>Mesa exterior resina | 70×70 cm</t>
        </is>
      </c>
      <c r="E187" s="7" t="n">
        <v>118.31</v>
      </c>
      <c r="F187" s="7" t="n">
        <v>242.54</v>
      </c>
      <c r="G187" s="7" t="n">
        <v>67.38</v>
      </c>
      <c r="H187" s="8" t="n">
        <v>56.95</v>
      </c>
      <c r="I187" s="7" t="n">
        <v>242.54</v>
      </c>
      <c r="J187" s="7" t="n">
        <v>0</v>
      </c>
      <c r="K187" s="7">
        <f>G187-J187</f>
        <v/>
      </c>
      <c r="L187" s="7">
        <f>K187*$L$1</f>
        <v/>
      </c>
      <c r="M187" s="9">
        <f>F187/K187</f>
        <v/>
      </c>
      <c r="N187" s="10">
        <f>IF(M187&lt;3.5,"SI",IF(M187&lt;4.5,IF(K187&gt;=100,"SI",IF(K187&gt;=40,"CUIDADO","NO")),IF(AND(M187&lt;5.5,F187&gt;=500,K187&gt;=80),"CUIDADO","NO")))</f>
        <v/>
      </c>
    </row>
    <row r="188" ht="15.75" customHeight="1" s="98">
      <c r="A188" s="11" t="inlineStr">
        <is>
          <t>Balliu</t>
        </is>
      </c>
      <c r="B188" s="11" t="inlineStr">
        <is>
          <t>balliu-mesa-exterior-resina-8080-cm-1a5a5005</t>
        </is>
      </c>
      <c r="C188" s="11" t="inlineStr">
        <is>
          <t>BALLIU_SELVA_MESA_80_X_80_WERZALIT_1A5A5005</t>
        </is>
      </c>
      <c r="D188" s="12" t="inlineStr">
        <is>
          <t>Mesa exterior resina | 80×80 cm</t>
        </is>
      </c>
      <c r="E188" s="13" t="n">
        <v>131.01</v>
      </c>
      <c r="F188" s="13" t="n">
        <v>268.57</v>
      </c>
      <c r="G188" s="13" t="n">
        <v>74.61</v>
      </c>
      <c r="H188" s="14" t="n">
        <v>56.95</v>
      </c>
      <c r="I188" s="13" t="n">
        <v>268.57</v>
      </c>
      <c r="J188" s="13" t="n">
        <v>0</v>
      </c>
      <c r="K188" s="13">
        <f>G188-J188</f>
        <v/>
      </c>
      <c r="L188" s="13">
        <f>K188*$L$1</f>
        <v/>
      </c>
      <c r="M188" s="15">
        <f>F188/K188</f>
        <v/>
      </c>
      <c r="N188" s="10">
        <f>IF(M188&lt;3.5,"SI",IF(M188&lt;4.5,IF(K188&gt;=100,"SI",IF(K188&gt;=40,"CUIDADO","NO")),IF(AND(M188&lt;5.5,F188&gt;=500,K188&gt;=80),"CUIDADO","NO")))</f>
        <v/>
      </c>
    </row>
    <row r="189" ht="15.75" customHeight="1" s="98">
      <c r="A189" s="5" t="inlineStr">
        <is>
          <t>Balliu</t>
        </is>
      </c>
      <c r="B189" s="5" t="inlineStr">
        <is>
          <t>balliu-mesa-exterior-resina-12080-cm-747885bd</t>
        </is>
      </c>
      <c r="C189" s="5" t="inlineStr">
        <is>
          <t>BALLIU_SELVA_MESA_120_X_80_WERZALI_747885BD</t>
        </is>
      </c>
      <c r="D189" s="6" t="inlineStr">
        <is>
          <t>Mesa exterior resina | 120×80 cm</t>
        </is>
      </c>
      <c r="E189" s="7" t="n">
        <v>169.64</v>
      </c>
      <c r="F189" s="7" t="n">
        <v>347.76</v>
      </c>
      <c r="G189" s="7" t="n">
        <v>96.61</v>
      </c>
      <c r="H189" s="8" t="n">
        <v>56.95</v>
      </c>
      <c r="I189" s="7" t="n">
        <v>347.76</v>
      </c>
      <c r="J189" s="7" t="n">
        <v>0</v>
      </c>
      <c r="K189" s="7">
        <f>G189-J189</f>
        <v/>
      </c>
      <c r="L189" s="7">
        <f>K189*$L$1</f>
        <v/>
      </c>
      <c r="M189" s="9">
        <f>F189/K189</f>
        <v/>
      </c>
      <c r="N189" s="10">
        <f>IF(M189&lt;3.5,"SI",IF(M189&lt;4.5,IF(K189&gt;=100,"SI",IF(K189&gt;=40,"CUIDADO","NO")),IF(AND(M189&lt;5.5,F189&gt;=500,K189&gt;=80),"CUIDADO","NO")))</f>
        <v/>
      </c>
    </row>
    <row r="190" ht="15.75" customHeight="1" s="98">
      <c r="A190" s="11" t="inlineStr">
        <is>
          <t>Balliu</t>
        </is>
      </c>
      <c r="B190" s="11" t="inlineStr">
        <is>
          <t>balliu-mesa-exterior-aluminio-8080-cm-ef580ae2</t>
        </is>
      </c>
      <c r="C190" s="11" t="inlineStr">
        <is>
          <t>BALLIU_BRUNEI_MESA_80X80_TABLERO_HP_EF580AE2</t>
        </is>
      </c>
      <c r="D190" s="12" t="inlineStr">
        <is>
          <t>Mesa exterior aluminio | 80×80 cm</t>
        </is>
      </c>
      <c r="E190" s="13" t="n">
        <v>257.19</v>
      </c>
      <c r="F190" s="13" t="n">
        <v>527.24</v>
      </c>
      <c r="G190" s="13" t="n">
        <v>146.47</v>
      </c>
      <c r="H190" s="14" t="n">
        <v>56.95</v>
      </c>
      <c r="I190" s="13" t="n">
        <v>527.24</v>
      </c>
      <c r="J190" s="13" t="n">
        <v>0</v>
      </c>
      <c r="K190" s="13">
        <f>G190-J190</f>
        <v/>
      </c>
      <c r="L190" s="13">
        <f>K190*$L$1</f>
        <v/>
      </c>
      <c r="M190" s="15">
        <f>F190/K190</f>
        <v/>
      </c>
      <c r="N190" s="10">
        <f>IF(M190&lt;3.5,"SI",IF(M190&lt;4.5,IF(K190&gt;=100,"SI",IF(K190&gt;=40,"CUIDADO","NO")),IF(AND(M190&lt;5.5,F190&gt;=500,K190&gt;=80),"CUIDADO","NO")))</f>
        <v/>
      </c>
    </row>
    <row r="191" ht="15.75" customHeight="1" s="98">
      <c r="A191" s="5" t="inlineStr">
        <is>
          <t>Balliu</t>
        </is>
      </c>
      <c r="B191" s="5" t="inlineStr">
        <is>
          <t>balliu-mesa-exterior-aluminio-8080-cm-ef580ae2</t>
        </is>
      </c>
      <c r="C191" s="5" t="inlineStr">
        <is>
          <t>BALLIU_BRUNEI_MESA_80X80_TABLERO_HP_FCE3B8BD</t>
        </is>
      </c>
      <c r="D191" s="6" t="inlineStr">
        <is>
          <t>Mesa exterior aluminio | 80×80 cm</t>
        </is>
      </c>
      <c r="E191" s="7" t="n">
        <v>290.22</v>
      </c>
      <c r="F191" s="7" t="n">
        <v>594.95</v>
      </c>
      <c r="G191" s="7" t="n">
        <v>165.28</v>
      </c>
      <c r="H191" s="8" t="n">
        <v>56.95</v>
      </c>
      <c r="I191" s="7" t="n">
        <v>594.95</v>
      </c>
      <c r="J191" s="7" t="n">
        <v>0</v>
      </c>
      <c r="K191" s="7">
        <f>G191-J191</f>
        <v/>
      </c>
      <c r="L191" s="7">
        <f>K191*$L$1</f>
        <v/>
      </c>
      <c r="M191" s="9">
        <f>F191/K191</f>
        <v/>
      </c>
      <c r="N191" s="10">
        <f>IF(M191&lt;3.5,"SI",IF(M191&lt;4.5,IF(K191&gt;=100,"SI",IF(K191&gt;=40,"CUIDADO","NO")),IF(AND(M191&lt;5.5,F191&gt;=500,K191&gt;=80),"CUIDADO","NO")))</f>
        <v/>
      </c>
    </row>
    <row r="192" ht="15.75" customHeight="1" s="98">
      <c r="A192" s="11" t="inlineStr">
        <is>
          <t>Balliu</t>
        </is>
      </c>
      <c r="B192" s="11" t="inlineStr">
        <is>
          <t>balliu-mesa-exterior-aluminio-8080-cm-ef580ae2</t>
        </is>
      </c>
      <c r="C192" s="11" t="inlineStr">
        <is>
          <t>BALLIU_BRUNEI_MESA_130X80_TABLERO_H_DF7C872B</t>
        </is>
      </c>
      <c r="D192" s="12" t="inlineStr">
        <is>
          <t>Mesa exterior aluminio | 130×80 cm</t>
        </is>
      </c>
      <c r="E192" s="13" t="n">
        <v>342.68</v>
      </c>
      <c r="F192" s="13" t="n">
        <v>702.49</v>
      </c>
      <c r="G192" s="13" t="n">
        <v>195.16</v>
      </c>
      <c r="H192" s="14" t="n">
        <v>56.95</v>
      </c>
      <c r="I192" s="13" t="n">
        <v>702.49</v>
      </c>
      <c r="J192" s="13" t="n">
        <v>0</v>
      </c>
      <c r="K192" s="13">
        <f>G192-J192</f>
        <v/>
      </c>
      <c r="L192" s="13">
        <f>K192*$L$1</f>
        <v/>
      </c>
      <c r="M192" s="15">
        <f>F192/K192</f>
        <v/>
      </c>
      <c r="N192" s="10">
        <f>IF(M192&lt;3.5,"SI",IF(M192&lt;4.5,IF(K192&gt;=100,"SI",IF(K192&gt;=40,"CUIDADO","NO")),IF(AND(M192&lt;5.5,F192&gt;=500,K192&gt;=80),"CUIDADO","NO")))</f>
        <v/>
      </c>
    </row>
    <row r="193" ht="15.75" customHeight="1" s="98">
      <c r="A193" s="5" t="inlineStr">
        <is>
          <t>Balliu</t>
        </is>
      </c>
      <c r="B193" s="5" t="inlineStr">
        <is>
          <t>balliu-mesa-exterior-aluminio-8080-cm-ef580ae2</t>
        </is>
      </c>
      <c r="C193" s="5" t="inlineStr">
        <is>
          <t>BALLIU_BRUNEI_MESA_130X80_TABLERO_H_5068224E</t>
        </is>
      </c>
      <c r="D193" s="6" t="inlineStr">
        <is>
          <t>Mesa exterior aluminio | 130×80 cm</t>
        </is>
      </c>
      <c r="E193" s="7" t="n">
        <v>396.09</v>
      </c>
      <c r="F193" s="7" t="n">
        <v>811.98</v>
      </c>
      <c r="G193" s="7" t="n">
        <v>225.57</v>
      </c>
      <c r="H193" s="8" t="n">
        <v>56.95</v>
      </c>
      <c r="I193" s="7" t="n">
        <v>811.98</v>
      </c>
      <c r="J193" s="7" t="n">
        <v>0</v>
      </c>
      <c r="K193" s="7">
        <f>G193-J193</f>
        <v/>
      </c>
      <c r="L193" s="7">
        <f>K193*$L$1</f>
        <v/>
      </c>
      <c r="M193" s="9">
        <f>F193/K193</f>
        <v/>
      </c>
      <c r="N193" s="10">
        <f>IF(M193&lt;3.5,"SI",IF(M193&lt;4.5,IF(K193&gt;=100,"SI",IF(K193&gt;=40,"CUIDADO","NO")),IF(AND(M193&lt;5.5,F193&gt;=500,K193&gt;=80),"CUIDADO","NO")))</f>
        <v/>
      </c>
    </row>
    <row r="194" ht="15.75" customHeight="1" s="98">
      <c r="A194" s="11" t="inlineStr">
        <is>
          <t>Balliu</t>
        </is>
      </c>
      <c r="B194" s="11" t="inlineStr">
        <is>
          <t>balliu-mesa-exterior-aluminio-8080-cm-ef580ae2</t>
        </is>
      </c>
      <c r="C194" s="11" t="inlineStr">
        <is>
          <t>BALLIU_BRUNEI_MESA_160X90_TABLERO_H_11303F43</t>
        </is>
      </c>
      <c r="D194" s="12" t="inlineStr">
        <is>
          <t>Mesa exterior aluminio | 160×90 cm</t>
        </is>
      </c>
      <c r="E194" s="13" t="n">
        <v>412.95</v>
      </c>
      <c r="F194" s="13" t="n">
        <v>846.55</v>
      </c>
      <c r="G194" s="13" t="n">
        <v>235.17</v>
      </c>
      <c r="H194" s="14" t="n">
        <v>56.95</v>
      </c>
      <c r="I194" s="13" t="n">
        <v>846.55</v>
      </c>
      <c r="J194" s="13" t="n">
        <v>0</v>
      </c>
      <c r="K194" s="13">
        <f>G194-J194</f>
        <v/>
      </c>
      <c r="L194" s="13">
        <f>K194*$L$1</f>
        <v/>
      </c>
      <c r="M194" s="15">
        <f>F194/K194</f>
        <v/>
      </c>
      <c r="N194" s="10">
        <f>IF(M194&lt;3.5,"SI",IF(M194&lt;4.5,IF(K194&gt;=100,"SI",IF(K194&gt;=40,"CUIDADO","NO")),IF(AND(M194&lt;5.5,F194&gt;=500,K194&gt;=80),"CUIDADO","NO")))</f>
        <v/>
      </c>
    </row>
    <row r="195" ht="15.75" customHeight="1" s="98">
      <c r="A195" s="5" t="inlineStr">
        <is>
          <t>Balliu</t>
        </is>
      </c>
      <c r="B195" s="5" t="inlineStr">
        <is>
          <t>balliu-mesa-exterior-aluminio-8080-cm-ef580ae2</t>
        </is>
      </c>
      <c r="C195" s="5" t="inlineStr">
        <is>
          <t>BALLIU_BRUNEI_MESA_160X90_TABLERO_H_C39E3349</t>
        </is>
      </c>
      <c r="D195" s="6" t="inlineStr">
        <is>
          <t>Mesa exterior aluminio | 160×90 cm</t>
        </is>
      </c>
      <c r="E195" s="7" t="n">
        <v>479.59</v>
      </c>
      <c r="F195" s="7" t="n">
        <v>983.16</v>
      </c>
      <c r="G195" s="7" t="n">
        <v>273.13</v>
      </c>
      <c r="H195" s="8" t="n">
        <v>56.95</v>
      </c>
      <c r="I195" s="7" t="n">
        <v>983.16</v>
      </c>
      <c r="J195" s="7" t="n">
        <v>0</v>
      </c>
      <c r="K195" s="7">
        <f>G195-J195</f>
        <v/>
      </c>
      <c r="L195" s="7">
        <f>K195*$L$1</f>
        <v/>
      </c>
      <c r="M195" s="9">
        <f>F195/K195</f>
        <v/>
      </c>
      <c r="N195" s="10">
        <f>IF(M195&lt;3.5,"SI",IF(M195&lt;4.5,IF(K195&gt;=100,"SI",IF(K195&gt;=40,"CUIDADO","NO")),IF(AND(M195&lt;5.5,F195&gt;=500,K195&gt;=80),"CUIDADO","NO")))</f>
        <v/>
      </c>
    </row>
    <row r="196" ht="15.75" customHeight="1" s="98">
      <c r="A196" s="11" t="inlineStr">
        <is>
          <t>Balliu</t>
        </is>
      </c>
      <c r="B196" s="11" t="inlineStr">
        <is>
          <t>balliu-mesa-exterior-aluminio-8080-cm-ef580ae2</t>
        </is>
      </c>
      <c r="C196" s="11" t="inlineStr">
        <is>
          <t>BALLIU_BRUNEI_MESA_190X90_TABLERO_H_4D2D1E60</t>
        </is>
      </c>
      <c r="D196" s="12" t="inlineStr">
        <is>
          <t>Mesa exterior aluminio | 190×90 cm</t>
        </is>
      </c>
      <c r="E196" s="13" t="n">
        <v>506.65</v>
      </c>
      <c r="F196" s="13" t="n">
        <v>1038.63</v>
      </c>
      <c r="G196" s="13" t="n">
        <v>288.54</v>
      </c>
      <c r="H196" s="14" t="n">
        <v>56.95</v>
      </c>
      <c r="I196" s="13" t="n">
        <v>1038.63</v>
      </c>
      <c r="J196" s="13" t="n">
        <v>0</v>
      </c>
      <c r="K196" s="13">
        <f>G196-J196</f>
        <v/>
      </c>
      <c r="L196" s="13">
        <f>K196*$L$1</f>
        <v/>
      </c>
      <c r="M196" s="15">
        <f>F196/K196</f>
        <v/>
      </c>
      <c r="N196" s="10">
        <f>IF(M196&lt;3.5,"SI",IF(M196&lt;4.5,IF(K196&gt;=100,"SI",IF(K196&gt;=40,"CUIDADO","NO")),IF(AND(M196&lt;5.5,F196&gt;=500,K196&gt;=80),"CUIDADO","NO")))</f>
        <v/>
      </c>
    </row>
    <row r="197" ht="15.75" customHeight="1" s="98">
      <c r="A197" s="5" t="inlineStr">
        <is>
          <t>Balliu</t>
        </is>
      </c>
      <c r="B197" s="5" t="inlineStr">
        <is>
          <t>balliu-mesa-exterior-aluminio-8080-cm-ef580ae2</t>
        </is>
      </c>
      <c r="C197" s="5" t="inlineStr">
        <is>
          <t>BALLIU_BRUNEI_MESA_190X90_TABLERO_H_7FCC116E</t>
        </is>
      </c>
      <c r="D197" s="6" t="inlineStr">
        <is>
          <t>Mesa exterior aluminio | 190×90 cm</t>
        </is>
      </c>
      <c r="E197" s="7" t="n">
        <v>603.5</v>
      </c>
      <c r="F197" s="7" t="n">
        <v>1237.18</v>
      </c>
      <c r="G197" s="7" t="n">
        <v>343.69</v>
      </c>
      <c r="H197" s="8" t="n">
        <v>56.95</v>
      </c>
      <c r="I197" s="7" t="n">
        <v>1237.18</v>
      </c>
      <c r="J197" s="7" t="n">
        <v>0</v>
      </c>
      <c r="K197" s="7">
        <f>G197-J197</f>
        <v/>
      </c>
      <c r="L197" s="7">
        <f>K197*$L$1</f>
        <v/>
      </c>
      <c r="M197" s="9">
        <f>F197/K197</f>
        <v/>
      </c>
      <c r="N197" s="10">
        <f>IF(M197&lt;3.5,"SI",IF(M197&lt;4.5,IF(K197&gt;=100,"SI",IF(K197&gt;=40,"CUIDADO","NO")),IF(AND(M197&lt;5.5,F197&gt;=500,K197&gt;=80),"CUIDADO","NO")))</f>
        <v/>
      </c>
    </row>
    <row r="198" ht="15.75" customHeight="1" s="98">
      <c r="A198" s="11" t="inlineStr">
        <is>
          <t>Balliu</t>
        </is>
      </c>
      <c r="B198" s="11" t="inlineStr">
        <is>
          <t>balliu-mesa-exterior-hpl-24090-cm-78358691</t>
        </is>
      </c>
      <c r="C198" s="11" t="inlineStr">
        <is>
          <t>BALLIU_ATLANTA_MESA_240X90_TABLERO_H_78358691</t>
        </is>
      </c>
      <c r="D198" s="12" t="inlineStr">
        <is>
          <t>Mesa exterior HPL | 240×90 cm</t>
        </is>
      </c>
      <c r="E198" s="13" t="n">
        <v>689</v>
      </c>
      <c r="F198" s="13" t="n">
        <v>1412.45</v>
      </c>
      <c r="G198" s="13" t="n">
        <v>392.39</v>
      </c>
      <c r="H198" s="14" t="n">
        <v>56.95</v>
      </c>
      <c r="I198" s="13" t="n">
        <v>1412.45</v>
      </c>
      <c r="J198" s="13" t="n">
        <v>0</v>
      </c>
      <c r="K198" s="13">
        <f>G198-J198</f>
        <v/>
      </c>
      <c r="L198" s="13">
        <f>K198*$L$1</f>
        <v/>
      </c>
      <c r="M198" s="15">
        <f>F198/K198</f>
        <v/>
      </c>
      <c r="N198" s="10">
        <f>IF(M198&lt;3.5,"SI",IF(M198&lt;4.5,IF(K198&gt;=100,"SI",IF(K198&gt;=40,"CUIDADO","NO")),IF(AND(M198&lt;5.5,F198&gt;=500,K198&gt;=80),"CUIDADO","NO")))</f>
        <v/>
      </c>
    </row>
    <row r="199" ht="15.75" customHeight="1" s="98">
      <c r="A199" s="5" t="inlineStr">
        <is>
          <t>Balliu</t>
        </is>
      </c>
      <c r="B199" s="5" t="inlineStr">
        <is>
          <t>balliu-mesa-exterior-hpl-24090-cm-d4e471c5</t>
        </is>
      </c>
      <c r="C199" s="5" t="inlineStr">
        <is>
          <t>BALLIU_ATLANTA_MESA_240X90_TABLERO_H_D4E471C5</t>
        </is>
      </c>
      <c r="D199" s="6" t="inlineStr">
        <is>
          <t>Mesa exterior HPL | 240×90 cm</t>
        </is>
      </c>
      <c r="E199" s="7" t="n">
        <v>694.04</v>
      </c>
      <c r="F199" s="7" t="n">
        <v>1422.78</v>
      </c>
      <c r="G199" s="7" t="n">
        <v>395.26</v>
      </c>
      <c r="H199" s="8" t="n">
        <v>56.95</v>
      </c>
      <c r="I199" s="7" t="n">
        <v>1422.78</v>
      </c>
      <c r="J199" s="7" t="n">
        <v>0</v>
      </c>
      <c r="K199" s="7">
        <f>G199-J199</f>
        <v/>
      </c>
      <c r="L199" s="7">
        <f>K199*$L$1</f>
        <v/>
      </c>
      <c r="M199" s="9">
        <f>F199/K199</f>
        <v/>
      </c>
      <c r="N199" s="10">
        <f>IF(M199&lt;3.5,"SI",IF(M199&lt;4.5,IF(K199&gt;=100,"SI",IF(K199&gt;=40,"CUIDADO","NO")),IF(AND(M199&lt;5.5,F199&gt;=500,K199&gt;=80),"CUIDADO","NO")))</f>
        <v/>
      </c>
    </row>
    <row r="200" ht="15.75" customHeight="1" s="98">
      <c r="A200" s="11" t="inlineStr">
        <is>
          <t>Balliu</t>
        </is>
      </c>
      <c r="B200" s="11" t="inlineStr">
        <is>
          <t>balliu-mesa-exterior-140-18090-cm-e4ec7d7c</t>
        </is>
      </c>
      <c r="C200" s="11" t="inlineStr">
        <is>
          <t>BALLIU_ATLANTA_MESA_140_180X90_EXTEN_E4EC7D7C</t>
        </is>
      </c>
      <c r="D200" s="12" t="inlineStr">
        <is>
          <t>Mesa exterior | 140/180×90 cm</t>
        </is>
      </c>
      <c r="E200" s="13" t="n">
        <v>789.72</v>
      </c>
      <c r="F200" s="13" t="n">
        <v>1618.93</v>
      </c>
      <c r="G200" s="13" t="n">
        <v>449.74</v>
      </c>
      <c r="H200" s="14" t="n">
        <v>56.95</v>
      </c>
      <c r="I200" s="13" t="n">
        <v>1618.93</v>
      </c>
      <c r="J200" s="13" t="n">
        <v>0</v>
      </c>
      <c r="K200" s="13">
        <f>G200-J200</f>
        <v/>
      </c>
      <c r="L200" s="13">
        <f>K200*$L$1</f>
        <v/>
      </c>
      <c r="M200" s="15">
        <f>F200/K200</f>
        <v/>
      </c>
      <c r="N200" s="10">
        <f>IF(M200&lt;3.5,"SI",IF(M200&lt;4.5,IF(K200&gt;=100,"SI",IF(K200&gt;=40,"CUIDADO","NO")),IF(AND(M200&lt;5.5,F200&gt;=500,K200&gt;=80),"CUIDADO","NO")))</f>
        <v/>
      </c>
    </row>
    <row r="201" ht="15.75" customHeight="1" s="98">
      <c r="A201" s="5" t="inlineStr">
        <is>
          <t>Balliu</t>
        </is>
      </c>
      <c r="B201" s="5" t="inlineStr">
        <is>
          <t>balliu-mesa-exterior-200-260100-cm-9d798e50</t>
        </is>
      </c>
      <c r="C201" s="5" t="inlineStr">
        <is>
          <t>BALLIU_ATLANTA_MESA_200_260X100_EXTE_9D798E50</t>
        </is>
      </c>
      <c r="D201" s="6" t="inlineStr">
        <is>
          <t>Mesa exterior | 200/260×100 cm</t>
        </is>
      </c>
      <c r="E201" s="7" t="n">
        <v>1035.01</v>
      </c>
      <c r="F201" s="7" t="n">
        <v>2121.77</v>
      </c>
      <c r="G201" s="7" t="n">
        <v>589.4400000000001</v>
      </c>
      <c r="H201" s="8" t="n">
        <v>56.95</v>
      </c>
      <c r="I201" s="7" t="n">
        <v>2121.77</v>
      </c>
      <c r="J201" s="7" t="n">
        <v>0</v>
      </c>
      <c r="K201" s="7">
        <f>G201-J201</f>
        <v/>
      </c>
      <c r="L201" s="7">
        <f>K201*$L$1</f>
        <v/>
      </c>
      <c r="M201" s="9">
        <f>F201/K201</f>
        <v/>
      </c>
      <c r="N201" s="10">
        <f>IF(M201&lt;3.5,"SI",IF(M201&lt;4.5,IF(K201&gt;=100,"SI",IF(K201&gt;=40,"CUIDADO","NO")),IF(AND(M201&lt;5.5,F201&gt;=500,K201&gt;=80),"CUIDADO","NO")))</f>
        <v/>
      </c>
    </row>
    <row r="202" ht="15.75" customHeight="1" s="98">
      <c r="A202" s="11" t="inlineStr">
        <is>
          <t>Balliu</t>
        </is>
      </c>
      <c r="B202" s="11" t="inlineStr">
        <is>
          <t>balliu-mesa-exterior-hpl-140-180100-cm-8e073aab</t>
        </is>
      </c>
      <c r="C202" s="11" t="inlineStr">
        <is>
          <t>BALLIU_MESA_JAVA_140_180X100_EXTE_8E073AAB</t>
        </is>
      </c>
      <c r="D202" s="12" t="inlineStr">
        <is>
          <t>Mesa exterior HPL | 140/180×100 cm</t>
        </is>
      </c>
      <c r="E202" s="13" t="n">
        <v>975.21</v>
      </c>
      <c r="F202" s="13" t="n">
        <v>1999.18</v>
      </c>
      <c r="G202" s="13" t="n">
        <v>555.38</v>
      </c>
      <c r="H202" s="14" t="n">
        <v>56.95</v>
      </c>
      <c r="I202" s="13" t="n">
        <v>1999.18</v>
      </c>
      <c r="J202" s="13" t="n">
        <v>0</v>
      </c>
      <c r="K202" s="13">
        <f>G202-J202</f>
        <v/>
      </c>
      <c r="L202" s="13">
        <f>K202*$L$1</f>
        <v/>
      </c>
      <c r="M202" s="15">
        <f>F202/K202</f>
        <v/>
      </c>
      <c r="N202" s="10">
        <f>IF(M202&lt;3.5,"SI",IF(M202&lt;4.5,IF(K202&gt;=100,"SI",IF(K202&gt;=40,"CUIDADO","NO")),IF(AND(M202&lt;5.5,F202&gt;=500,K202&gt;=80),"CUIDADO","NO")))</f>
        <v/>
      </c>
    </row>
    <row r="203" ht="15.75" customHeight="1" s="98">
      <c r="A203" s="5" t="inlineStr">
        <is>
          <t>Balliu</t>
        </is>
      </c>
      <c r="B203" s="5" t="inlineStr">
        <is>
          <t>balliu-mesa-exterior-hpl-140-180100-cm-e5e3bb40</t>
        </is>
      </c>
      <c r="C203" s="5" t="inlineStr">
        <is>
          <t>BALLIU_MESA_JAVA_140_180X100_EXTE_E5E3BB40</t>
        </is>
      </c>
      <c r="D203" s="6" t="inlineStr">
        <is>
          <t>Mesa exterior HPL | 140/180×100 cm</t>
        </is>
      </c>
      <c r="E203" s="7" t="n">
        <v>987.5599999999999</v>
      </c>
      <c r="F203" s="7" t="n">
        <v>2024.5</v>
      </c>
      <c r="G203" s="7" t="n">
        <v>562.42</v>
      </c>
      <c r="H203" s="8" t="n">
        <v>56.95</v>
      </c>
      <c r="I203" s="7" t="n">
        <v>2024.5</v>
      </c>
      <c r="J203" s="7" t="n">
        <v>0</v>
      </c>
      <c r="K203" s="7">
        <f>G203-J203</f>
        <v/>
      </c>
      <c r="L203" s="7">
        <f>K203*$L$1</f>
        <v/>
      </c>
      <c r="M203" s="9">
        <f>F203/K203</f>
        <v/>
      </c>
      <c r="N203" s="10">
        <f>IF(M203&lt;3.5,"SI",IF(M203&lt;4.5,IF(K203&gt;=100,"SI",IF(K203&gt;=40,"CUIDADO","NO")),IF(AND(M203&lt;5.5,F203&gt;=500,K203&gt;=80),"CUIDADO","NO")))</f>
        <v/>
      </c>
    </row>
    <row r="204" ht="15.75" customHeight="1" s="98">
      <c r="A204" s="11" t="inlineStr">
        <is>
          <t>Balliu</t>
        </is>
      </c>
      <c r="B204" s="11" t="inlineStr">
        <is>
          <t>balliu-mesa-exterior-hpl-200-260100-cm-23187ea9</t>
        </is>
      </c>
      <c r="C204" s="11" t="inlineStr">
        <is>
          <t>BALLIU_MESA_JAVA_200_260X100_EXTE_23187EA9</t>
        </is>
      </c>
      <c r="D204" s="12" t="inlineStr">
        <is>
          <t>Mesa exterior HPL | 200/260×100 cm</t>
        </is>
      </c>
      <c r="E204" s="13" t="n">
        <v>1250.19</v>
      </c>
      <c r="F204" s="13" t="n">
        <v>2562.89</v>
      </c>
      <c r="G204" s="13" t="n">
        <v>711.98</v>
      </c>
      <c r="H204" s="14" t="n">
        <v>56.95</v>
      </c>
      <c r="I204" s="13" t="n">
        <v>2562.89</v>
      </c>
      <c r="J204" s="13" t="n">
        <v>0</v>
      </c>
      <c r="K204" s="13">
        <f>G204-J204</f>
        <v/>
      </c>
      <c r="L204" s="13">
        <f>K204*$L$1</f>
        <v/>
      </c>
      <c r="M204" s="15">
        <f>F204/K204</f>
        <v/>
      </c>
      <c r="N204" s="10">
        <f>IF(M204&lt;3.5,"SI",IF(M204&lt;4.5,IF(K204&gt;=100,"SI",IF(K204&gt;=40,"CUIDADO","NO")),IF(AND(M204&lt;5.5,F204&gt;=500,K204&gt;=80),"CUIDADO","NO")))</f>
        <v/>
      </c>
    </row>
    <row r="205" ht="15.75" customHeight="1" s="98">
      <c r="A205" s="5" t="inlineStr">
        <is>
          <t>Balliu</t>
        </is>
      </c>
      <c r="B205" s="5" t="inlineStr">
        <is>
          <t>balliu-mesa-exterior-hpl-200-260100-cm-4a63be2f</t>
        </is>
      </c>
      <c r="C205" s="5" t="inlineStr">
        <is>
          <t>BALLIU_MESA_JAVA_200_260X100_EXTE_4A63BE2F</t>
        </is>
      </c>
      <c r="D205" s="6" t="inlineStr">
        <is>
          <t>Mesa exterior HPL | 200/260×100 cm</t>
        </is>
      </c>
      <c r="E205" s="7" t="n">
        <v>1423.37</v>
      </c>
      <c r="F205" s="7" t="n">
        <v>2917.91</v>
      </c>
      <c r="G205" s="7" t="n">
        <v>810.61</v>
      </c>
      <c r="H205" s="8" t="n">
        <v>56.95</v>
      </c>
      <c r="I205" s="7" t="n">
        <v>2917.91</v>
      </c>
      <c r="J205" s="7" t="n">
        <v>0</v>
      </c>
      <c r="K205" s="7">
        <f>G205-J205</f>
        <v/>
      </c>
      <c r="L205" s="7">
        <f>K205*$L$1</f>
        <v/>
      </c>
      <c r="M205" s="9">
        <f>F205/K205</f>
        <v/>
      </c>
      <c r="N205" s="10">
        <f>IF(M205&lt;3.5,"SI",IF(M205&lt;4.5,IF(K205&gt;=100,"SI",IF(K205&gt;=40,"CUIDADO","NO")),IF(AND(M205&lt;5.5,F205&gt;=500,K205&gt;=80),"CUIDADO","NO")))</f>
        <v/>
      </c>
    </row>
    <row r="206" ht="15.75" customHeight="1" s="98">
      <c r="A206" s="11" t="inlineStr">
        <is>
          <t>Balliu</t>
        </is>
      </c>
      <c r="B206" s="11" t="inlineStr">
        <is>
          <t>balliu-mesa-alta-exterior-hpl-45c511e9</t>
        </is>
      </c>
      <c r="C206" s="11" t="inlineStr">
        <is>
          <t>BALLIU_DIAM_70_MESA_ALTA_TABLERO_HPL_45C511E9</t>
        </is>
      </c>
      <c r="D206" s="12" t="inlineStr">
        <is>
          <t>Mesa alta exterior HPL</t>
        </is>
      </c>
      <c r="E206" s="13" t="n">
        <v>273.99</v>
      </c>
      <c r="F206" s="13" t="n">
        <v>561.6799999999999</v>
      </c>
      <c r="G206" s="13" t="n">
        <v>156.04</v>
      </c>
      <c r="H206" s="14" t="n">
        <v>56.95</v>
      </c>
      <c r="I206" s="13" t="n">
        <v>561.6799999999999</v>
      </c>
      <c r="J206" s="13" t="n">
        <v>0</v>
      </c>
      <c r="K206" s="13">
        <f>G206-J206</f>
        <v/>
      </c>
      <c r="L206" s="13">
        <f>K206*$L$1</f>
        <v/>
      </c>
      <c r="M206" s="15">
        <f>F206/K206</f>
        <v/>
      </c>
      <c r="N206" s="10">
        <f>IF(M206&lt;3.5,"SI",IF(M206&lt;4.5,IF(K206&gt;=100,"SI",IF(K206&gt;=40,"CUIDADO","NO")),IF(AND(M206&lt;5.5,F206&gt;=500,K206&gt;=80),"CUIDADO","NO")))</f>
        <v/>
      </c>
    </row>
    <row r="207" ht="15.75" customHeight="1" s="98">
      <c r="A207" s="5" t="inlineStr">
        <is>
          <t>Balliu</t>
        </is>
      </c>
      <c r="B207" s="5" t="inlineStr">
        <is>
          <t>balliu-mesa-alta-exterior-hpl-f99491ce</t>
        </is>
      </c>
      <c r="C207" s="5" t="inlineStr">
        <is>
          <t>BALLIU_DIAM_70_MESA_ALTA_TABLERO_HPL_GD_F99491CE</t>
        </is>
      </c>
      <c r="D207" s="6" t="inlineStr">
        <is>
          <t>Mesa alta exterior HPL</t>
        </is>
      </c>
      <c r="E207" s="7" t="n">
        <v>279.99</v>
      </c>
      <c r="F207" s="7" t="n">
        <v>573.98</v>
      </c>
      <c r="G207" s="7" t="n">
        <v>159.45</v>
      </c>
      <c r="H207" s="8" t="n">
        <v>56.95</v>
      </c>
      <c r="I207" s="7" t="n">
        <v>573.98</v>
      </c>
      <c r="J207" s="7" t="n">
        <v>0</v>
      </c>
      <c r="K207" s="7">
        <f>G207-J207</f>
        <v/>
      </c>
      <c r="L207" s="7">
        <f>K207*$L$1</f>
        <v/>
      </c>
      <c r="M207" s="9">
        <f>F207/K207</f>
        <v/>
      </c>
      <c r="N207" s="10">
        <f>IF(M207&lt;3.5,"SI",IF(M207&lt;4.5,IF(K207&gt;=100,"SI",IF(K207&gt;=40,"CUIDADO","NO")),IF(AND(M207&lt;5.5,F207&gt;=500,K207&gt;=80),"CUIDADO","NO")))</f>
        <v/>
      </c>
    </row>
    <row r="208" ht="15.75" customHeight="1" s="98">
      <c r="A208" s="11" t="inlineStr">
        <is>
          <t>Balliu</t>
        </is>
      </c>
      <c r="B208" s="11" t="inlineStr">
        <is>
          <t>balliu-mesa-exterior-hpl-451e7ba8</t>
        </is>
      </c>
      <c r="C208" s="11" t="inlineStr">
        <is>
          <t>BALLIU_DIAM_70_MESA_TABLERO_HPL_451E7BA8</t>
        </is>
      </c>
      <c r="D208" s="12" t="inlineStr">
        <is>
          <t>Mesa exterior HPL</t>
        </is>
      </c>
      <c r="E208" s="13" t="n">
        <v>187.58</v>
      </c>
      <c r="F208" s="13" t="n">
        <v>384.54</v>
      </c>
      <c r="G208" s="13" t="n">
        <v>106.83</v>
      </c>
      <c r="H208" s="14" t="n">
        <v>56.95</v>
      </c>
      <c r="I208" s="13" t="n">
        <v>384.54</v>
      </c>
      <c r="J208" s="13" t="n">
        <v>0</v>
      </c>
      <c r="K208" s="13">
        <f>G208-J208</f>
        <v/>
      </c>
      <c r="L208" s="13">
        <f>K208*$L$1</f>
        <v/>
      </c>
      <c r="M208" s="15">
        <f>F208/K208</f>
        <v/>
      </c>
      <c r="N208" s="10">
        <f>IF(M208&lt;3.5,"SI",IF(M208&lt;4.5,IF(K208&gt;=100,"SI",IF(K208&gt;=40,"CUIDADO","NO")),IF(AND(M208&lt;5.5,F208&gt;=500,K208&gt;=80),"CUIDADO","NO")))</f>
        <v/>
      </c>
    </row>
    <row r="209" ht="15.75" customHeight="1" s="98">
      <c r="A209" s="5" t="inlineStr">
        <is>
          <t>Balliu</t>
        </is>
      </c>
      <c r="B209" s="5" t="inlineStr">
        <is>
          <t>balliu-mesa-exterior-hpl-3adfe773</t>
        </is>
      </c>
      <c r="C209" s="5" t="inlineStr">
        <is>
          <t>BALLIU_DIAM_70_MESA_TABLERO_HPL_GD_3ADFE773</t>
        </is>
      </c>
      <c r="D209" s="6" t="inlineStr">
        <is>
          <t>Mesa exterior HPL</t>
        </is>
      </c>
      <c r="E209" s="7" t="n">
        <v>208.21</v>
      </c>
      <c r="F209" s="7" t="n">
        <v>426.83</v>
      </c>
      <c r="G209" s="7" t="n">
        <v>118.58</v>
      </c>
      <c r="H209" s="8" t="n">
        <v>56.95</v>
      </c>
      <c r="I209" s="7" t="n">
        <v>426.83</v>
      </c>
      <c r="J209" s="7" t="n">
        <v>0</v>
      </c>
      <c r="K209" s="7">
        <f>G209-J209</f>
        <v/>
      </c>
      <c r="L209" s="7">
        <f>K209*$L$1</f>
        <v/>
      </c>
      <c r="M209" s="9">
        <f>F209/K209</f>
        <v/>
      </c>
      <c r="N209" s="10">
        <f>IF(M209&lt;3.5,"SI",IF(M209&lt;4.5,IF(K209&gt;=100,"SI",IF(K209&gt;=40,"CUIDADO","NO")),IF(AND(M209&lt;5.5,F209&gt;=500,K209&gt;=80),"CUIDADO","NO")))</f>
        <v/>
      </c>
    </row>
    <row r="210" ht="15.75" customHeight="1" s="98">
      <c r="A210" s="11" t="inlineStr">
        <is>
          <t>Balliu</t>
        </is>
      </c>
      <c r="B210" s="11" t="inlineStr">
        <is>
          <t>balliu-mesa-exterior-hpl-65e3ca13</t>
        </is>
      </c>
      <c r="C210" s="11" t="inlineStr">
        <is>
          <t>BALLIU_DIAM_80_MESA_TABLERO_HPL_65E3CA13</t>
        </is>
      </c>
      <c r="D210" s="12" t="inlineStr">
        <is>
          <t>Mesa exterior HPL</t>
        </is>
      </c>
      <c r="E210" s="13" t="n">
        <v>207.97</v>
      </c>
      <c r="F210" s="13" t="n">
        <v>426.34</v>
      </c>
      <c r="G210" s="13" t="n">
        <v>118.44</v>
      </c>
      <c r="H210" s="14" t="n">
        <v>56.95</v>
      </c>
      <c r="I210" s="13" t="n">
        <v>426.34</v>
      </c>
      <c r="J210" s="13" t="n">
        <v>0</v>
      </c>
      <c r="K210" s="13">
        <f>G210-J210</f>
        <v/>
      </c>
      <c r="L210" s="13">
        <f>K210*$L$1</f>
        <v/>
      </c>
      <c r="M210" s="15">
        <f>F210/K210</f>
        <v/>
      </c>
      <c r="N210" s="10">
        <f>IF(M210&lt;3.5,"SI",IF(M210&lt;4.5,IF(K210&gt;=100,"SI",IF(K210&gt;=40,"CUIDADO","NO")),IF(AND(M210&lt;5.5,F210&gt;=500,K210&gt;=80),"CUIDADO","NO")))</f>
        <v/>
      </c>
    </row>
    <row r="211" ht="15.75" customHeight="1" s="98">
      <c r="A211" s="5" t="inlineStr">
        <is>
          <t>Balliu</t>
        </is>
      </c>
      <c r="B211" s="5" t="inlineStr">
        <is>
          <t>balliu-mesa-exterior-hpl-1b4f3962</t>
        </is>
      </c>
      <c r="C211" s="5" t="inlineStr">
        <is>
          <t>BALLIU_DIAM_80_MESA_TABLERO_HPL_GD_1B4F3962</t>
        </is>
      </c>
      <c r="D211" s="6" t="inlineStr">
        <is>
          <t>Mesa exterior HPL</t>
        </is>
      </c>
      <c r="E211" s="7" t="n">
        <v>235.95</v>
      </c>
      <c r="F211" s="7" t="n">
        <v>483.7</v>
      </c>
      <c r="G211" s="7" t="n">
        <v>134.37</v>
      </c>
      <c r="H211" s="8" t="n">
        <v>56.95</v>
      </c>
      <c r="I211" s="7" t="n">
        <v>483.7</v>
      </c>
      <c r="J211" s="7" t="n">
        <v>0</v>
      </c>
      <c r="K211" s="7">
        <f>G211-J211</f>
        <v/>
      </c>
      <c r="L211" s="7">
        <f>K211*$L$1</f>
        <v/>
      </c>
      <c r="M211" s="9">
        <f>F211/K211</f>
        <v/>
      </c>
      <c r="N211" s="10">
        <f>IF(M211&lt;3.5,"SI",IF(M211&lt;4.5,IF(K211&gt;=100,"SI",IF(K211&gt;=40,"CUIDADO","NO")),IF(AND(M211&lt;5.5,F211&gt;=500,K211&gt;=80),"CUIDADO","NO")))</f>
        <v/>
      </c>
    </row>
    <row r="212" ht="15.75" customHeight="1" s="98">
      <c r="A212" s="11" t="inlineStr">
        <is>
          <t>Balliu</t>
        </is>
      </c>
      <c r="B212" s="11" t="inlineStr">
        <is>
          <t>balliu-mesa-exterior-aluminio-90-cm-22901f1b</t>
        </is>
      </c>
      <c r="C212" s="11" t="inlineStr">
        <is>
          <t>BALLIU_CAPRI_MESA_DIAM_90_TABLE_HP_22901F1B</t>
        </is>
      </c>
      <c r="D212" s="12" t="inlineStr">
        <is>
          <t>Mesa exterior aluminio | Ø90 cm</t>
        </is>
      </c>
      <c r="E212" s="13" t="n">
        <v>209.41</v>
      </c>
      <c r="F212" s="13" t="n">
        <v>429.29</v>
      </c>
      <c r="G212" s="13" t="n">
        <v>119.26</v>
      </c>
      <c r="H212" s="14" t="n">
        <v>56.95</v>
      </c>
      <c r="I212" s="13" t="n">
        <v>429.29</v>
      </c>
      <c r="J212" s="13" t="n">
        <v>0</v>
      </c>
      <c r="K212" s="13">
        <f>G212-J212</f>
        <v/>
      </c>
      <c r="L212" s="13">
        <f>K212*$L$1</f>
        <v/>
      </c>
      <c r="M212" s="15">
        <f>F212/K212</f>
        <v/>
      </c>
      <c r="N212" s="10">
        <f>IF(M212&lt;3.5,"SI",IF(M212&lt;4.5,IF(K212&gt;=100,"SI",IF(K212&gt;=40,"CUIDADO","NO")),IF(AND(M212&lt;5.5,F212&gt;=500,K212&gt;=80),"CUIDADO","NO")))</f>
        <v/>
      </c>
    </row>
    <row r="213" ht="15.75" customHeight="1" s="98">
      <c r="A213" s="5" t="inlineStr">
        <is>
          <t>Balliu</t>
        </is>
      </c>
      <c r="B213" s="5" t="inlineStr">
        <is>
          <t>balliu-mesa-exterior-aluminio-90-cm-22901f1b</t>
        </is>
      </c>
      <c r="C213" s="5" t="inlineStr">
        <is>
          <t>BALLIU_CAPRI_MESA_DIAM_90_TABLE_HP_6C6DFD1C</t>
        </is>
      </c>
      <c r="D213" s="6" t="inlineStr">
        <is>
          <t>Mesa exterior aluminio | Ø90 cm</t>
        </is>
      </c>
      <c r="E213" s="7" t="n">
        <v>237.88</v>
      </c>
      <c r="F213" s="7" t="n">
        <v>487.65</v>
      </c>
      <c r="G213" s="7" t="n">
        <v>135.47</v>
      </c>
      <c r="H213" s="8" t="n">
        <v>56.95</v>
      </c>
      <c r="I213" s="7" t="n">
        <v>487.65</v>
      </c>
      <c r="J213" s="7" t="n">
        <v>0</v>
      </c>
      <c r="K213" s="7">
        <f>G213-J213</f>
        <v/>
      </c>
      <c r="L213" s="7">
        <f>K213*$L$1</f>
        <v/>
      </c>
      <c r="M213" s="9">
        <f>F213/K213</f>
        <v/>
      </c>
      <c r="N213" s="10">
        <f>IF(M213&lt;3.5,"SI",IF(M213&lt;4.5,IF(K213&gt;=100,"SI",IF(K213&gt;=40,"CUIDADO","NO")),IF(AND(M213&lt;5.5,F213&gt;=500,K213&gt;=80),"CUIDADO","NO")))</f>
        <v/>
      </c>
    </row>
    <row r="214" ht="15.75" customHeight="1" s="98">
      <c r="A214" s="11" t="inlineStr">
        <is>
          <t>Balliu</t>
        </is>
      </c>
      <c r="B214" s="11" t="inlineStr">
        <is>
          <t>balliu-mesa-exterior-aluminio-7070-cm-724b0db0</t>
        </is>
      </c>
      <c r="C214" s="11" t="inlineStr">
        <is>
          <t>BALLIU_CAPRI_MESA_70X70_PIE_SIMPLE_724B0DB0</t>
        </is>
      </c>
      <c r="D214" s="12" t="inlineStr">
        <is>
          <t>Mesa exterior aluminio | 70×70 cm</t>
        </is>
      </c>
      <c r="E214" s="13" t="n">
        <v>203.29</v>
      </c>
      <c r="F214" s="13" t="n">
        <v>416.74</v>
      </c>
      <c r="G214" s="13" t="n">
        <v>115.77</v>
      </c>
      <c r="H214" s="14" t="n">
        <v>56.95</v>
      </c>
      <c r="I214" s="13" t="n">
        <v>416.74</v>
      </c>
      <c r="J214" s="13" t="n">
        <v>0</v>
      </c>
      <c r="K214" s="13">
        <f>G214-J214</f>
        <v/>
      </c>
      <c r="L214" s="13">
        <f>K214*$L$1</f>
        <v/>
      </c>
      <c r="M214" s="15">
        <f>F214/K214</f>
        <v/>
      </c>
      <c r="N214" s="10">
        <f>IF(M214&lt;3.5,"SI",IF(M214&lt;4.5,IF(K214&gt;=100,"SI",IF(K214&gt;=40,"CUIDADO","NO")),IF(AND(M214&lt;5.5,F214&gt;=500,K214&gt;=80),"CUIDADO","NO")))</f>
        <v/>
      </c>
    </row>
    <row r="215" ht="15.75" customHeight="1" s="98">
      <c r="A215" s="5" t="inlineStr">
        <is>
          <t>Balliu</t>
        </is>
      </c>
      <c r="B215" s="5" t="inlineStr">
        <is>
          <t>balliu-mesa-exterior-aluminio-7070-cm-724b0db0</t>
        </is>
      </c>
      <c r="C215" s="5" t="inlineStr">
        <is>
          <t>BALLIU_CAPRI_MESA_70X70_PIE_SIMPLE_A0A23F40</t>
        </is>
      </c>
      <c r="D215" s="6" t="inlineStr">
        <is>
          <t>Mesa exterior aluminio | 70×70 cm</t>
        </is>
      </c>
      <c r="E215" s="7" t="n">
        <v>232.21</v>
      </c>
      <c r="F215" s="7" t="n">
        <v>476.03</v>
      </c>
      <c r="G215" s="7" t="n">
        <v>132.24</v>
      </c>
      <c r="H215" s="8" t="n">
        <v>56.95</v>
      </c>
      <c r="I215" s="7" t="n">
        <v>476.03</v>
      </c>
      <c r="J215" s="7" t="n">
        <v>0</v>
      </c>
      <c r="K215" s="7">
        <f>G215-J215</f>
        <v/>
      </c>
      <c r="L215" s="7">
        <f>K215*$L$1</f>
        <v/>
      </c>
      <c r="M215" s="9">
        <f>F215/K215</f>
        <v/>
      </c>
      <c r="N215" s="10">
        <f>IF(M215&lt;3.5,"SI",IF(M215&lt;4.5,IF(K215&gt;=100,"SI",IF(K215&gt;=40,"CUIDADO","NO")),IF(AND(M215&lt;5.5,F215&gt;=500,K215&gt;=80),"CUIDADO","NO")))</f>
        <v/>
      </c>
    </row>
    <row r="216" ht="15.75" customHeight="1" s="98">
      <c r="A216" s="11" t="inlineStr">
        <is>
          <t>Balliu</t>
        </is>
      </c>
      <c r="B216" s="11" t="inlineStr">
        <is>
          <t>balliu-mesa-exterior-aluminio-7070-cm-724b0db0</t>
        </is>
      </c>
      <c r="C216" s="11" t="inlineStr">
        <is>
          <t>BALLIU_CAPRI_MESA_80X80_PIE_SIMPLE_2A80CB3A</t>
        </is>
      </c>
      <c r="D216" s="12" t="inlineStr">
        <is>
          <t>Mesa exterior aluminio | 80×80 cm</t>
        </is>
      </c>
      <c r="E216" s="13" t="n">
        <v>218.28</v>
      </c>
      <c r="F216" s="13" t="n">
        <v>447.47</v>
      </c>
      <c r="G216" s="13" t="n">
        <v>124.31</v>
      </c>
      <c r="H216" s="14" t="n">
        <v>56.95</v>
      </c>
      <c r="I216" s="13" t="n">
        <v>447.47</v>
      </c>
      <c r="J216" s="13" t="n">
        <v>0</v>
      </c>
      <c r="K216" s="13">
        <f>G216-J216</f>
        <v/>
      </c>
      <c r="L216" s="13">
        <f>K216*$L$1</f>
        <v/>
      </c>
      <c r="M216" s="15">
        <f>F216/K216</f>
        <v/>
      </c>
      <c r="N216" s="10">
        <f>IF(M216&lt;3.5,"SI",IF(M216&lt;4.5,IF(K216&gt;=100,"SI",IF(K216&gt;=40,"CUIDADO","NO")),IF(AND(M216&lt;5.5,F216&gt;=500,K216&gt;=80),"CUIDADO","NO")))</f>
        <v/>
      </c>
    </row>
    <row r="217" ht="15.75" customHeight="1" s="98">
      <c r="A217" s="5" t="inlineStr">
        <is>
          <t>Balliu</t>
        </is>
      </c>
      <c r="B217" s="5" t="inlineStr">
        <is>
          <t>balliu-mesa-exterior-aluminio-7070-cm-724b0db0</t>
        </is>
      </c>
      <c r="C217" s="5" t="inlineStr">
        <is>
          <t>BALLIU_CAPRI_MESA_80X80_PIE_SIMPLE_8CA835FF</t>
        </is>
      </c>
      <c r="D217" s="6" t="inlineStr">
        <is>
          <t>Mesa exterior aluminio | 80×80 cm</t>
        </is>
      </c>
      <c r="E217" s="7" t="n">
        <v>228.9</v>
      </c>
      <c r="F217" s="7" t="n">
        <v>469.25</v>
      </c>
      <c r="G217" s="7" t="n">
        <v>130.36</v>
      </c>
      <c r="H217" s="8" t="n">
        <v>56.95</v>
      </c>
      <c r="I217" s="7" t="n">
        <v>469.25</v>
      </c>
      <c r="J217" s="7" t="n">
        <v>0</v>
      </c>
      <c r="K217" s="7">
        <f>G217-J217</f>
        <v/>
      </c>
      <c r="L217" s="7">
        <f>K217*$L$1</f>
        <v/>
      </c>
      <c r="M217" s="9">
        <f>F217/K217</f>
        <v/>
      </c>
      <c r="N217" s="10">
        <f>IF(M217&lt;3.5,"SI",IF(M217&lt;4.5,IF(K217&gt;=100,"SI",IF(K217&gt;=40,"CUIDADO","NO")),IF(AND(M217&lt;5.5,F217&gt;=500,K217&gt;=80),"CUIDADO","NO")))</f>
        <v/>
      </c>
    </row>
    <row r="218" ht="15.75" customHeight="1" s="98">
      <c r="A218" s="11" t="inlineStr">
        <is>
          <t>Balliu</t>
        </is>
      </c>
      <c r="B218" s="11" t="inlineStr">
        <is>
          <t>balliu-mesa-exterior-aluminio-7070-cm-724b0db0</t>
        </is>
      </c>
      <c r="C218" s="11" t="inlineStr">
        <is>
          <t>BALLIU_CAPRI_MESA_120X80_PIE_DOBLE_5C848C82</t>
        </is>
      </c>
      <c r="D218" s="12" t="inlineStr">
        <is>
          <t>Mesa exterior aluminio | 120×80 cm</t>
        </is>
      </c>
      <c r="E218" s="13" t="n">
        <v>285.53</v>
      </c>
      <c r="F218" s="13" t="n">
        <v>585.34</v>
      </c>
      <c r="G218" s="13" t="n">
        <v>162.61</v>
      </c>
      <c r="H218" s="14" t="n">
        <v>56.95</v>
      </c>
      <c r="I218" s="13" t="n">
        <v>585.34</v>
      </c>
      <c r="J218" s="13" t="n">
        <v>0</v>
      </c>
      <c r="K218" s="13">
        <f>G218-J218</f>
        <v/>
      </c>
      <c r="L218" s="13">
        <f>K218*$L$1</f>
        <v/>
      </c>
      <c r="M218" s="15">
        <f>F218/K218</f>
        <v/>
      </c>
      <c r="N218" s="10">
        <f>IF(M218&lt;3.5,"SI",IF(M218&lt;4.5,IF(K218&gt;=100,"SI",IF(K218&gt;=40,"CUIDADO","NO")),IF(AND(M218&lt;5.5,F218&gt;=500,K218&gt;=80),"CUIDADO","NO")))</f>
        <v/>
      </c>
    </row>
    <row r="219" ht="15.75" customHeight="1" s="98">
      <c r="A219" s="5" t="inlineStr">
        <is>
          <t>Balliu</t>
        </is>
      </c>
      <c r="B219" s="5" t="inlineStr">
        <is>
          <t>balliu-mesa-exterior-aluminio-7070-cm-724b0db0</t>
        </is>
      </c>
      <c r="C219" s="5" t="inlineStr">
        <is>
          <t>BALLIU_CAPRI_MESA_120X80_PIE_DOBLE_798DCADF</t>
        </is>
      </c>
      <c r="D219" s="6" t="inlineStr">
        <is>
          <t>Mesa exterior aluminio | 120×80 cm</t>
        </is>
      </c>
      <c r="E219" s="7" t="n">
        <v>334.63</v>
      </c>
      <c r="F219" s="7" t="n">
        <v>685.99</v>
      </c>
      <c r="G219" s="7" t="n">
        <v>190.57</v>
      </c>
      <c r="H219" s="8" t="n">
        <v>56.95</v>
      </c>
      <c r="I219" s="7" t="n">
        <v>685.99</v>
      </c>
      <c r="J219" s="7" t="n">
        <v>0</v>
      </c>
      <c r="K219" s="7">
        <f>G219-J219</f>
        <v/>
      </c>
      <c r="L219" s="7">
        <f>K219*$L$1</f>
        <v/>
      </c>
      <c r="M219" s="9">
        <f>F219/K219</f>
        <v/>
      </c>
      <c r="N219" s="10">
        <f>IF(M219&lt;3.5,"SI",IF(M219&lt;4.5,IF(K219&gt;=100,"SI",IF(K219&gt;=40,"CUIDADO","NO")),IF(AND(M219&lt;5.5,F219&gt;=500,K219&gt;=80),"CUIDADO","NO")))</f>
        <v/>
      </c>
    </row>
    <row r="220" ht="15.75" customHeight="1" s="98">
      <c r="A220" s="11" t="inlineStr">
        <is>
          <t>Balliu</t>
        </is>
      </c>
      <c r="B220" s="11" t="inlineStr">
        <is>
          <t>balliu-mesa-exterior-aluminio-7070-cm-724b0db0</t>
        </is>
      </c>
      <c r="C220" s="11" t="inlineStr">
        <is>
          <t>BALLIU_CAPRI_MESA_120X80_PIE_DOBLE_3C3BF077</t>
        </is>
      </c>
      <c r="D220" s="12" t="inlineStr">
        <is>
          <t>Mesa exterior aluminio | 120×80 cm</t>
        </is>
      </c>
      <c r="E220" s="13" t="n">
        <v>325.1</v>
      </c>
      <c r="F220" s="13" t="n">
        <v>666.46</v>
      </c>
      <c r="G220" s="13" t="n">
        <v>185.14</v>
      </c>
      <c r="H220" s="14" t="n">
        <v>56.95</v>
      </c>
      <c r="I220" s="13" t="n">
        <v>666.46</v>
      </c>
      <c r="J220" s="13" t="n">
        <v>0</v>
      </c>
      <c r="K220" s="13">
        <f>G220-J220</f>
        <v/>
      </c>
      <c r="L220" s="13">
        <f>K220*$L$1</f>
        <v/>
      </c>
      <c r="M220" s="15">
        <f>F220/K220</f>
        <v/>
      </c>
      <c r="N220" s="10">
        <f>IF(M220&lt;3.5,"SI",IF(M220&lt;4.5,IF(K220&gt;=100,"SI",IF(K220&gt;=40,"CUIDADO","NO")),IF(AND(M220&lt;5.5,F220&gt;=500,K220&gt;=80),"CUIDADO","NO")))</f>
        <v/>
      </c>
    </row>
    <row r="221" ht="15.75" customHeight="1" s="98">
      <c r="A221" s="5" t="inlineStr">
        <is>
          <t>Balliu</t>
        </is>
      </c>
      <c r="B221" s="5" t="inlineStr">
        <is>
          <t>balliu-mesa-exterior-aluminio-7070-cm-724b0db0</t>
        </is>
      </c>
      <c r="C221" s="5" t="inlineStr">
        <is>
          <t>BALLIU_CAPRI_MESA_120X80_PIE_DOBLE_05C442CF</t>
        </is>
      </c>
      <c r="D221" s="6" t="inlineStr">
        <is>
          <t>Mesa exterior aluminio | 120×80 cm</t>
        </is>
      </c>
      <c r="E221" s="7" t="n">
        <v>358.03</v>
      </c>
      <c r="F221" s="7" t="n">
        <v>733.96</v>
      </c>
      <c r="G221" s="7" t="n">
        <v>203.9</v>
      </c>
      <c r="H221" s="8" t="n">
        <v>56.95</v>
      </c>
      <c r="I221" s="7" t="n">
        <v>733.96</v>
      </c>
      <c r="J221" s="7" t="n">
        <v>0</v>
      </c>
      <c r="K221" s="7">
        <f>G221-J221</f>
        <v/>
      </c>
      <c r="L221" s="7">
        <f>K221*$L$1</f>
        <v/>
      </c>
      <c r="M221" s="9">
        <f>F221/K221</f>
        <v/>
      </c>
      <c r="N221" s="10">
        <f>IF(M221&lt;3.5,"SI",IF(M221&lt;4.5,IF(K221&gt;=100,"SI",IF(K221&gt;=40,"CUIDADO","NO")),IF(AND(M221&lt;5.5,F221&gt;=500,K221&gt;=80),"CUIDADO","NO")))</f>
        <v/>
      </c>
    </row>
    <row r="222" ht="15.75" customHeight="1" s="98">
      <c r="A222" s="11" t="inlineStr">
        <is>
          <t>Balliu</t>
        </is>
      </c>
      <c r="B222" s="11" t="inlineStr">
        <is>
          <t>balliu-mesa-alta-exterior-hpl-a3352658-2</t>
        </is>
      </c>
      <c r="C222" s="11" t="inlineStr">
        <is>
          <t>BALLIU_60X60_MESA_ALTA_TABLERO_HPL_GD_A3352658</t>
        </is>
      </c>
      <c r="D222" s="12" t="inlineStr">
        <is>
          <t>Mesa alta exterior HPL</t>
        </is>
      </c>
      <c r="E222" s="13" t="n">
        <v>245.33</v>
      </c>
      <c r="F222" s="13" t="n">
        <v>502.93</v>
      </c>
      <c r="G222" s="13" t="n">
        <v>139.71</v>
      </c>
      <c r="H222" s="14" t="n">
        <v>56.95</v>
      </c>
      <c r="I222" s="13" t="n">
        <v>502.93</v>
      </c>
      <c r="J222" s="13" t="n">
        <v>0</v>
      </c>
      <c r="K222" s="13">
        <f>G222-J222</f>
        <v/>
      </c>
      <c r="L222" s="13">
        <f>K222*$L$1</f>
        <v/>
      </c>
      <c r="M222" s="15">
        <f>F222/K222</f>
        <v/>
      </c>
      <c r="N222" s="10">
        <f>IF(M222&lt;3.5,"SI",IF(M222&lt;4.5,IF(K222&gt;=100,"SI",IF(K222&gt;=40,"CUIDADO","NO")),IF(AND(M222&lt;5.5,F222&gt;=500,K222&gt;=80),"CUIDADO","NO")))</f>
        <v/>
      </c>
    </row>
    <row r="223" ht="15.75" customHeight="1" s="98">
      <c r="A223" s="5" t="inlineStr">
        <is>
          <t>Balliu</t>
        </is>
      </c>
      <c r="B223" s="5" t="inlineStr">
        <is>
          <t>balliu-mesa-alta-exterior-hpl-a3352658-2</t>
        </is>
      </c>
      <c r="C223" s="5" t="inlineStr">
        <is>
          <t>BALLIU_60X60_MESA_ALTA_TABLERO_HPL_GD_A3352658</t>
        </is>
      </c>
      <c r="D223" s="6" t="inlineStr">
        <is>
          <t>Mesa alta exterior HPL</t>
        </is>
      </c>
      <c r="E223" s="7" t="n">
        <v>263.01</v>
      </c>
      <c r="F223" s="7" t="n">
        <v>539.17</v>
      </c>
      <c r="G223" s="7" t="n">
        <v>149.78</v>
      </c>
      <c r="H223" s="8" t="n">
        <v>56.95</v>
      </c>
      <c r="I223" s="7" t="n">
        <v>539.17</v>
      </c>
      <c r="J223" s="7" t="n">
        <v>0</v>
      </c>
      <c r="K223" s="7">
        <f>G223-J223</f>
        <v/>
      </c>
      <c r="L223" s="7">
        <f>K223*$L$1</f>
        <v/>
      </c>
      <c r="M223" s="9">
        <f>F223/K223</f>
        <v/>
      </c>
      <c r="N223" s="10">
        <f>IF(M223&lt;3.5,"SI",IF(M223&lt;4.5,IF(K223&gt;=100,"SI",IF(K223&gt;=40,"CUIDADO","NO")),IF(AND(M223&lt;5.5,F223&gt;=500,K223&gt;=80),"CUIDADO","NO")))</f>
        <v/>
      </c>
    </row>
    <row r="224" ht="15.75" customHeight="1" s="98">
      <c r="A224" s="11" t="inlineStr">
        <is>
          <t>Balliu</t>
        </is>
      </c>
      <c r="B224" s="11" t="inlineStr">
        <is>
          <t>balliu-mesa-alta-exterior-hpl-94512eab</t>
        </is>
      </c>
      <c r="C224" s="11" t="inlineStr">
        <is>
          <t>BALLIU_70X70_MESA_ALTA_TABLERO_HPL_94512EAB</t>
        </is>
      </c>
      <c r="D224" s="12" t="inlineStr">
        <is>
          <t>Mesa alta exterior HPL</t>
        </is>
      </c>
      <c r="E224" s="13" t="n">
        <v>283.88</v>
      </c>
      <c r="F224" s="13" t="n">
        <v>581.95</v>
      </c>
      <c r="G224" s="13" t="n">
        <v>161.67</v>
      </c>
      <c r="H224" s="14" t="n">
        <v>56.95</v>
      </c>
      <c r="I224" s="13" t="n">
        <v>581.95</v>
      </c>
      <c r="J224" s="13" t="n">
        <v>0</v>
      </c>
      <c r="K224" s="13">
        <f>G224-J224</f>
        <v/>
      </c>
      <c r="L224" s="13">
        <f>K224*$L$1</f>
        <v/>
      </c>
      <c r="M224" s="15">
        <f>F224/K224</f>
        <v/>
      </c>
      <c r="N224" s="10">
        <f>IF(M224&lt;3.5,"SI",IF(M224&lt;4.5,IF(K224&gt;=100,"SI",IF(K224&gt;=40,"CUIDADO","NO")),IF(AND(M224&lt;5.5,F224&gt;=500,K224&gt;=80),"CUIDADO","NO")))</f>
        <v/>
      </c>
    </row>
    <row r="225" ht="15.75" customHeight="1" s="98">
      <c r="A225" s="5" t="inlineStr">
        <is>
          <t>Balliu</t>
        </is>
      </c>
      <c r="B225" s="5" t="inlineStr">
        <is>
          <t>balliu-mesa-alta-exterior-hpl-5d74130e</t>
        </is>
      </c>
      <c r="C225" s="5" t="inlineStr">
        <is>
          <t>BALLIU_70X70_MESA_ALTA_TABLERO_HPL_GD_5D74130E</t>
        </is>
      </c>
      <c r="D225" s="6" t="inlineStr">
        <is>
          <t>Mesa alta exterior HPL</t>
        </is>
      </c>
      <c r="E225" s="7" t="n">
        <v>317.28</v>
      </c>
      <c r="F225" s="7" t="n">
        <v>650.42</v>
      </c>
      <c r="G225" s="7" t="n">
        <v>180.69</v>
      </c>
      <c r="H225" s="8" t="n">
        <v>56.95</v>
      </c>
      <c r="I225" s="7" t="n">
        <v>650.42</v>
      </c>
      <c r="J225" s="7" t="n">
        <v>0</v>
      </c>
      <c r="K225" s="7">
        <f>G225-J225</f>
        <v/>
      </c>
      <c r="L225" s="7">
        <f>K225*$L$1</f>
        <v/>
      </c>
      <c r="M225" s="9">
        <f>F225/K225</f>
        <v/>
      </c>
      <c r="N225" s="10">
        <f>IF(M225&lt;3.5,"SI",IF(M225&lt;4.5,IF(K225&gt;=100,"SI",IF(K225&gt;=40,"CUIDADO","NO")),IF(AND(M225&lt;5.5,F225&gt;=500,K225&gt;=80),"CUIDADO","NO")))</f>
        <v/>
      </c>
    </row>
    <row r="226" ht="15.75" customHeight="1" s="98">
      <c r="A226" s="11" t="inlineStr">
        <is>
          <t>Balliu</t>
        </is>
      </c>
      <c r="B226" s="11" t="inlineStr">
        <is>
          <t>balliu-mesa-exterior-hpl-7070-cm-9d14e31f</t>
        </is>
      </c>
      <c r="C226" s="11" t="inlineStr">
        <is>
          <t>BALLIU_SOFIA_MESA_70X70_TABLERO_HP_9D14E31F</t>
        </is>
      </c>
      <c r="D226" s="12" t="inlineStr">
        <is>
          <t>Mesa exterior HPL | 70×70 cm</t>
        </is>
      </c>
      <c r="E226" s="13" t="n">
        <v>178.35</v>
      </c>
      <c r="F226" s="13" t="n">
        <v>365.62</v>
      </c>
      <c r="G226" s="13" t="n">
        <v>101.57</v>
      </c>
      <c r="H226" s="14" t="n">
        <v>56.95</v>
      </c>
      <c r="I226" s="13" t="n">
        <v>365.62</v>
      </c>
      <c r="J226" s="13" t="n">
        <v>0</v>
      </c>
      <c r="K226" s="13">
        <f>G226-J226</f>
        <v/>
      </c>
      <c r="L226" s="13">
        <f>K226*$L$1</f>
        <v/>
      </c>
      <c r="M226" s="15">
        <f>F226/K226</f>
        <v/>
      </c>
      <c r="N226" s="10">
        <f>IF(M226&lt;3.5,"SI",IF(M226&lt;4.5,IF(K226&gt;=100,"SI",IF(K226&gt;=40,"CUIDADO","NO")),IF(AND(M226&lt;5.5,F226&gt;=500,K226&gt;=80),"CUIDADO","NO")))</f>
        <v/>
      </c>
    </row>
    <row r="227" ht="15.75" customHeight="1" s="98">
      <c r="A227" s="5" t="inlineStr">
        <is>
          <t>Balliu</t>
        </is>
      </c>
      <c r="B227" s="5" t="inlineStr">
        <is>
          <t>balliu-mesa-exterior-hpl-7070-cm-146f72ca</t>
        </is>
      </c>
      <c r="C227" s="5" t="inlineStr">
        <is>
          <t>BALLIU_SOFIA_MESA_70X70_TABLERO_HP_146F72CA</t>
        </is>
      </c>
      <c r="D227" s="6" t="inlineStr">
        <is>
          <t>Mesa exterior HPL | 70×70 cm</t>
        </is>
      </c>
      <c r="E227" s="7" t="n">
        <v>177.5</v>
      </c>
      <c r="F227" s="7" t="n">
        <v>363.88</v>
      </c>
      <c r="G227" s="7" t="n">
        <v>101.09</v>
      </c>
      <c r="H227" s="8" t="n">
        <v>56.95</v>
      </c>
      <c r="I227" s="7" t="n">
        <v>363.88</v>
      </c>
      <c r="J227" s="7" t="n">
        <v>0</v>
      </c>
      <c r="K227" s="7">
        <f>G227-J227</f>
        <v/>
      </c>
      <c r="L227" s="7">
        <f>K227*$L$1</f>
        <v/>
      </c>
      <c r="M227" s="9">
        <f>F227/K227</f>
        <v/>
      </c>
      <c r="N227" s="10">
        <f>IF(M227&lt;3.5,"SI",IF(M227&lt;4.5,IF(K227&gt;=100,"SI",IF(K227&gt;=40,"CUIDADO","NO")),IF(AND(M227&lt;5.5,F227&gt;=500,K227&gt;=80),"CUIDADO","NO")))</f>
        <v/>
      </c>
    </row>
    <row r="228" ht="15.75" customHeight="1" s="98">
      <c r="A228" s="11" t="inlineStr">
        <is>
          <t>Balliu</t>
        </is>
      </c>
      <c r="B228" s="11" t="inlineStr">
        <is>
          <t>balliu-mesa-exterior-hpl-8080-cm-1a2fe7b5</t>
        </is>
      </c>
      <c r="C228" s="11" t="inlineStr">
        <is>
          <t>BALLIU_SOFIA_MESA_80X80_TABLERO_HP_1A2FE7B5</t>
        </is>
      </c>
      <c r="D228" s="12" t="inlineStr">
        <is>
          <t>Mesa exterior HPL | 80×80 cm</t>
        </is>
      </c>
      <c r="E228" s="13" t="n">
        <v>186.98</v>
      </c>
      <c r="F228" s="13" t="n">
        <v>383.31</v>
      </c>
      <c r="G228" s="13" t="n">
        <v>106.48</v>
      </c>
      <c r="H228" s="14" t="n">
        <v>56.95</v>
      </c>
      <c r="I228" s="13" t="n">
        <v>383.31</v>
      </c>
      <c r="J228" s="13" t="n">
        <v>0</v>
      </c>
      <c r="K228" s="13">
        <f>G228-J228</f>
        <v/>
      </c>
      <c r="L228" s="13">
        <f>K228*$L$1</f>
        <v/>
      </c>
      <c r="M228" s="15">
        <f>F228/K228</f>
        <v/>
      </c>
      <c r="N228" s="10">
        <f>IF(M228&lt;3.5,"SI",IF(M228&lt;4.5,IF(K228&gt;=100,"SI",IF(K228&gt;=40,"CUIDADO","NO")),IF(AND(M228&lt;5.5,F228&gt;=500,K228&gt;=80),"CUIDADO","NO")))</f>
        <v/>
      </c>
    </row>
    <row r="229" ht="15.75" customHeight="1" s="98">
      <c r="A229" s="5" t="inlineStr">
        <is>
          <t>Balliu</t>
        </is>
      </c>
      <c r="B229" s="5" t="inlineStr">
        <is>
          <t>balliu-mesa-exterior-hpl-8080-cm-96593887</t>
        </is>
      </c>
      <c r="C229" s="5" t="inlineStr">
        <is>
          <t>BALLIU_SOFIA_MESA_80X80_TABLERO_HP_96593887</t>
        </is>
      </c>
      <c r="D229" s="6" t="inlineStr">
        <is>
          <t>Mesa exterior HPL | 80×80 cm</t>
        </is>
      </c>
      <c r="E229" s="7" t="n">
        <v>206.53</v>
      </c>
      <c r="F229" s="7" t="n">
        <v>423.39</v>
      </c>
      <c r="G229" s="7" t="n">
        <v>117.62</v>
      </c>
      <c r="H229" s="8" t="n">
        <v>56.95</v>
      </c>
      <c r="I229" s="7" t="n">
        <v>423.39</v>
      </c>
      <c r="J229" s="7" t="n">
        <v>0</v>
      </c>
      <c r="K229" s="7">
        <f>G229-J229</f>
        <v/>
      </c>
      <c r="L229" s="7">
        <f>K229*$L$1</f>
        <v/>
      </c>
      <c r="M229" s="9">
        <f>F229/K229</f>
        <v/>
      </c>
      <c r="N229" s="10">
        <f>IF(M229&lt;3.5,"SI",IF(M229&lt;4.5,IF(K229&gt;=100,"SI",IF(K229&gt;=40,"CUIDADO","NO")),IF(AND(M229&lt;5.5,F229&gt;=500,K229&gt;=80),"CUIDADO","NO")))</f>
        <v/>
      </c>
    </row>
    <row r="230" ht="15.75" customHeight="1" s="98">
      <c r="A230" s="11" t="inlineStr">
        <is>
          <t>Balliu</t>
        </is>
      </c>
      <c r="B230" s="11" t="inlineStr">
        <is>
          <t>balliu-mesa-exterior-hpl-7070-cm-f6074154</t>
        </is>
      </c>
      <c r="C230" s="11" t="inlineStr">
        <is>
          <t>BALLIU_SOFIA_MESA_70X70_HPL_F6074154</t>
        </is>
      </c>
      <c r="D230" s="12" t="inlineStr">
        <is>
          <t>Mesa exterior HPL | 70×70 cm</t>
        </is>
      </c>
      <c r="E230" s="13" t="n">
        <v>226.39</v>
      </c>
      <c r="F230" s="13" t="n">
        <v>464.1</v>
      </c>
      <c r="G230" s="13" t="n">
        <v>128.93</v>
      </c>
      <c r="H230" s="14" t="n">
        <v>56.95</v>
      </c>
      <c r="I230" s="13" t="n">
        <v>464.1</v>
      </c>
      <c r="J230" s="13" t="n">
        <v>0</v>
      </c>
      <c r="K230" s="13">
        <f>G230-J230</f>
        <v/>
      </c>
      <c r="L230" s="13">
        <f>K230*$L$1</f>
        <v/>
      </c>
      <c r="M230" s="15">
        <f>F230/K230</f>
        <v/>
      </c>
      <c r="N230" s="10">
        <f>IF(M230&lt;3.5,"SI",IF(M230&lt;4.5,IF(K230&gt;=100,"SI",IF(K230&gt;=40,"CUIDADO","NO")),IF(AND(M230&lt;5.5,F230&gt;=500,K230&gt;=80),"CUIDADO","NO")))</f>
        <v/>
      </c>
    </row>
    <row r="231" ht="15.75" customHeight="1" s="98">
      <c r="A231" s="5" t="inlineStr">
        <is>
          <t>Balliu</t>
        </is>
      </c>
      <c r="B231" s="5" t="inlineStr">
        <is>
          <t>balliu-mesa-exterior-aluminio-7070-cm-1b61e6b6</t>
        </is>
      </c>
      <c r="C231" s="5" t="inlineStr">
        <is>
          <t>BALLIU_ALTEA_MESA_70_X_70_HPL_GD_1B61E6B6</t>
        </is>
      </c>
      <c r="D231" s="6" t="inlineStr">
        <is>
          <t>Mesa exterior aluminio | 70×70 cm</t>
        </is>
      </c>
      <c r="E231" s="7" t="n">
        <v>258.36</v>
      </c>
      <c r="F231" s="7" t="n">
        <v>529.64</v>
      </c>
      <c r="G231" s="7" t="n">
        <v>147.14</v>
      </c>
      <c r="H231" s="8" t="n">
        <v>56.95</v>
      </c>
      <c r="I231" s="7" t="n">
        <v>529.64</v>
      </c>
      <c r="J231" s="7" t="n">
        <v>0</v>
      </c>
      <c r="K231" s="7">
        <f>G231-J231</f>
        <v/>
      </c>
      <c r="L231" s="7">
        <f>K231*$L$1</f>
        <v/>
      </c>
      <c r="M231" s="9">
        <f>F231/K231</f>
        <v/>
      </c>
      <c r="N231" s="10">
        <f>IF(M231&lt;3.5,"SI",IF(M231&lt;4.5,IF(K231&gt;=100,"SI",IF(K231&gt;=40,"CUIDADO","NO")),IF(AND(M231&lt;5.5,F231&gt;=500,K231&gt;=80),"CUIDADO","NO")))</f>
        <v/>
      </c>
    </row>
    <row r="232" ht="15.75" customHeight="1" s="98">
      <c r="A232" s="11" t="inlineStr">
        <is>
          <t>Balliu</t>
        </is>
      </c>
      <c r="B232" s="11" t="inlineStr">
        <is>
          <t>balliu-mesa-exterior-aluminio-8080-cm-a05618ad</t>
        </is>
      </c>
      <c r="C232" s="11" t="inlineStr">
        <is>
          <t>BALLIU_ALTEA_MESA_80_X_80_HPL_A05618AD</t>
        </is>
      </c>
      <c r="D232" s="12" t="inlineStr">
        <is>
          <t>Mesa exterior aluminio | 80×80 cm</t>
        </is>
      </c>
      <c r="E232" s="13" t="n">
        <v>226.79</v>
      </c>
      <c r="F232" s="13" t="n">
        <v>464.92</v>
      </c>
      <c r="G232" s="13" t="n">
        <v>129.16</v>
      </c>
      <c r="H232" s="14" t="n">
        <v>56.95</v>
      </c>
      <c r="I232" s="13" t="n">
        <v>464.92</v>
      </c>
      <c r="J232" s="13" t="n">
        <v>0</v>
      </c>
      <c r="K232" s="13">
        <f>G232-J232</f>
        <v/>
      </c>
      <c r="L232" s="13">
        <f>K232*$L$1</f>
        <v/>
      </c>
      <c r="M232" s="15">
        <f>F232/K232</f>
        <v/>
      </c>
      <c r="N232" s="10">
        <f>IF(M232&lt;3.5,"SI",IF(M232&lt;4.5,IF(K232&gt;=100,"SI",IF(K232&gt;=40,"CUIDADO","NO")),IF(AND(M232&lt;5.5,F232&gt;=500,K232&gt;=80),"CUIDADO","NO")))</f>
        <v/>
      </c>
    </row>
    <row r="233" ht="15.75" customHeight="1" s="98">
      <c r="A233" s="5" t="inlineStr">
        <is>
          <t>Balliu</t>
        </is>
      </c>
      <c r="B233" s="5" t="inlineStr">
        <is>
          <t>balliu-mesa-exterior-aluminio-8080-cm-0a3ee957</t>
        </is>
      </c>
      <c r="C233" s="5" t="inlineStr">
        <is>
          <t>BALLIU_ALTEA_MESA_80_X_80_HPL_GD_0A3EE957</t>
        </is>
      </c>
      <c r="D233" s="6" t="inlineStr">
        <is>
          <t>Mesa exterior aluminio | 80×80 cm</t>
        </is>
      </c>
      <c r="E233" s="7" t="n">
        <v>258.75</v>
      </c>
      <c r="F233" s="7" t="n">
        <v>530.4400000000001</v>
      </c>
      <c r="G233" s="7" t="n">
        <v>147.36</v>
      </c>
      <c r="H233" s="8" t="n">
        <v>56.95</v>
      </c>
      <c r="I233" s="7" t="n">
        <v>530.4400000000001</v>
      </c>
      <c r="J233" s="7" t="n">
        <v>0</v>
      </c>
      <c r="K233" s="7">
        <f>G233-J233</f>
        <v/>
      </c>
      <c r="L233" s="7">
        <f>K233*$L$1</f>
        <v/>
      </c>
      <c r="M233" s="9">
        <f>F233/K233</f>
        <v/>
      </c>
      <c r="N233" s="10">
        <f>IF(M233&lt;3.5,"SI",IF(M233&lt;4.5,IF(K233&gt;=100,"SI",IF(K233&gt;=40,"CUIDADO","NO")),IF(AND(M233&lt;5.5,F233&gt;=500,K233&gt;=80),"CUIDADO","NO")))</f>
        <v/>
      </c>
    </row>
    <row r="234" ht="15.75" customHeight="1" s="98">
      <c r="A234" s="11" t="inlineStr">
        <is>
          <t>Balliu</t>
        </is>
      </c>
      <c r="B234" s="11" t="inlineStr">
        <is>
          <t>balliu-mesa-exterior-aluminio-80-cm-50525e0b</t>
        </is>
      </c>
      <c r="C234" s="11" t="inlineStr">
        <is>
          <t>BALLIU_ALTEA_MESA_DIAM_80_HPL_50525E0B</t>
        </is>
      </c>
      <c r="D234" s="12" t="inlineStr">
        <is>
          <t>Mesa exterior aluminio | Ø80 cm</t>
        </is>
      </c>
      <c r="E234" s="13" t="n">
        <v>205.19</v>
      </c>
      <c r="F234" s="13" t="n">
        <v>420.64</v>
      </c>
      <c r="G234" s="13" t="n">
        <v>116.86</v>
      </c>
      <c r="H234" s="14" t="n">
        <v>56.95</v>
      </c>
      <c r="I234" s="13" t="n">
        <v>420.64</v>
      </c>
      <c r="J234" s="13" t="n">
        <v>0</v>
      </c>
      <c r="K234" s="13">
        <f>G234-J234</f>
        <v/>
      </c>
      <c r="L234" s="13">
        <f>K234*$L$1</f>
        <v/>
      </c>
      <c r="M234" s="15">
        <f>F234/K234</f>
        <v/>
      </c>
      <c r="N234" s="10">
        <f>IF(M234&lt;3.5,"SI",IF(M234&lt;4.5,IF(K234&gt;=100,"SI",IF(K234&gt;=40,"CUIDADO","NO")),IF(AND(M234&lt;5.5,F234&gt;=500,K234&gt;=80),"CUIDADO","NO")))</f>
        <v/>
      </c>
    </row>
    <row r="235" ht="15.75" customHeight="1" s="98">
      <c r="A235" s="5" t="inlineStr">
        <is>
          <t>Balliu</t>
        </is>
      </c>
      <c r="B235" s="5" t="inlineStr">
        <is>
          <t>balliu-mesa-exterior-aluminio-80-cm-b06218ca</t>
        </is>
      </c>
      <c r="C235" s="5" t="inlineStr">
        <is>
          <t>BALLIU_ALTEA_MESA_DIAM_80_HPL_GD_B06218CA</t>
        </is>
      </c>
      <c r="D235" s="6" t="inlineStr">
        <is>
          <t>Mesa exterior aluminio | Ø80 cm</t>
        </is>
      </c>
      <c r="E235" s="7" t="n">
        <v>211.05</v>
      </c>
      <c r="F235" s="7" t="n">
        <v>432.65</v>
      </c>
      <c r="G235" s="7" t="n">
        <v>120.19</v>
      </c>
      <c r="H235" s="8" t="n">
        <v>56.95</v>
      </c>
      <c r="I235" s="7" t="n">
        <v>432.65</v>
      </c>
      <c r="J235" s="7" t="n">
        <v>0</v>
      </c>
      <c r="K235" s="7">
        <f>G235-J235</f>
        <v/>
      </c>
      <c r="L235" s="7">
        <f>K235*$L$1</f>
        <v/>
      </c>
      <c r="M235" s="9">
        <f>F235/K235</f>
        <v/>
      </c>
      <c r="N235" s="10">
        <f>IF(M235&lt;3.5,"SI",IF(M235&lt;4.5,IF(K235&gt;=100,"SI",IF(K235&gt;=40,"CUIDADO","NO")),IF(AND(M235&lt;5.5,F235&gt;=500,K235&gt;=80),"CUIDADO","NO")))</f>
        <v/>
      </c>
    </row>
    <row r="236" ht="15.75" customHeight="1" s="98">
      <c r="A236" s="11" t="inlineStr">
        <is>
          <t>Balliu</t>
        </is>
      </c>
      <c r="B236" s="11" t="inlineStr">
        <is>
          <t>balliu-mesa-exterior-aluminio-12080-cm-bf75a33d</t>
        </is>
      </c>
      <c r="C236" s="11" t="inlineStr">
        <is>
          <t>BALLIU_ALTEA_MESA_120_X_80_HPL_BF75A33D</t>
        </is>
      </c>
      <c r="D236" s="12" t="inlineStr">
        <is>
          <t>Mesa exterior aluminio | 120×80 cm</t>
        </is>
      </c>
      <c r="E236" s="13" t="n">
        <v>361.89</v>
      </c>
      <c r="F236" s="13" t="n">
        <v>741.87</v>
      </c>
      <c r="G236" s="13" t="n">
        <v>206.1</v>
      </c>
      <c r="H236" s="14" t="n">
        <v>56.95</v>
      </c>
      <c r="I236" s="13" t="n">
        <v>741.87</v>
      </c>
      <c r="J236" s="13" t="n">
        <v>0</v>
      </c>
      <c r="K236" s="13">
        <f>G236-J236</f>
        <v/>
      </c>
      <c r="L236" s="13">
        <f>K236*$L$1</f>
        <v/>
      </c>
      <c r="M236" s="15">
        <f>F236/K236</f>
        <v/>
      </c>
      <c r="N236" s="10">
        <f>IF(M236&lt;3.5,"SI",IF(M236&lt;4.5,IF(K236&gt;=100,"SI",IF(K236&gt;=40,"CUIDADO","NO")),IF(AND(M236&lt;5.5,F236&gt;=500,K236&gt;=80),"CUIDADO","NO")))</f>
        <v/>
      </c>
    </row>
    <row r="237" ht="15.75" customHeight="1" s="98">
      <c r="A237" s="5" t="inlineStr">
        <is>
          <t>Balliu</t>
        </is>
      </c>
      <c r="B237" s="5" t="inlineStr">
        <is>
          <t>balliu-mesa-exterior-aluminio-75-cm-d7ab6e04</t>
        </is>
      </c>
      <c r="C237" s="5" t="inlineStr">
        <is>
          <t>BALLIU_AGATA_MESA_120_X_80_HPL_GD_D7AB6E04</t>
        </is>
      </c>
      <c r="D237" s="6" t="inlineStr">
        <is>
          <t>Mesa exterior aluminio | 75 cm</t>
        </is>
      </c>
      <c r="E237" s="7" t="n">
        <v>368.6</v>
      </c>
      <c r="F237" s="7" t="n">
        <v>755.63</v>
      </c>
      <c r="G237" s="7" t="n">
        <v>209.92</v>
      </c>
      <c r="H237" s="8" t="n">
        <v>56.95</v>
      </c>
      <c r="I237" s="7" t="n">
        <v>755.63</v>
      </c>
      <c r="J237" s="7" t="n">
        <v>0</v>
      </c>
      <c r="K237" s="7">
        <f>G237-J237</f>
        <v/>
      </c>
      <c r="L237" s="7">
        <f>K237*$L$1</f>
        <v/>
      </c>
      <c r="M237" s="9">
        <f>F237/K237</f>
        <v/>
      </c>
      <c r="N237" s="10">
        <f>IF(M237&lt;3.5,"SI",IF(M237&lt;4.5,IF(K237&gt;=100,"SI",IF(K237&gt;=40,"CUIDADO","NO")),IF(AND(M237&lt;5.5,F237&gt;=500,K237&gt;=80),"CUIDADO","NO")))</f>
        <v/>
      </c>
    </row>
    <row r="238" ht="15.75" customHeight="1" s="98">
      <c r="A238" s="11" t="inlineStr">
        <is>
          <t>Balliu</t>
        </is>
      </c>
      <c r="B238" s="11" t="inlineStr">
        <is>
          <t>balliu-mesa-exterior-aluminio-75-cm-dd745448</t>
        </is>
      </c>
      <c r="C238" s="11" t="inlineStr">
        <is>
          <t>BALLIU_AGATA_MESA_70X70_ENCIMERA_A_DD745448</t>
        </is>
      </c>
      <c r="D238" s="12" t="inlineStr">
        <is>
          <t>Mesa exterior aluminio | 75 cm</t>
        </is>
      </c>
      <c r="E238" s="13" t="n">
        <v>186.62</v>
      </c>
      <c r="F238" s="13" t="n">
        <v>382.57</v>
      </c>
      <c r="G238" s="13" t="n">
        <v>106.28</v>
      </c>
      <c r="H238" s="14" t="n">
        <v>56.95</v>
      </c>
      <c r="I238" s="13" t="n">
        <v>382.57</v>
      </c>
      <c r="J238" s="13" t="n">
        <v>0</v>
      </c>
      <c r="K238" s="13">
        <f>G238-J238</f>
        <v/>
      </c>
      <c r="L238" s="13">
        <f>K238*$L$1</f>
        <v/>
      </c>
      <c r="M238" s="15">
        <f>F238/K238</f>
        <v/>
      </c>
      <c r="N238" s="10">
        <f>IF(M238&lt;3.5,"SI",IF(M238&lt;4.5,IF(K238&gt;=100,"SI",IF(K238&gt;=40,"CUIDADO","NO")),IF(AND(M238&lt;5.5,F238&gt;=500,K238&gt;=80),"CUIDADO","NO")))</f>
        <v/>
      </c>
    </row>
    <row r="239" ht="15.75" customHeight="1" s="98">
      <c r="A239" s="5" t="inlineStr">
        <is>
          <t>Balliu</t>
        </is>
      </c>
      <c r="B239" s="5" t="inlineStr">
        <is>
          <t>balliu-mesa-exterior-aluminio-75-cm-c0092e17</t>
        </is>
      </c>
      <c r="C239" s="5" t="inlineStr">
        <is>
          <t>BALLIU_AGATA_MESA_180_X_90_ENCIMER_C0092E17</t>
        </is>
      </c>
      <c r="D239" s="6" t="inlineStr">
        <is>
          <t>Mesa exterior aluminio | 75 cm</t>
        </is>
      </c>
      <c r="E239" s="7" t="n">
        <v>270.76</v>
      </c>
      <c r="F239" s="7" t="n">
        <v>555.0599999999999</v>
      </c>
      <c r="G239" s="7" t="n">
        <v>154.2</v>
      </c>
      <c r="H239" s="8" t="n">
        <v>56.95</v>
      </c>
      <c r="I239" s="7" t="n">
        <v>555.0599999999999</v>
      </c>
      <c r="J239" s="7" t="n">
        <v>0</v>
      </c>
      <c r="K239" s="7">
        <f>G239-J239</f>
        <v/>
      </c>
      <c r="L239" s="7">
        <f>K239*$L$1</f>
        <v/>
      </c>
      <c r="M239" s="9">
        <f>F239/K239</f>
        <v/>
      </c>
      <c r="N239" s="10">
        <f>IF(M239&lt;3.5,"SI",IF(M239&lt;4.5,IF(K239&gt;=100,"SI",IF(K239&gt;=40,"CUIDADO","NO")),IF(AND(M239&lt;5.5,F239&gt;=500,K239&gt;=80),"CUIDADO","NO")))</f>
        <v/>
      </c>
    </row>
    <row r="240" ht="15.75" customHeight="1" s="98">
      <c r="A240" s="11" t="inlineStr">
        <is>
          <t>Balliu</t>
        </is>
      </c>
      <c r="B240" s="11" t="inlineStr">
        <is>
          <t>balliu-mesa-exterior-aluminio-72-cm-72514f40</t>
        </is>
      </c>
      <c r="C240" s="11" t="inlineStr">
        <is>
          <t>BALLIU_NORA_MESA_DIAMETRO_70_ALUM_72514F40</t>
        </is>
      </c>
      <c r="D240" s="12" t="inlineStr">
        <is>
          <t>Mesa exterior aluminio | 72 cm</t>
        </is>
      </c>
      <c r="E240" s="13" t="n">
        <v>120.39</v>
      </c>
      <c r="F240" s="13" t="n">
        <v>246.8</v>
      </c>
      <c r="G240" s="13" t="n">
        <v>68.56</v>
      </c>
      <c r="H240" s="14" t="n">
        <v>56.95</v>
      </c>
      <c r="I240" s="13" t="n">
        <v>246.8</v>
      </c>
      <c r="J240" s="13" t="n">
        <v>0</v>
      </c>
      <c r="K240" s="13">
        <f>G240-J240</f>
        <v/>
      </c>
      <c r="L240" s="13">
        <f>K240*$L$1</f>
        <v/>
      </c>
      <c r="M240" s="15">
        <f>F240/K240</f>
        <v/>
      </c>
      <c r="N240" s="10">
        <f>IF(M240&lt;3.5,"SI",IF(M240&lt;4.5,IF(K240&gt;=100,"SI",IF(K240&gt;=40,"CUIDADO","NO")),IF(AND(M240&lt;5.5,F240&gt;=500,K240&gt;=80),"CUIDADO","NO")))</f>
        <v/>
      </c>
    </row>
    <row r="241" ht="15.75" customHeight="1" s="98">
      <c r="A241" s="5" t="inlineStr">
        <is>
          <t>Balliu</t>
        </is>
      </c>
      <c r="B241" s="5" t="inlineStr">
        <is>
          <t>balliu-sofa-exterior-3-plazas-aluminio-estilo-elegante-62-cm-5e2ef268</t>
        </is>
      </c>
      <c r="C241" s="5" t="inlineStr">
        <is>
          <t>BALLIU_OLIMPIA_SOFA_INDIVIDUAL_TELA__5E2EF268</t>
        </is>
      </c>
      <c r="D241" s="6" t="inlineStr">
        <is>
          <t>Sofá exterior 3 plazas aluminio · estilo elegante | 62 cm</t>
        </is>
      </c>
      <c r="E241" s="7" t="n">
        <v>279.44</v>
      </c>
      <c r="F241" s="7" t="n">
        <v>572.85</v>
      </c>
      <c r="G241" s="7" t="n">
        <v>159.14</v>
      </c>
      <c r="H241" s="8" t="n">
        <v>56.95</v>
      </c>
      <c r="I241" s="7" t="n">
        <v>572.85</v>
      </c>
      <c r="J241" s="7" t="n">
        <v>0</v>
      </c>
      <c r="K241" s="7">
        <f>G241-J241</f>
        <v/>
      </c>
      <c r="L241" s="7">
        <f>K241*$L$1</f>
        <v/>
      </c>
      <c r="M241" s="9">
        <f>F241/K241</f>
        <v/>
      </c>
      <c r="N241" s="10">
        <f>IF(M241&lt;3.5,"SI",IF(M241&lt;4.5,IF(K241&gt;=100,"SI",IF(K241&gt;=40,"CUIDADO","NO")),IF(AND(M241&lt;5.5,F241&gt;=500,K241&gt;=80),"CUIDADO","NO")))</f>
        <v/>
      </c>
    </row>
    <row r="242" ht="15.75" customHeight="1" s="98">
      <c r="A242" s="11" t="inlineStr">
        <is>
          <t>Balliu</t>
        </is>
      </c>
      <c r="B242" s="11" t="inlineStr">
        <is>
          <t>balliu-sofa-exterior-3-plazas-aluminio-estilo-elegante-62-cm-5e2ef268</t>
        </is>
      </c>
      <c r="C242" s="11" t="inlineStr">
        <is>
          <t>BALLIU_OLIMPIA_SOFA_DOBLE_TELA_BALLI_4C82D31E</t>
        </is>
      </c>
      <c r="D242" s="12" t="inlineStr">
        <is>
          <t>Sofá exterior 3 plazas aluminio · estilo elegante | 62 cm</t>
        </is>
      </c>
      <c r="E242" s="13" t="n">
        <v>356.97</v>
      </c>
      <c r="F242" s="13" t="n">
        <v>731.79</v>
      </c>
      <c r="G242" s="13" t="n">
        <v>203.29</v>
      </c>
      <c r="H242" s="14" t="n">
        <v>56.95</v>
      </c>
      <c r="I242" s="13" t="n">
        <v>731.79</v>
      </c>
      <c r="J242" s="13" t="n">
        <v>0</v>
      </c>
      <c r="K242" s="13">
        <f>G242-J242</f>
        <v/>
      </c>
      <c r="L242" s="13">
        <f>K242*$L$1</f>
        <v/>
      </c>
      <c r="M242" s="15">
        <f>F242/K242</f>
        <v/>
      </c>
      <c r="N242" s="10">
        <f>IF(M242&lt;3.5,"SI",IF(M242&lt;4.5,IF(K242&gt;=100,"SI",IF(K242&gt;=40,"CUIDADO","NO")),IF(AND(M242&lt;5.5,F242&gt;=500,K242&gt;=80),"CUIDADO","NO")))</f>
        <v/>
      </c>
    </row>
    <row r="243" ht="15.75" customHeight="1" s="98">
      <c r="A243" s="5" t="inlineStr">
        <is>
          <t>Balliu</t>
        </is>
      </c>
      <c r="B243" s="5" t="inlineStr">
        <is>
          <t>balliu-sofa-exterior-3-plazas-aluminio-estilo-elegante-62-cm-5e2ef268</t>
        </is>
      </c>
      <c r="C243" s="5" t="inlineStr">
        <is>
          <t>BALLIU_OLIMPIA_SOFA_TRIPLE_TELA_BALL_CACE2317</t>
        </is>
      </c>
      <c r="D243" s="6" t="inlineStr">
        <is>
          <t>Sofá exterior 3 plazas aluminio · estilo elegante | 62 cm</t>
        </is>
      </c>
      <c r="E243" s="7" t="n">
        <v>534.41</v>
      </c>
      <c r="F243" s="7" t="n">
        <v>1095.54</v>
      </c>
      <c r="G243" s="7" t="n">
        <v>304.35</v>
      </c>
      <c r="H243" s="8" t="n">
        <v>56.95</v>
      </c>
      <c r="I243" s="7" t="n">
        <v>1095.54</v>
      </c>
      <c r="J243" s="7" t="n">
        <v>0</v>
      </c>
      <c r="K243" s="7">
        <f>G243-J243</f>
        <v/>
      </c>
      <c r="L243" s="7">
        <f>K243*$L$1</f>
        <v/>
      </c>
      <c r="M243" s="9">
        <f>F243/K243</f>
        <v/>
      </c>
      <c r="N243" s="10">
        <f>IF(M243&lt;3.5,"SI",IF(M243&lt;4.5,IF(K243&gt;=100,"SI",IF(K243&gt;=40,"CUIDADO","NO")),IF(AND(M243&lt;5.5,F243&gt;=500,K243&gt;=80),"CUIDADO","NO")))</f>
        <v/>
      </c>
    </row>
    <row r="244" ht="15.75" customHeight="1" s="98">
      <c r="A244" s="11" t="inlineStr">
        <is>
          <t>Balliu</t>
        </is>
      </c>
      <c r="B244" s="11" t="inlineStr">
        <is>
          <t>balliu-mesa-auxiliar-exterior-aluminio-54-cm-19d3d0ee</t>
        </is>
      </c>
      <c r="C244" s="11" t="inlineStr">
        <is>
          <t>BALLIU_OLIMPIA_MESA_AUXILIA_CENTRAL_TABLERO__19D3D0EE</t>
        </is>
      </c>
      <c r="D244" s="12" t="inlineStr">
        <is>
          <t>Mesa auxiliar exterior aluminio | 54 cm</t>
        </is>
      </c>
      <c r="E244" s="13" t="n">
        <v>122.04</v>
      </c>
      <c r="F244" s="13" t="n">
        <v>250.18</v>
      </c>
      <c r="G244" s="13" t="n">
        <v>69.5</v>
      </c>
      <c r="H244" s="14" t="n">
        <v>56.95</v>
      </c>
      <c r="I244" s="13" t="n">
        <v>250.18</v>
      </c>
      <c r="J244" s="13" t="n">
        <v>0</v>
      </c>
      <c r="K244" s="13">
        <f>G244-J244</f>
        <v/>
      </c>
      <c r="L244" s="13">
        <f>K244*$L$1</f>
        <v/>
      </c>
      <c r="M244" s="15">
        <f>F244/K244</f>
        <v/>
      </c>
      <c r="N244" s="10">
        <f>IF(M244&lt;3.5,"SI",IF(M244&lt;4.5,IF(K244&gt;=100,"SI",IF(K244&gt;=40,"CUIDADO","NO")),IF(AND(M244&lt;5.5,F244&gt;=500,K244&gt;=80),"CUIDADO","NO")))</f>
        <v/>
      </c>
    </row>
    <row r="245" ht="15.75" customHeight="1" s="98">
      <c r="A245" s="5" t="inlineStr">
        <is>
          <t>Balliu</t>
        </is>
      </c>
      <c r="B245" s="5" t="inlineStr">
        <is>
          <t>balliu-mesa-auxiliar-exterior-aluminio-54-cm-9e2a2ecb</t>
        </is>
      </c>
      <c r="C245" s="5" t="inlineStr">
        <is>
          <t>BALLIU_OLIMPIA_MESA_AUXILIA_CENTRAL_TABLERO__9E2A2ECB</t>
        </is>
      </c>
      <c r="D245" s="6" t="inlineStr">
        <is>
          <t>Mesa auxiliar exterior aluminio | 54 cm</t>
        </is>
      </c>
      <c r="E245" s="7" t="n">
        <v>130.35</v>
      </c>
      <c r="F245" s="7" t="n">
        <v>267.22</v>
      </c>
      <c r="G245" s="7" t="n">
        <v>74.23</v>
      </c>
      <c r="H245" s="8" t="n">
        <v>56.95</v>
      </c>
      <c r="I245" s="7" t="n">
        <v>267.22</v>
      </c>
      <c r="J245" s="7" t="n">
        <v>0</v>
      </c>
      <c r="K245" s="7">
        <f>G245-J245</f>
        <v/>
      </c>
      <c r="L245" s="7">
        <f>K245*$L$1</f>
        <v/>
      </c>
      <c r="M245" s="9">
        <f>F245/K245</f>
        <v/>
      </c>
      <c r="N245" s="10">
        <f>IF(M245&lt;3.5,"SI",IF(M245&lt;4.5,IF(K245&gt;=100,"SI",IF(K245&gt;=40,"CUIDADO","NO")),IF(AND(M245&lt;5.5,F245&gt;=500,K245&gt;=80),"CUIDADO","NO")))</f>
        <v/>
      </c>
    </row>
    <row r="246" ht="15.75" customHeight="1" s="98">
      <c r="A246" s="11" t="inlineStr">
        <is>
          <t>Balliu</t>
        </is>
      </c>
      <c r="B246" s="11" t="inlineStr">
        <is>
          <t>balliu-mesa-auxiliar-exterior-aluminio-54-cm-5ad43bf2</t>
        </is>
      </c>
      <c r="C246" s="11" t="inlineStr">
        <is>
          <t>BALLIU_OLIMPIA_MESA_AUXILIA_ESQUINERA_TABLER_5AD43BF2</t>
        </is>
      </c>
      <c r="D246" s="12" t="inlineStr">
        <is>
          <t>Mesa auxiliar exterior aluminio | 54 cm</t>
        </is>
      </c>
      <c r="E246" s="13" t="n">
        <v>123.32</v>
      </c>
      <c r="F246" s="13" t="n">
        <v>252.81</v>
      </c>
      <c r="G246" s="13" t="n">
        <v>70.23</v>
      </c>
      <c r="H246" s="14" t="n">
        <v>56.95</v>
      </c>
      <c r="I246" s="13" t="n">
        <v>252.81</v>
      </c>
      <c r="J246" s="13" t="n">
        <v>0</v>
      </c>
      <c r="K246" s="13">
        <f>G246-J246</f>
        <v/>
      </c>
      <c r="L246" s="13">
        <f>K246*$L$1</f>
        <v/>
      </c>
      <c r="M246" s="15">
        <f>F246/K246</f>
        <v/>
      </c>
      <c r="N246" s="10">
        <f>IF(M246&lt;3.5,"SI",IF(M246&lt;4.5,IF(K246&gt;=100,"SI",IF(K246&gt;=40,"CUIDADO","NO")),IF(AND(M246&lt;5.5,F246&gt;=500,K246&gt;=80),"CUIDADO","NO")))</f>
        <v/>
      </c>
    </row>
    <row r="247" ht="15.75" customHeight="1" s="98">
      <c r="A247" s="5" t="inlineStr">
        <is>
          <t>Balliu</t>
        </is>
      </c>
      <c r="B247" s="5" t="inlineStr">
        <is>
          <t>balliu-mesa-auxiliar-exterior-aluminio-54-cm-2ad5a2df</t>
        </is>
      </c>
      <c r="C247" s="5" t="inlineStr">
        <is>
          <t>BALLIU_OLIMPIA_MESA_AUXILIA_ESQUINERA_TABLER_2AD5A2DF</t>
        </is>
      </c>
      <c r="D247" s="6" t="inlineStr">
        <is>
          <t>Mesa auxiliar exterior aluminio | 54 cm</t>
        </is>
      </c>
      <c r="E247" s="7" t="n">
        <v>136.79</v>
      </c>
      <c r="F247" s="7" t="n">
        <v>280.42</v>
      </c>
      <c r="G247" s="7" t="n">
        <v>77.90000000000001</v>
      </c>
      <c r="H247" s="8" t="n">
        <v>56.95</v>
      </c>
      <c r="I247" s="7" t="n">
        <v>280.42</v>
      </c>
      <c r="J247" s="7" t="n">
        <v>0</v>
      </c>
      <c r="K247" s="7">
        <f>G247-J247</f>
        <v/>
      </c>
      <c r="L247" s="7">
        <f>K247*$L$1</f>
        <v/>
      </c>
      <c r="M247" s="9">
        <f>F247/K247</f>
        <v/>
      </c>
      <c r="N247" s="10">
        <f>IF(M247&lt;3.5,"SI",IF(M247&lt;4.5,IF(K247&gt;=100,"SI",IF(K247&gt;=40,"CUIDADO","NO")),IF(AND(M247&lt;5.5,F247&gt;=500,K247&gt;=80),"CUIDADO","NO")))</f>
        <v/>
      </c>
    </row>
    <row r="248" ht="15.75" customHeight="1" s="98">
      <c r="A248" s="11" t="inlineStr">
        <is>
          <t>Balliu</t>
        </is>
      </c>
      <c r="B248" s="11" t="inlineStr">
        <is>
          <t>balliu-sofa-exterior-3-plazas-aluminio-estilo-contemporaneo-77-cm-674ab9a1</t>
        </is>
      </c>
      <c r="C248" s="11" t="inlineStr">
        <is>
          <t>BALLIU_ETNA_SOFA_INDIVIDUAL_ACRIL_674AB9A1</t>
        </is>
      </c>
      <c r="D248" s="12" t="inlineStr">
        <is>
          <t>Sofá exterior 3 plazas aluminio · estilo contemporáneo | 77 cm</t>
        </is>
      </c>
      <c r="E248" s="13" t="n">
        <v>367.06</v>
      </c>
      <c r="F248" s="13" t="n">
        <v>752.47</v>
      </c>
      <c r="G248" s="13" t="n">
        <v>209.04</v>
      </c>
      <c r="H248" s="14" t="n">
        <v>56.95</v>
      </c>
      <c r="I248" s="13" t="n">
        <v>752.47</v>
      </c>
      <c r="J248" s="13" t="n">
        <v>0</v>
      </c>
      <c r="K248" s="13">
        <f>G248-J248</f>
        <v/>
      </c>
      <c r="L248" s="13">
        <f>K248*$L$1</f>
        <v/>
      </c>
      <c r="M248" s="15">
        <f>F248/K248</f>
        <v/>
      </c>
      <c r="N248" s="10">
        <f>IF(M248&lt;3.5,"SI",IF(M248&lt;4.5,IF(K248&gt;=100,"SI",IF(K248&gt;=40,"CUIDADO","NO")),IF(AND(M248&lt;5.5,F248&gt;=500,K248&gt;=80),"CUIDADO","NO")))</f>
        <v/>
      </c>
    </row>
    <row r="249" ht="15.75" customHeight="1" s="98">
      <c r="A249" s="5" t="inlineStr">
        <is>
          <t>Balliu</t>
        </is>
      </c>
      <c r="B249" s="5" t="inlineStr">
        <is>
          <t>balliu-sofa-exterior-3-plazas-aluminio-estilo-contemporaneo-77-cm-674ab9a1</t>
        </is>
      </c>
      <c r="C249" s="5" t="inlineStr">
        <is>
          <t>BALLIU_ETNA_SOFA_DOBLE_ACRILICO_AED77E2A</t>
        </is>
      </c>
      <c r="D249" s="6" t="inlineStr">
        <is>
          <t>Sofá exterior 3 plazas aluminio · estilo contemporáneo | 77 cm</t>
        </is>
      </c>
      <c r="E249" s="7" t="n">
        <v>611.77</v>
      </c>
      <c r="F249" s="7" t="n">
        <v>1254.13</v>
      </c>
      <c r="G249" s="7" t="n">
        <v>348.4</v>
      </c>
      <c r="H249" s="8" t="n">
        <v>56.95</v>
      </c>
      <c r="I249" s="7" t="n">
        <v>1254.13</v>
      </c>
      <c r="J249" s="7" t="n">
        <v>0</v>
      </c>
      <c r="K249" s="7">
        <f>G249-J249</f>
        <v/>
      </c>
      <c r="L249" s="7">
        <f>K249*$L$1</f>
        <v/>
      </c>
      <c r="M249" s="9">
        <f>F249/K249</f>
        <v/>
      </c>
      <c r="N249" s="10">
        <f>IF(M249&lt;3.5,"SI",IF(M249&lt;4.5,IF(K249&gt;=100,"SI",IF(K249&gt;=40,"CUIDADO","NO")),IF(AND(M249&lt;5.5,F249&gt;=500,K249&gt;=80),"CUIDADO","NO")))</f>
        <v/>
      </c>
    </row>
    <row r="250" ht="15.75" customHeight="1" s="98">
      <c r="A250" s="11" t="inlineStr">
        <is>
          <t>Balliu</t>
        </is>
      </c>
      <c r="B250" s="11" t="inlineStr">
        <is>
          <t>balliu-sofa-exterior-3-plazas-aluminio-estilo-contemporaneo-77-cm-674ab9a1</t>
        </is>
      </c>
      <c r="C250" s="11" t="inlineStr">
        <is>
          <t>BALLIU_ETNA_SOFA_TRIPLE_ACRILICO_E58D825A</t>
        </is>
      </c>
      <c r="D250" s="12" t="inlineStr">
        <is>
          <t>Sofá exterior 3 plazas aluminio · estilo contemporáneo | 77 cm</t>
        </is>
      </c>
      <c r="E250" s="13" t="n">
        <v>837.52</v>
      </c>
      <c r="F250" s="13" t="n">
        <v>1716.92</v>
      </c>
      <c r="G250" s="13" t="n">
        <v>476.97</v>
      </c>
      <c r="H250" s="14" t="n">
        <v>56.95</v>
      </c>
      <c r="I250" s="13" t="n">
        <v>1716.92</v>
      </c>
      <c r="J250" s="13" t="n">
        <v>0</v>
      </c>
      <c r="K250" s="13">
        <f>G250-J250</f>
        <v/>
      </c>
      <c r="L250" s="13">
        <f>K250*$L$1</f>
        <v/>
      </c>
      <c r="M250" s="15">
        <f>F250/K250</f>
        <v/>
      </c>
      <c r="N250" s="10">
        <f>IF(M250&lt;3.5,"SI",IF(M250&lt;4.5,IF(K250&gt;=100,"SI",IF(K250&gt;=40,"CUIDADO","NO")),IF(AND(M250&lt;5.5,F250&gt;=500,K250&gt;=80),"CUIDADO","NO")))</f>
        <v/>
      </c>
    </row>
    <row r="251" ht="15.75" customHeight="1" s="98">
      <c r="A251" s="5" t="inlineStr">
        <is>
          <t>Balliu</t>
        </is>
      </c>
      <c r="B251" s="5" t="inlineStr">
        <is>
          <t>balliu-mesa-de-centro-exterior-aluminio-60-cm-510b363e</t>
        </is>
      </c>
      <c r="C251" s="5" t="inlineStr">
        <is>
          <t>BALLIU_ETNA_MESA_CENTRAL_TABLERO_HPL_510B363E</t>
        </is>
      </c>
      <c r="D251" s="6" t="inlineStr">
        <is>
          <t>Mesa de centro exterior aluminio | 60 cm</t>
        </is>
      </c>
      <c r="E251" s="7" t="n">
        <v>194.7</v>
      </c>
      <c r="F251" s="7" t="n">
        <v>399.14</v>
      </c>
      <c r="G251" s="7" t="n">
        <v>110.88</v>
      </c>
      <c r="H251" s="8" t="n">
        <v>56.95</v>
      </c>
      <c r="I251" s="7" t="n">
        <v>399.14</v>
      </c>
      <c r="J251" s="7" t="n">
        <v>0</v>
      </c>
      <c r="K251" s="7">
        <f>G251-J251</f>
        <v/>
      </c>
      <c r="L251" s="7">
        <f>K251*$L$1</f>
        <v/>
      </c>
      <c r="M251" s="9">
        <f>F251/K251</f>
        <v/>
      </c>
      <c r="N251" s="10">
        <f>IF(M251&lt;3.5,"SI",IF(M251&lt;4.5,IF(K251&gt;=100,"SI",IF(K251&gt;=40,"CUIDADO","NO")),IF(AND(M251&lt;5.5,F251&gt;=500,K251&gt;=80),"CUIDADO","NO")))</f>
        <v/>
      </c>
    </row>
    <row r="252" ht="15.75" customHeight="1" s="98">
      <c r="A252" s="11" t="inlineStr">
        <is>
          <t>Balliu</t>
        </is>
      </c>
      <c r="B252" s="11" t="inlineStr">
        <is>
          <t>balliu-mesa-de-centro-exterior-aluminio-60-cm-510b363e</t>
        </is>
      </c>
      <c r="C252" s="11" t="inlineStr">
        <is>
          <t>BALLIU_ETNA_MESA_CENTRAL_TABLERO_HPL_GD_BC53F712</t>
        </is>
      </c>
      <c r="D252" s="12" t="inlineStr">
        <is>
          <t>Mesa de centro exterior aluminio | 60 cm</t>
        </is>
      </c>
      <c r="E252" s="13" t="n">
        <v>226.66</v>
      </c>
      <c r="F252" s="13" t="n">
        <v>464.65</v>
      </c>
      <c r="G252" s="13" t="n">
        <v>129.08</v>
      </c>
      <c r="H252" s="14" t="n">
        <v>56.95</v>
      </c>
      <c r="I252" s="13" t="n">
        <v>464.65</v>
      </c>
      <c r="J252" s="13" t="n">
        <v>0</v>
      </c>
      <c r="K252" s="13">
        <f>G252-J252</f>
        <v/>
      </c>
      <c r="L252" s="13">
        <f>K252*$L$1</f>
        <v/>
      </c>
      <c r="M252" s="15">
        <f>F252/K252</f>
        <v/>
      </c>
      <c r="N252" s="10">
        <f>IF(M252&lt;3.5,"SI",IF(M252&lt;4.5,IF(K252&gt;=100,"SI",IF(K252&gt;=40,"CUIDADO","NO")),IF(AND(M252&lt;5.5,F252&gt;=500,K252&gt;=80),"CUIDADO","NO")))</f>
        <v/>
      </c>
    </row>
    <row r="253" ht="15.75" customHeight="1" s="98">
      <c r="A253" s="5" t="inlineStr">
        <is>
          <t>Balliu</t>
        </is>
      </c>
      <c r="B253" s="5" t="inlineStr">
        <is>
          <t>balliu-parasol-para-terraza-acrilico-236bd5f0-3</t>
        </is>
      </c>
      <c r="C253" s="5" t="inlineStr">
        <is>
          <t>BALLIU_PARASOL_TELA_ACRILICA_236BD5F0</t>
        </is>
      </c>
      <c r="D253" s="6" t="inlineStr">
        <is>
          <t>Parasol para terraza acrílico</t>
        </is>
      </c>
      <c r="E253" s="7" t="n">
        <v>221.96</v>
      </c>
      <c r="F253" s="7" t="n">
        <v>455.02</v>
      </c>
      <c r="G253" s="7" t="n">
        <v>126.41</v>
      </c>
      <c r="H253" s="8" t="n">
        <v>56.95</v>
      </c>
      <c r="I253" s="7" t="n">
        <v>455.02</v>
      </c>
      <c r="J253" s="7" t="n">
        <v>0</v>
      </c>
      <c r="K253" s="7">
        <f>G253-J253</f>
        <v/>
      </c>
      <c r="L253" s="7">
        <f>K253*$L$1</f>
        <v/>
      </c>
      <c r="M253" s="9">
        <f>F253/K253</f>
        <v/>
      </c>
      <c r="N253" s="10">
        <f>IF(M253&lt;3.5,"SI",IF(M253&lt;4.5,IF(K253&gt;=100,"SI",IF(K253&gt;=40,"CUIDADO","NO")),IF(AND(M253&lt;5.5,F253&gt;=500,K253&gt;=80),"CUIDADO","NO")))</f>
        <v/>
      </c>
    </row>
    <row r="254" ht="15.75" customHeight="1" s="98">
      <c r="A254" s="11" t="inlineStr">
        <is>
          <t>Balliu</t>
        </is>
      </c>
      <c r="B254" s="11" t="inlineStr">
        <is>
          <t>balliu-parasol-para-terraza-82e48b2d-3</t>
        </is>
      </c>
      <c r="C254" s="11" t="inlineStr">
        <is>
          <t>BALLIU_PARASOL_TELA_BALLIU_82E48B2D</t>
        </is>
      </c>
      <c r="D254" s="12" t="inlineStr">
        <is>
          <t>Parasol para terraza</t>
        </is>
      </c>
      <c r="E254" s="13" t="n">
        <v>206.48</v>
      </c>
      <c r="F254" s="13" t="n">
        <v>423.28</v>
      </c>
      <c r="G254" s="13" t="n">
        <v>117.59</v>
      </c>
      <c r="H254" s="14" t="n">
        <v>56.95</v>
      </c>
      <c r="I254" s="13" t="n">
        <v>423.28</v>
      </c>
      <c r="J254" s="13" t="n">
        <v>0</v>
      </c>
      <c r="K254" s="13">
        <f>G254-J254</f>
        <v/>
      </c>
      <c r="L254" s="13">
        <f>K254*$L$1</f>
        <v/>
      </c>
      <c r="M254" s="15">
        <f>F254/K254</f>
        <v/>
      </c>
      <c r="N254" s="10">
        <f>IF(M254&lt;3.5,"SI",IF(M254&lt;4.5,IF(K254&gt;=100,"SI",IF(K254&gt;=40,"CUIDADO","NO")),IF(AND(M254&lt;5.5,F254&gt;=500,K254&gt;=80),"CUIDADO","NO")))</f>
        <v/>
      </c>
    </row>
    <row r="255" ht="15.75" customHeight="1" s="98">
      <c r="A255" s="5" t="inlineStr">
        <is>
          <t>Balliu</t>
        </is>
      </c>
      <c r="B255" s="5" t="inlineStr">
        <is>
          <t>balliu-parasol-para-terraza-acrilico-236bd5f0-3</t>
        </is>
      </c>
      <c r="C255" s="5" t="inlineStr">
        <is>
          <t>BALLIU_PARASOL_TELA_ACRILICA_236BD5F0</t>
        </is>
      </c>
      <c r="D255" s="6" t="inlineStr">
        <is>
          <t>Parasol para terraza acrílico</t>
        </is>
      </c>
      <c r="E255" s="7" t="n">
        <v>213.86</v>
      </c>
      <c r="F255" s="7" t="n">
        <v>438.41</v>
      </c>
      <c r="G255" s="7" t="n">
        <v>121.79</v>
      </c>
      <c r="H255" s="8" t="n">
        <v>56.95</v>
      </c>
      <c r="I255" s="7" t="n">
        <v>438.41</v>
      </c>
      <c r="J255" s="7" t="n">
        <v>0</v>
      </c>
      <c r="K255" s="7">
        <f>G255-J255</f>
        <v/>
      </c>
      <c r="L255" s="7">
        <f>K255*$L$1</f>
        <v/>
      </c>
      <c r="M255" s="9">
        <f>F255/K255</f>
        <v/>
      </c>
      <c r="N255" s="10">
        <f>IF(M255&lt;3.5,"SI",IF(M255&lt;4.5,IF(K255&gt;=100,"SI",IF(K255&gt;=40,"CUIDADO","NO")),IF(AND(M255&lt;5.5,F255&gt;=500,K255&gt;=80),"CUIDADO","NO")))</f>
        <v/>
      </c>
    </row>
    <row r="256" ht="15.75" customHeight="1" s="98">
      <c r="A256" s="11" t="inlineStr">
        <is>
          <t>Balliu</t>
        </is>
      </c>
      <c r="B256" s="11" t="inlineStr">
        <is>
          <t>balliu-parasol-para-terraza-82e48b2d-3</t>
        </is>
      </c>
      <c r="C256" s="11" t="inlineStr">
        <is>
          <t>BALLIU_PARASOL_TELA_BALLIU_82E48B2D</t>
        </is>
      </c>
      <c r="D256" s="12" t="inlineStr">
        <is>
          <t>Parasol para terraza</t>
        </is>
      </c>
      <c r="E256" s="13" t="n">
        <v>163.38</v>
      </c>
      <c r="F256" s="13" t="n">
        <v>334.93</v>
      </c>
      <c r="G256" s="13" t="n">
        <v>93.04000000000001</v>
      </c>
      <c r="H256" s="14" t="n">
        <v>56.95</v>
      </c>
      <c r="I256" s="13" t="n">
        <v>334.93</v>
      </c>
      <c r="J256" s="13" t="n">
        <v>0</v>
      </c>
      <c r="K256" s="13">
        <f>G256-J256</f>
        <v/>
      </c>
      <c r="L256" s="13">
        <f>K256*$L$1</f>
        <v/>
      </c>
      <c r="M256" s="15">
        <f>F256/K256</f>
        <v/>
      </c>
      <c r="N256" s="10">
        <f>IF(M256&lt;3.5,"SI",IF(M256&lt;4.5,IF(K256&gt;=100,"SI",IF(K256&gt;=40,"CUIDADO","NO")),IF(AND(M256&lt;5.5,F256&gt;=500,K256&gt;=80),"CUIDADO","NO")))</f>
        <v/>
      </c>
    </row>
    <row r="257" ht="15.75" customHeight="1" s="98">
      <c r="A257" s="5" t="inlineStr">
        <is>
          <t>Balliu</t>
        </is>
      </c>
      <c r="B257" s="5" t="inlineStr">
        <is>
          <t>balliu-parasol-para-terraza-f1ed8b8b</t>
        </is>
      </c>
      <c r="C257" s="5" t="inlineStr">
        <is>
          <t>BALLIU_PARASOL_TELA_BALLIU_250__F1ED8B8B</t>
        </is>
      </c>
      <c r="D257" s="6" t="inlineStr">
        <is>
          <t>Parasol para terraza</t>
        </is>
      </c>
      <c r="E257" s="7" t="n">
        <v>204.95</v>
      </c>
      <c r="F257" s="7" t="n">
        <v>420.15</v>
      </c>
      <c r="G257" s="7" t="n">
        <v>116.72</v>
      </c>
      <c r="H257" s="8" t="n">
        <v>56.95</v>
      </c>
      <c r="I257" s="7" t="n">
        <v>420.15</v>
      </c>
      <c r="J257" s="7" t="n">
        <v>0</v>
      </c>
      <c r="K257" s="7">
        <f>G257-J257</f>
        <v/>
      </c>
      <c r="L257" s="7">
        <f>K257*$L$1</f>
        <v/>
      </c>
      <c r="M257" s="9">
        <f>F257/K257</f>
        <v/>
      </c>
      <c r="N257" s="10">
        <f>IF(M257&lt;3.5,"SI",IF(M257&lt;4.5,IF(K257&gt;=100,"SI",IF(K257&gt;=40,"CUIDADO","NO")),IF(AND(M257&lt;5.5,F257&gt;=500,K257&gt;=80),"CUIDADO","NO")))</f>
        <v/>
      </c>
    </row>
    <row r="258" ht="15.75" customHeight="1" s="98">
      <c r="A258" s="11" t="inlineStr">
        <is>
          <t>Balliu</t>
        </is>
      </c>
      <c r="B258" s="11" t="inlineStr">
        <is>
          <t>balliu-parasol-para-terraza-acrilico-c8dd492d</t>
        </is>
      </c>
      <c r="C258" s="11" t="inlineStr">
        <is>
          <t>BALLIU_PARASOL_TELA_ACRILICA_25_C8DD492D</t>
        </is>
      </c>
      <c r="D258" s="12" t="inlineStr">
        <is>
          <t>Parasol para terraza acrílico</t>
        </is>
      </c>
      <c r="E258" s="13" t="n">
        <v>222.76</v>
      </c>
      <c r="F258" s="13" t="n">
        <v>456.66</v>
      </c>
      <c r="G258" s="13" t="n">
        <v>126.86</v>
      </c>
      <c r="H258" s="14" t="n">
        <v>56.95</v>
      </c>
      <c r="I258" s="13" t="n">
        <v>456.66</v>
      </c>
      <c r="J258" s="13" t="n">
        <v>0</v>
      </c>
      <c r="K258" s="13">
        <f>G258-J258</f>
        <v/>
      </c>
      <c r="L258" s="13">
        <f>K258*$L$1</f>
        <v/>
      </c>
      <c r="M258" s="15">
        <f>F258/K258</f>
        <v/>
      </c>
      <c r="N258" s="10">
        <f>IF(M258&lt;3.5,"SI",IF(M258&lt;4.5,IF(K258&gt;=100,"SI",IF(K258&gt;=40,"CUIDADO","NO")),IF(AND(M258&lt;5.5,F258&gt;=500,K258&gt;=80),"CUIDADO","NO")))</f>
        <v/>
      </c>
    </row>
    <row r="259" ht="15.75" customHeight="1" s="98">
      <c r="A259" s="5" t="inlineStr">
        <is>
          <t>Balliu</t>
        </is>
      </c>
      <c r="B259" s="5" t="inlineStr">
        <is>
          <t>balliu-parasol-para-terraza-acrilico-236bd5f0-3</t>
        </is>
      </c>
      <c r="C259" s="5" t="inlineStr">
        <is>
          <t>BALLIU_PARASOL_TELA_ACRILICA_236BD5F0</t>
        </is>
      </c>
      <c r="D259" s="6" t="inlineStr">
        <is>
          <t>Parasol para terraza acrílico</t>
        </is>
      </c>
      <c r="E259" s="7" t="n">
        <v>228.96</v>
      </c>
      <c r="F259" s="7" t="n">
        <v>469.37</v>
      </c>
      <c r="G259" s="7" t="n">
        <v>130.39</v>
      </c>
      <c r="H259" s="8" t="n">
        <v>56.95</v>
      </c>
      <c r="I259" s="7" t="n">
        <v>469.37</v>
      </c>
      <c r="J259" s="7" t="n">
        <v>0</v>
      </c>
      <c r="K259" s="7">
        <f>G259-J259</f>
        <v/>
      </c>
      <c r="L259" s="7">
        <f>K259*$L$1</f>
        <v/>
      </c>
      <c r="M259" s="9">
        <f>F259/K259</f>
        <v/>
      </c>
      <c r="N259" s="10">
        <f>IF(M259&lt;3.5,"SI",IF(M259&lt;4.5,IF(K259&gt;=100,"SI",IF(K259&gt;=40,"CUIDADO","NO")),IF(AND(M259&lt;5.5,F259&gt;=500,K259&gt;=80),"CUIDADO","NO")))</f>
        <v/>
      </c>
    </row>
    <row r="260" ht="15.75" customHeight="1" s="98">
      <c r="A260" s="11" t="inlineStr">
        <is>
          <t>Balliu</t>
        </is>
      </c>
      <c r="B260" s="11" t="inlineStr">
        <is>
          <t>balliu-parasol-para-terraza-82e48b2d-3</t>
        </is>
      </c>
      <c r="C260" s="11" t="inlineStr">
        <is>
          <t>BALLIU_PARASOL_TELA_BALLIU_82E48B2D</t>
        </is>
      </c>
      <c r="D260" s="12" t="inlineStr">
        <is>
          <t>Parasol para terraza</t>
        </is>
      </c>
      <c r="E260" s="13" t="n">
        <v>217.14</v>
      </c>
      <c r="F260" s="13" t="n">
        <v>445.14</v>
      </c>
      <c r="G260" s="13" t="n">
        <v>123.66</v>
      </c>
      <c r="H260" s="14" t="n">
        <v>56.95</v>
      </c>
      <c r="I260" s="13" t="n">
        <v>445.14</v>
      </c>
      <c r="J260" s="13" t="n">
        <v>0</v>
      </c>
      <c r="K260" s="13">
        <f>G260-J260</f>
        <v/>
      </c>
      <c r="L260" s="13">
        <f>K260*$L$1</f>
        <v/>
      </c>
      <c r="M260" s="15">
        <f>F260/K260</f>
        <v/>
      </c>
      <c r="N260" s="10">
        <f>IF(M260&lt;3.5,"SI",IF(M260&lt;4.5,IF(K260&gt;=100,"SI",IF(K260&gt;=40,"CUIDADO","NO")),IF(AND(M260&lt;5.5,F260&gt;=500,K260&gt;=80),"CUIDADO","NO")))</f>
        <v/>
      </c>
    </row>
    <row r="261" ht="15.75" customHeight="1" s="98">
      <c r="A261" s="5" t="inlineStr">
        <is>
          <t>Balliu</t>
        </is>
      </c>
      <c r="B261" s="5" t="inlineStr">
        <is>
          <t>balliu-parasol-para-terraza-aluminio-300-cm-3b7e77d1</t>
        </is>
      </c>
      <c r="C261" s="5" t="inlineStr">
        <is>
          <t>BALLIU_GARBI_PARASOL_DIAM_300_CM_TELA_3B7E77D1</t>
        </is>
      </c>
      <c r="D261" s="6" t="inlineStr">
        <is>
          <t>Parasol para terraza aluminio | Ø300 cm</t>
        </is>
      </c>
      <c r="E261" s="7" t="n">
        <v>561.54</v>
      </c>
      <c r="F261" s="7" t="n">
        <v>1151.16</v>
      </c>
      <c r="G261" s="7" t="n">
        <v>319.8</v>
      </c>
      <c r="H261" s="8" t="n">
        <v>56.95</v>
      </c>
      <c r="I261" s="7" t="n">
        <v>1151.16</v>
      </c>
      <c r="J261" s="7" t="n">
        <v>0</v>
      </c>
      <c r="K261" s="7">
        <f>G261-J261</f>
        <v/>
      </c>
      <c r="L261" s="7">
        <f>K261*$L$1</f>
        <v/>
      </c>
      <c r="M261" s="9">
        <f>F261/K261</f>
        <v/>
      </c>
      <c r="N261" s="10">
        <f>IF(M261&lt;3.5,"SI",IF(M261&lt;4.5,IF(K261&gt;=100,"SI",IF(K261&gt;=40,"CUIDADO","NO")),IF(AND(M261&lt;5.5,F261&gt;=500,K261&gt;=80),"CUIDADO","NO")))</f>
        <v/>
      </c>
    </row>
    <row r="262" ht="15.75" customHeight="1" s="98">
      <c r="A262" s="11" t="inlineStr">
        <is>
          <t>Balliu</t>
        </is>
      </c>
      <c r="B262" s="11" t="inlineStr">
        <is>
          <t>balliu-parasol-para-terraza-aluminio-300-cm-0ceba8e7</t>
        </is>
      </c>
      <c r="C262" s="11" t="inlineStr">
        <is>
          <t>BALLIU_BRISA_PARASOL_PARASOL_TELA_BAL_0CEBA8E7</t>
        </is>
      </c>
      <c r="D262" s="12" t="inlineStr">
        <is>
          <t>Parasol para terraza aluminio | 300 cm</t>
        </is>
      </c>
      <c r="E262" s="13" t="n">
        <v>561.54</v>
      </c>
      <c r="F262" s="13" t="n">
        <v>1151.16</v>
      </c>
      <c r="G262" s="13" t="n">
        <v>319.8</v>
      </c>
      <c r="H262" s="14" t="n">
        <v>56.95</v>
      </c>
      <c r="I262" s="13" t="n">
        <v>1151.16</v>
      </c>
      <c r="J262" s="13" t="n">
        <v>0</v>
      </c>
      <c r="K262" s="13">
        <f>G262-J262</f>
        <v/>
      </c>
      <c r="L262" s="13">
        <f>K262*$L$1</f>
        <v/>
      </c>
      <c r="M262" s="15">
        <f>F262/K262</f>
        <v/>
      </c>
      <c r="N262" s="10">
        <f>IF(M262&lt;3.5,"SI",IF(M262&lt;4.5,IF(K262&gt;=100,"SI",IF(K262&gt;=40,"CUIDADO","NO")),IF(AND(M262&lt;5.5,F262&gt;=500,K262&gt;=80),"CUIDADO","NO")))</f>
        <v/>
      </c>
    </row>
    <row r="263" ht="15.75" customHeight="1" s="98">
      <c r="A263" s="5" t="inlineStr">
        <is>
          <t>Balliu</t>
        </is>
      </c>
      <c r="B263" s="5" t="inlineStr">
        <is>
          <t>balliu-parasol-para-terraza-aluminio-300-cm-6c1e1224</t>
        </is>
      </c>
      <c r="C263" s="5" t="inlineStr">
        <is>
          <t>BALLIU_ROMA_PARASOL_300X300_CM_6C1E1224</t>
        </is>
      </c>
      <c r="D263" s="6" t="inlineStr">
        <is>
          <t>Parasol para terraza aluminio | 300 cm</t>
        </is>
      </c>
      <c r="E263" s="7" t="n">
        <v>1019.5</v>
      </c>
      <c r="F263" s="7" t="n">
        <v>2089.98</v>
      </c>
      <c r="G263" s="7" t="n">
        <v>580.6</v>
      </c>
      <c r="H263" s="8" t="n">
        <v>56.95</v>
      </c>
      <c r="I263" s="7" t="n">
        <v>2089.98</v>
      </c>
      <c r="J263" s="7" t="n">
        <v>0</v>
      </c>
      <c r="K263" s="7">
        <f>G263-J263</f>
        <v/>
      </c>
      <c r="L263" s="7">
        <f>K263*$L$1</f>
        <v/>
      </c>
      <c r="M263" s="9">
        <f>F263/K263</f>
        <v/>
      </c>
      <c r="N263" s="10">
        <f>IF(M263&lt;3.5,"SI",IF(M263&lt;4.5,IF(K263&gt;=100,"SI",IF(K263&gt;=40,"CUIDADO","NO")),IF(AND(M263&lt;5.5,F263&gt;=500,K263&gt;=80),"CUIDADO","NO")))</f>
        <v/>
      </c>
    </row>
    <row r="264" ht="15.75" customHeight="1" s="98">
      <c r="A264" s="11" t="inlineStr">
        <is>
          <t>Balliu</t>
        </is>
      </c>
      <c r="B264" s="11" t="inlineStr">
        <is>
          <t>balliu-accesorio-exterior-resina-da11d420</t>
        </is>
      </c>
      <c r="C264" s="11" t="inlineStr">
        <is>
          <t>BALLIU_PASARELA_RESINA_RECI_METRO_PASARELA_B_DA11D420</t>
        </is>
      </c>
      <c r="D264" s="12" t="inlineStr">
        <is>
          <t>Accesorio exterior resina</t>
        </is>
      </c>
      <c r="E264" s="13" t="n">
        <v>48.25</v>
      </c>
      <c r="F264" s="13" t="n">
        <v>98.91</v>
      </c>
      <c r="G264" s="13" t="n">
        <v>27.48</v>
      </c>
      <c r="H264" s="14" t="n">
        <v>56.95</v>
      </c>
      <c r="I264" s="13" t="n">
        <v>98.91</v>
      </c>
      <c r="J264" s="13" t="n">
        <v>0</v>
      </c>
      <c r="K264" s="13">
        <f>G264-J264</f>
        <v/>
      </c>
      <c r="L264" s="13">
        <f>K264*$L$1</f>
        <v/>
      </c>
      <c r="M264" s="15">
        <f>F264/K264</f>
        <v/>
      </c>
      <c r="N264" s="10">
        <f>IF(M264&lt;3.5,"SI",IF(M264&lt;4.5,IF(K264&gt;=100,"SI",IF(K264&gt;=40,"CUIDADO","NO")),IF(AND(M264&lt;5.5,F264&gt;=500,K264&gt;=80),"CUIDADO","NO")))</f>
        <v/>
      </c>
    </row>
    <row r="265" ht="15.75" customHeight="1" s="98">
      <c r="A265" s="5" t="inlineStr">
        <is>
          <t>Balliu</t>
        </is>
      </c>
      <c r="B265" s="5" t="inlineStr">
        <is>
          <t>balliu-accesorio-exterior-resina-df85d2d1</t>
        </is>
      </c>
      <c r="C265" s="5" t="inlineStr">
        <is>
          <t>BALLIU_PASARELA_RESINA_METRO_PASARELA_1_DF85D2D1</t>
        </is>
      </c>
      <c r="D265" s="6" t="inlineStr">
        <is>
          <t>Accesorio exterior resina</t>
        </is>
      </c>
      <c r="E265" s="7" t="n">
        <v>82.22</v>
      </c>
      <c r="F265" s="7" t="n">
        <v>168.55</v>
      </c>
      <c r="G265" s="7" t="n">
        <v>46.82</v>
      </c>
      <c r="H265" s="8" t="n">
        <v>56.95</v>
      </c>
      <c r="I265" s="7" t="n">
        <v>168.55</v>
      </c>
      <c r="J265" s="7" t="n">
        <v>0</v>
      </c>
      <c r="K265" s="7">
        <f>G265-J265</f>
        <v/>
      </c>
      <c r="L265" s="7">
        <f>K265*$L$1</f>
        <v/>
      </c>
      <c r="M265" s="9">
        <f>F265/K265</f>
        <v/>
      </c>
      <c r="N265" s="10">
        <f>IF(M265&lt;3.5,"SI",IF(M265&lt;4.5,IF(K265&gt;=100,"SI",IF(K265&gt;=40,"CUIDADO","NO")),IF(AND(M265&lt;5.5,F265&gt;=500,K265&gt;=80),"CUIDADO","NO")))</f>
        <v/>
      </c>
    </row>
    <row r="266" ht="15.75" customHeight="1" s="98">
      <c r="A266" s="11" t="inlineStr">
        <is>
          <t>Balliu</t>
        </is>
      </c>
      <c r="B266" s="11" t="inlineStr">
        <is>
          <t>balliu-colchoneta-para-tumbona-0e9a3256</t>
        </is>
      </c>
      <c r="C266" s="11" t="inlineStr">
        <is>
          <t>BALLIU_COLCHONETA_TUMBONA_TEJIDO_ACRILICO_26977CB8</t>
        </is>
      </c>
      <c r="D266" s="12" t="inlineStr">
        <is>
          <t>Colchoneta para tumbona acrílico</t>
        </is>
      </c>
      <c r="E266" s="13" t="n">
        <v>70.56999999999999</v>
      </c>
      <c r="F266" s="13" t="n">
        <v>144.67</v>
      </c>
      <c r="G266" s="13" t="n">
        <v>40.19</v>
      </c>
      <c r="H266" s="14" t="n">
        <v>56.95</v>
      </c>
      <c r="I266" s="13" t="n">
        <v>144.67</v>
      </c>
      <c r="J266" s="13" t="n">
        <v>0</v>
      </c>
      <c r="K266" s="13">
        <f>G266-J266</f>
        <v/>
      </c>
      <c r="L266" s="13">
        <f>K266*$L$1</f>
        <v/>
      </c>
      <c r="M266" s="15">
        <f>F266/K266</f>
        <v/>
      </c>
      <c r="N266" s="10">
        <f>IF(M266&lt;3.5,"SI",IF(M266&lt;4.5,IF(K266&gt;=100,"SI",IF(K266&gt;=40,"CUIDADO","NO")),IF(AND(M266&lt;5.5,F266&gt;=500,K266&gt;=80),"CUIDADO","NO")))</f>
        <v/>
      </c>
    </row>
    <row r="267" ht="15.75" customHeight="1" s="98">
      <c r="A267" s="5" t="inlineStr">
        <is>
          <t>Balliu</t>
        </is>
      </c>
      <c r="B267" s="5" t="inlineStr">
        <is>
          <t>balliu-colchoneta-para-tumbona-0e9a3256</t>
        </is>
      </c>
      <c r="C267" s="5" t="inlineStr">
        <is>
          <t>BALLIU_COLCHONETA_TUMBONA_TELA_BALLIU_GUAT_0E9A3256</t>
        </is>
      </c>
      <c r="D267" s="6" t="inlineStr">
        <is>
          <t>Colchoneta para tumbona</t>
        </is>
      </c>
      <c r="E267" s="7" t="n">
        <v>62.07</v>
      </c>
      <c r="F267" s="7" t="n">
        <v>127.24</v>
      </c>
      <c r="G267" s="7" t="n">
        <v>35.35</v>
      </c>
      <c r="H267" s="8" t="n">
        <v>56.95</v>
      </c>
      <c r="I267" s="7" t="n">
        <v>127.24</v>
      </c>
      <c r="J267" s="7" t="n">
        <v>0</v>
      </c>
      <c r="K267" s="7">
        <f>G267-J267</f>
        <v/>
      </c>
      <c r="L267" s="7">
        <f>K267*$L$1</f>
        <v/>
      </c>
      <c r="M267" s="9">
        <f>F267/K267</f>
        <v/>
      </c>
      <c r="N267" s="10">
        <f>IF(M267&lt;3.5,"SI",IF(M267&lt;4.5,IF(K267&gt;=100,"SI",IF(K267&gt;=40,"CUIDADO","NO")),IF(AND(M267&lt;5.5,F267&gt;=500,K267&gt;=80),"CUIDADO","NO")))</f>
        <v/>
      </c>
    </row>
    <row r="268" ht="15.75" customHeight="1" s="98">
      <c r="A268" s="11" t="inlineStr">
        <is>
          <t>Balliu</t>
        </is>
      </c>
      <c r="B268" s="11" t="inlineStr">
        <is>
          <t>balliu-colchoneta-para-tumbona-0e9a3256</t>
        </is>
      </c>
      <c r="C268" s="11" t="inlineStr">
        <is>
          <t>BALLIU_COLCHONETA_TUMBONA_TELA_BALLIU_DRYF_41269616</t>
        </is>
      </c>
      <c r="D268" s="12" t="inlineStr">
        <is>
          <t>Colchoneta para tumbona</t>
        </is>
      </c>
      <c r="E268" s="13" t="n">
        <v>102.54</v>
      </c>
      <c r="F268" s="13" t="n">
        <v>210.21</v>
      </c>
      <c r="G268" s="13" t="n">
        <v>58.4</v>
      </c>
      <c r="H268" s="14" t="n">
        <v>56.95</v>
      </c>
      <c r="I268" s="13" t="n">
        <v>210.21</v>
      </c>
      <c r="J268" s="13" t="n">
        <v>0</v>
      </c>
      <c r="K268" s="13">
        <f>G268-J268</f>
        <v/>
      </c>
      <c r="L268" s="13">
        <f>K268*$L$1</f>
        <v/>
      </c>
      <c r="M268" s="15">
        <f>F268/K268</f>
        <v/>
      </c>
      <c r="N268" s="10">
        <f>IF(M268&lt;3.5,"SI",IF(M268&lt;4.5,IF(K268&gt;=100,"SI",IF(K268&gt;=40,"CUIDADO","NO")),IF(AND(M268&lt;5.5,F268&gt;=500,K268&gt;=80),"CUIDADO","NO")))</f>
        <v/>
      </c>
    </row>
    <row r="269" ht="15.75" customHeight="1" s="98">
      <c r="A269" s="5" t="inlineStr">
        <is>
          <t>Balliu</t>
        </is>
      </c>
      <c r="B269" s="5" t="inlineStr">
        <is>
          <t>balliu-mobiliario-exterior-resina-28-cm-6264905d</t>
        </is>
      </c>
      <c r="C269" s="5" t="inlineStr">
        <is>
          <t>BALLIU_WEGUARD_CAJA_DE_SEGU_6264905D</t>
        </is>
      </c>
      <c r="D269" s="6" t="inlineStr">
        <is>
          <t>Mobiliario exterior resina | 28 cm</t>
        </is>
      </c>
      <c r="E269" s="7" t="n">
        <v>34.61</v>
      </c>
      <c r="F269" s="7" t="n">
        <v>70.95</v>
      </c>
      <c r="G269" s="7" t="n">
        <v>19.71</v>
      </c>
      <c r="H269" s="8" t="n">
        <v>56.95</v>
      </c>
      <c r="I269" s="7" t="n">
        <v>70.95</v>
      </c>
      <c r="J269" s="7" t="n">
        <v>0</v>
      </c>
      <c r="K269" s="7">
        <f>G269-J269</f>
        <v/>
      </c>
      <c r="L269" s="7">
        <f>K269*$L$1</f>
        <v/>
      </c>
      <c r="M269" s="9">
        <f>F269/K269</f>
        <v/>
      </c>
      <c r="N269" s="10">
        <f>IF(M269&lt;3.5,"SI",IF(M269&lt;4.5,IF(K269&gt;=100,"SI",IF(K269&gt;=40,"CUIDADO","NO")),IF(AND(M269&lt;5.5,F269&gt;=500,K269&gt;=80),"CUIDADO","NO")))</f>
        <v/>
      </c>
    </row>
    <row r="270" ht="15.75" customHeight="1" s="98">
      <c r="A270" s="11" t="inlineStr">
        <is>
          <t>Balliu</t>
        </is>
      </c>
      <c r="B270" s="11" t="inlineStr">
        <is>
          <t>balliu-pie-de-parasol-c2147052</t>
        </is>
      </c>
      <c r="C270" s="11" t="inlineStr">
        <is>
          <t>BALLIU_PIE_PARASOL_40_KG_C2147052</t>
        </is>
      </c>
      <c r="D270" s="12" t="inlineStr">
        <is>
          <t>Pie de parasol</t>
        </is>
      </c>
      <c r="E270" s="13" t="n">
        <v>88.17</v>
      </c>
      <c r="F270" s="13" t="n">
        <v>180.75</v>
      </c>
      <c r="G270" s="13" t="n">
        <v>50.21</v>
      </c>
      <c r="H270" s="14" t="n">
        <v>56.95</v>
      </c>
      <c r="I270" s="13" t="n">
        <v>180.75</v>
      </c>
      <c r="J270" s="13" t="n">
        <v>0</v>
      </c>
      <c r="K270" s="13">
        <f>G270-J270</f>
        <v/>
      </c>
      <c r="L270" s="13">
        <f>K270*$L$1</f>
        <v/>
      </c>
      <c r="M270" s="15">
        <f>F270/K270</f>
        <v/>
      </c>
      <c r="N270" s="10">
        <f>IF(M270&lt;3.5,"SI",IF(M270&lt;4.5,IF(K270&gt;=100,"SI",IF(K270&gt;=40,"CUIDADO","NO")),IF(AND(M270&lt;5.5,F270&gt;=500,K270&gt;=80),"CUIDADO","NO")))</f>
        <v/>
      </c>
    </row>
    <row r="271" ht="15.75" customHeight="1" s="98">
      <c r="A271" s="5" t="inlineStr">
        <is>
          <t>Balliu</t>
        </is>
      </c>
      <c r="B271" s="5" t="inlineStr">
        <is>
          <t>balliu-pie-de-parasol-fab3cac6</t>
        </is>
      </c>
      <c r="C271" s="5" t="inlineStr">
        <is>
          <t>BALLIU_PIE_PARASOL_40_KG_RE_FAB3CAC6</t>
        </is>
      </c>
      <c r="D271" s="6" t="inlineStr">
        <is>
          <t>Pie de parasol</t>
        </is>
      </c>
      <c r="E271" s="7" t="n">
        <v>68.16</v>
      </c>
      <c r="F271" s="7" t="n">
        <v>139.73</v>
      </c>
      <c r="G271" s="7" t="n">
        <v>38.82</v>
      </c>
      <c r="H271" s="8" t="n">
        <v>56.95</v>
      </c>
      <c r="I271" s="7" t="n">
        <v>139.73</v>
      </c>
      <c r="J271" s="7" t="n">
        <v>0</v>
      </c>
      <c r="K271" s="7">
        <f>G271-J271</f>
        <v/>
      </c>
      <c r="L271" s="7">
        <f>K271*$L$1</f>
        <v/>
      </c>
      <c r="M271" s="9">
        <f>F271/K271</f>
        <v/>
      </c>
      <c r="N271" s="10">
        <f>IF(M271&lt;3.5,"SI",IF(M271&lt;4.5,IF(K271&gt;=100,"SI",IF(K271&gt;=40,"CUIDADO","NO")),IF(AND(M271&lt;5.5,F271&gt;=500,K271&gt;=80),"CUIDADO","NO")))</f>
        <v/>
      </c>
    </row>
    <row r="272" ht="15.75" customHeight="1" s="98">
      <c r="A272" s="11" t="inlineStr">
        <is>
          <t>Balliu</t>
        </is>
      </c>
      <c r="B272" s="11" t="inlineStr">
        <is>
          <t>balliu-base-de-parasol-3ee8b72d</t>
        </is>
      </c>
      <c r="C272" s="11" t="inlineStr">
        <is>
          <t>BALLIU_BASE_HORMIGON_25_KG_3EE8B72D</t>
        </is>
      </c>
      <c r="D272" s="12" t="inlineStr">
        <is>
          <t>Base de parasol</t>
        </is>
      </c>
      <c r="E272" s="13" t="n">
        <v>54.88</v>
      </c>
      <c r="F272" s="13" t="n">
        <v>112.5</v>
      </c>
      <c r="G272" s="13" t="n">
        <v>31.26</v>
      </c>
      <c r="H272" s="14" t="n">
        <v>56.95</v>
      </c>
      <c r="I272" s="13" t="n">
        <v>112.5</v>
      </c>
      <c r="J272" s="13" t="n">
        <v>0</v>
      </c>
      <c r="K272" s="13">
        <f>G272-J272</f>
        <v/>
      </c>
      <c r="L272" s="13">
        <f>K272*$L$1</f>
        <v/>
      </c>
      <c r="M272" s="15">
        <f>F272/K272</f>
        <v/>
      </c>
      <c r="N272" s="10">
        <f>IF(M272&lt;3.5,"SI",IF(M272&lt;4.5,IF(K272&gt;=100,"SI",IF(K272&gt;=40,"CUIDADO","NO")),IF(AND(M272&lt;5.5,F272&gt;=500,K272&gt;=80),"CUIDADO","NO")))</f>
        <v/>
      </c>
    </row>
    <row r="273" ht="15.75" customHeight="1" s="98">
      <c r="A273" s="5" t="inlineStr">
        <is>
          <t>Balliu</t>
        </is>
      </c>
      <c r="B273" s="5" t="inlineStr">
        <is>
          <t>balliu-base-de-parasol-890a4cd4</t>
        </is>
      </c>
      <c r="C273" s="5" t="inlineStr">
        <is>
          <t>BALLIU_BASE_HORMIGON_30_KG_890A4CD4</t>
        </is>
      </c>
      <c r="D273" s="6" t="inlineStr">
        <is>
          <t>Base de parasol</t>
        </is>
      </c>
      <c r="E273" s="7" t="n">
        <v>27.52</v>
      </c>
      <c r="F273" s="7" t="n">
        <v>56.42</v>
      </c>
      <c r="G273" s="7" t="n">
        <v>15.67</v>
      </c>
      <c r="H273" s="8" t="n">
        <v>56.95</v>
      </c>
      <c r="I273" s="7" t="n">
        <v>56.42</v>
      </c>
      <c r="J273" s="7" t="n">
        <v>0</v>
      </c>
      <c r="K273" s="7">
        <f>G273-J273</f>
        <v/>
      </c>
      <c r="L273" s="7">
        <f>K273*$L$1</f>
        <v/>
      </c>
      <c r="M273" s="9">
        <f>F273/K273</f>
        <v/>
      </c>
      <c r="N273" s="10">
        <f>IF(M273&lt;3.5,"SI",IF(M273&lt;4.5,IF(K273&gt;=100,"SI",IF(K273&gt;=40,"CUIDADO","NO")),IF(AND(M273&lt;5.5,F273&gt;=500,K273&gt;=80),"CUIDADO","NO")))</f>
        <v/>
      </c>
    </row>
    <row r="274" ht="15.75" customHeight="1" s="98">
      <c r="A274" s="11" t="inlineStr">
        <is>
          <t>Balliu</t>
        </is>
      </c>
      <c r="B274" s="11" t="inlineStr">
        <is>
          <t>balliu-funda-protectora-exterior-686cc405</t>
        </is>
      </c>
      <c r="C274" s="11" t="inlineStr">
        <is>
          <t>BALLIU_FUNDA_TUMBONA_12_UNIDADES_D7D20AB0</t>
        </is>
      </c>
      <c r="D274" s="12" t="inlineStr">
        <is>
          <t>Funda protectora exterior</t>
        </is>
      </c>
      <c r="E274" s="13" t="n">
        <v>137.94</v>
      </c>
      <c r="F274" s="13" t="n">
        <v>282.78</v>
      </c>
      <c r="G274" s="13" t="n">
        <v>78.56</v>
      </c>
      <c r="H274" s="14" t="n">
        <v>56.95</v>
      </c>
      <c r="I274" s="13" t="n">
        <v>282.78</v>
      </c>
      <c r="J274" s="13" t="n">
        <v>0</v>
      </c>
      <c r="K274" s="13">
        <f>G274-J274</f>
        <v/>
      </c>
      <c r="L274" s="13">
        <f>K274*$L$1</f>
        <v/>
      </c>
      <c r="M274" s="15">
        <f>F274/K274</f>
        <v/>
      </c>
      <c r="N274" s="10">
        <f>IF(M274&lt;3.5,"SI",IF(M274&lt;4.5,IF(K274&gt;=100,"SI",IF(K274&gt;=40,"CUIDADO","NO")),IF(AND(M274&lt;5.5,F274&gt;=500,K274&gt;=80),"CUIDADO","NO")))</f>
        <v/>
      </c>
    </row>
    <row r="275" ht="15.75" customHeight="1" s="98">
      <c r="A275" s="5" t="inlineStr">
        <is>
          <t>Balliu</t>
        </is>
      </c>
      <c r="B275" s="5" t="inlineStr">
        <is>
          <t>balliu-funda-protectora-exterior-686cc405</t>
        </is>
      </c>
      <c r="C275" s="5" t="inlineStr">
        <is>
          <t>BALLIU_FUNDA_TUMBONA_24_UNIDADES_287BB1C0</t>
        </is>
      </c>
      <c r="D275" s="6" t="inlineStr">
        <is>
          <t>Funda protectora exterior</t>
        </is>
      </c>
      <c r="E275" s="7" t="n">
        <v>176.97</v>
      </c>
      <c r="F275" s="7" t="n">
        <v>362.79</v>
      </c>
      <c r="G275" s="7" t="n">
        <v>100.78</v>
      </c>
      <c r="H275" s="8" t="n">
        <v>56.95</v>
      </c>
      <c r="I275" s="7" t="n">
        <v>362.79</v>
      </c>
      <c r="J275" s="7" t="n">
        <v>0</v>
      </c>
      <c r="K275" s="7">
        <f>G275-J275</f>
        <v/>
      </c>
      <c r="L275" s="7">
        <f>K275*$L$1</f>
        <v/>
      </c>
      <c r="M275" s="9">
        <f>F275/K275</f>
        <v/>
      </c>
      <c r="N275" s="10">
        <f>IF(M275&lt;3.5,"SI",IF(M275&lt;4.5,IF(K275&gt;=100,"SI",IF(K275&gt;=40,"CUIDADO","NO")),IF(AND(M275&lt;5.5,F275&gt;=500,K275&gt;=80),"CUIDADO","NO")))</f>
        <v/>
      </c>
    </row>
    <row r="276" ht="15.75" customHeight="1" s="98">
      <c r="A276" s="11" t="inlineStr">
        <is>
          <t>Balliu</t>
        </is>
      </c>
      <c r="B276" s="11" t="inlineStr">
        <is>
          <t>balliu-funda-protectora-exterior-686cc405</t>
        </is>
      </c>
      <c r="C276" s="11" t="inlineStr">
        <is>
          <t>BALLIU_FUNDA_TUMBONA_2_UNIDADES_686CC405</t>
        </is>
      </c>
      <c r="D276" s="12" t="inlineStr">
        <is>
          <t>Funda protectora exterior</t>
        </is>
      </c>
      <c r="E276" s="13" t="n">
        <v>42.82</v>
      </c>
      <c r="F276" s="13" t="n">
        <v>87.78</v>
      </c>
      <c r="G276" s="13" t="n">
        <v>24.39</v>
      </c>
      <c r="H276" s="14" t="n">
        <v>56.95</v>
      </c>
      <c r="I276" s="13" t="n">
        <v>87.78</v>
      </c>
      <c r="J276" s="13" t="n">
        <v>0</v>
      </c>
      <c r="K276" s="13">
        <f>G276-J276</f>
        <v/>
      </c>
      <c r="L276" s="13">
        <f>K276*$L$1</f>
        <v/>
      </c>
      <c r="M276" s="15">
        <f>F276/K276</f>
        <v/>
      </c>
      <c r="N276" s="10">
        <f>IF(M276&lt;3.5,"SI",IF(M276&lt;4.5,IF(K276&gt;=100,"SI",IF(K276&gt;=40,"CUIDADO","NO")),IF(AND(M276&lt;5.5,F276&gt;=500,K276&gt;=80),"CUIDADO","NO")))</f>
        <v/>
      </c>
    </row>
    <row r="277" ht="15.75" customHeight="1" s="98">
      <c r="A277" s="5" t="inlineStr">
        <is>
          <t>Balliu</t>
        </is>
      </c>
      <c r="B277" s="5" t="inlineStr">
        <is>
          <t>balliu-funda-protectora-exterior-acrilico-a1c16324</t>
        </is>
      </c>
      <c r="C277" s="5" t="inlineStr">
        <is>
          <t>BALLIU_FUNDA_PARASOL_1_UNIDADES_ACRIL_A1C16324</t>
        </is>
      </c>
      <c r="D277" s="6" t="inlineStr">
        <is>
          <t>Funda protectora exterior acrílico</t>
        </is>
      </c>
      <c r="E277" s="7" t="n">
        <v>19.68</v>
      </c>
      <c r="F277" s="7" t="n">
        <v>40.34</v>
      </c>
      <c r="G277" s="7" t="n">
        <v>11.21</v>
      </c>
      <c r="H277" s="8" t="n">
        <v>56.95</v>
      </c>
      <c r="I277" s="7" t="n">
        <v>40.34</v>
      </c>
      <c r="J277" s="7" t="n">
        <v>0</v>
      </c>
      <c r="K277" s="7">
        <f>G277-J277</f>
        <v/>
      </c>
      <c r="L277" s="7">
        <f>K277*$L$1</f>
        <v/>
      </c>
      <c r="M277" s="9">
        <f>F277/K277</f>
        <v/>
      </c>
      <c r="N277" s="10">
        <f>IF(M277&lt;3.5,"SI",IF(M277&lt;4.5,IF(K277&gt;=100,"SI",IF(K277&gt;=40,"CUIDADO","NO")),IF(AND(M277&lt;5.5,F277&gt;=500,K277&gt;=80),"CUIDADO","NO")))</f>
        <v/>
      </c>
    </row>
    <row r="278" ht="15.75" customHeight="1" s="98">
      <c r="A278" s="11" t="inlineStr">
        <is>
          <t>Balliu</t>
        </is>
      </c>
      <c r="B278" s="11" t="inlineStr">
        <is>
          <t>balliu-funda-protectora-exterior-6f6d4953</t>
        </is>
      </c>
      <c r="C278" s="11" t="inlineStr">
        <is>
          <t>BALLIU_FUNDA_SOFA_SOFA_INDIVIDUAL_6F6D4953</t>
        </is>
      </c>
      <c r="D278" s="12" t="inlineStr">
        <is>
          <t>Funda protectora exterior</t>
        </is>
      </c>
      <c r="E278" s="13" t="n">
        <v>69.70999999999999</v>
      </c>
      <c r="F278" s="13" t="n">
        <v>142.91</v>
      </c>
      <c r="G278" s="13" t="n">
        <v>39.7</v>
      </c>
      <c r="H278" s="14" t="n">
        <v>56.95</v>
      </c>
      <c r="I278" s="13" t="n">
        <v>142.91</v>
      </c>
      <c r="J278" s="13" t="n">
        <v>0</v>
      </c>
      <c r="K278" s="13">
        <f>G278-J278</f>
        <v/>
      </c>
      <c r="L278" s="13">
        <f>K278*$L$1</f>
        <v/>
      </c>
      <c r="M278" s="15">
        <f>F278/K278</f>
        <v/>
      </c>
      <c r="N278" s="10">
        <f>IF(M278&lt;3.5,"SI",IF(M278&lt;4.5,IF(K278&gt;=100,"SI",IF(K278&gt;=40,"CUIDADO","NO")),IF(AND(M278&lt;5.5,F278&gt;=500,K278&gt;=80),"CUIDADO","NO")))</f>
        <v/>
      </c>
    </row>
    <row r="279" ht="15.75" customHeight="1" s="98">
      <c r="A279" s="5" t="inlineStr">
        <is>
          <t>Balliu</t>
        </is>
      </c>
      <c r="B279" s="5" t="inlineStr">
        <is>
          <t>balliu-funda-protectora-exterior-6f6d4953</t>
        </is>
      </c>
      <c r="C279" s="5" t="inlineStr">
        <is>
          <t>BALLIU_FUNDA_SOFA_SOFA_DOBLE_0595C4C0</t>
        </is>
      </c>
      <c r="D279" s="6" t="inlineStr">
        <is>
          <t>Funda protectora exterior</t>
        </is>
      </c>
      <c r="E279" s="7" t="n">
        <v>99.95</v>
      </c>
      <c r="F279" s="7" t="n">
        <v>204.9</v>
      </c>
      <c r="G279" s="7" t="n">
        <v>56.92</v>
      </c>
      <c r="H279" s="8" t="n">
        <v>56.95</v>
      </c>
      <c r="I279" s="7" t="n">
        <v>204.9</v>
      </c>
      <c r="J279" s="7" t="n">
        <v>0</v>
      </c>
      <c r="K279" s="7">
        <f>G279-J279</f>
        <v/>
      </c>
      <c r="L279" s="7">
        <f>K279*$L$1</f>
        <v/>
      </c>
      <c r="M279" s="9">
        <f>F279/K279</f>
        <v/>
      </c>
      <c r="N279" s="10">
        <f>IF(M279&lt;3.5,"SI",IF(M279&lt;4.5,IF(K279&gt;=100,"SI",IF(K279&gt;=40,"CUIDADO","NO")),IF(AND(M279&lt;5.5,F279&gt;=500,K279&gt;=80),"CUIDADO","NO")))</f>
        <v/>
      </c>
    </row>
    <row r="280" ht="15.75" customHeight="1" s="98">
      <c r="A280" s="11" t="inlineStr">
        <is>
          <t>Balliu</t>
        </is>
      </c>
      <c r="B280" s="11" t="inlineStr">
        <is>
          <t>balliu-funda-protectora-exterior-6f6d4953</t>
        </is>
      </c>
      <c r="C280" s="11" t="inlineStr">
        <is>
          <t>BALLIU_FUNDA_SOFA_SOFA_TRIPLE_852AF1C6</t>
        </is>
      </c>
      <c r="D280" s="12" t="inlineStr">
        <is>
          <t>Funda protectora exterior</t>
        </is>
      </c>
      <c r="E280" s="13" t="n">
        <v>122.35</v>
      </c>
      <c r="F280" s="13" t="n">
        <v>250.82</v>
      </c>
      <c r="G280" s="13" t="n">
        <v>69.68000000000001</v>
      </c>
      <c r="H280" s="14" t="n">
        <v>56.95</v>
      </c>
      <c r="I280" s="13" t="n">
        <v>250.82</v>
      </c>
      <c r="J280" s="13" t="n">
        <v>0</v>
      </c>
      <c r="K280" s="13">
        <f>G280-J280</f>
        <v/>
      </c>
      <c r="L280" s="13">
        <f>K280*$L$1</f>
        <v/>
      </c>
      <c r="M280" s="15">
        <f>F280/K280</f>
        <v/>
      </c>
      <c r="N280" s="10">
        <f>IF(M280&lt;3.5,"SI",IF(M280&lt;4.5,IF(K280&gt;=100,"SI",IF(K280&gt;=40,"CUIDADO","NO")),IF(AND(M280&lt;5.5,F280&gt;=500,K280&gt;=80),"CUIDADO","NO")))</f>
        <v/>
      </c>
    </row>
    <row r="281" ht="15.75" customHeight="1" s="98">
      <c r="A281" s="5" t="inlineStr">
        <is>
          <t>Balliu</t>
        </is>
      </c>
      <c r="B281" s="5" t="inlineStr">
        <is>
          <t>balliu-funda-protectora-exterior-340b2844</t>
        </is>
      </c>
      <c r="C281" s="5" t="inlineStr">
        <is>
          <t>BALLIU_FUNDA_SILLA_6_UNIDADES_340B2844</t>
        </is>
      </c>
      <c r="D281" s="6" t="inlineStr">
        <is>
          <t>Funda protectora exterior</t>
        </is>
      </c>
      <c r="E281" s="7" t="n">
        <v>45.21</v>
      </c>
      <c r="F281" s="7" t="n">
        <v>92.68000000000001</v>
      </c>
      <c r="G281" s="7" t="n">
        <v>25.75</v>
      </c>
      <c r="H281" s="8" t="n">
        <v>56.95</v>
      </c>
      <c r="I281" s="7" t="n">
        <v>92.68000000000001</v>
      </c>
      <c r="J281" s="7" t="n">
        <v>0</v>
      </c>
      <c r="K281" s="7">
        <f>G281-J281</f>
        <v/>
      </c>
      <c r="L281" s="7">
        <f>K281*$L$1</f>
        <v/>
      </c>
      <c r="M281" s="9">
        <f>F281/K281</f>
        <v/>
      </c>
      <c r="N281" s="10">
        <f>IF(M281&lt;3.5,"SI",IF(M281&lt;4.5,IF(K281&gt;=100,"SI",IF(K281&gt;=40,"CUIDADO","NO")),IF(AND(M281&lt;5.5,F281&gt;=500,K281&gt;=80),"CUIDADO","NO")))</f>
        <v/>
      </c>
    </row>
    <row r="282" ht="15.75" customHeight="1" s="98">
      <c r="A282" s="11" t="inlineStr">
        <is>
          <t>Balliu</t>
        </is>
      </c>
      <c r="B282" s="11" t="inlineStr">
        <is>
          <t>balliu-cojin-exterior-523e5ae9</t>
        </is>
      </c>
      <c r="C282" s="11" t="inlineStr">
        <is>
          <t>BALLIU_COJIN_40X40_COJIN_CUADRAL_523E5AE9</t>
        </is>
      </c>
      <c r="D282" s="12" t="inlineStr">
        <is>
          <t>Cojín exterior</t>
        </is>
      </c>
      <c r="E282" s="13" t="n">
        <v>28.69</v>
      </c>
      <c r="F282" s="13" t="n">
        <v>58.81</v>
      </c>
      <c r="G282" s="13" t="n">
        <v>16.34</v>
      </c>
      <c r="H282" s="14" t="n">
        <v>56.95</v>
      </c>
      <c r="I282" s="13" t="n">
        <v>58.81</v>
      </c>
      <c r="J282" s="13" t="n">
        <v>0</v>
      </c>
      <c r="K282" s="13">
        <f>G282-J282</f>
        <v/>
      </c>
      <c r="L282" s="13">
        <f>K282*$L$1</f>
        <v/>
      </c>
      <c r="M282" s="15">
        <f>F282/K282</f>
        <v/>
      </c>
      <c r="N282" s="10">
        <f>IF(M282&lt;3.5,"SI",IF(M282&lt;4.5,IF(K282&gt;=100,"SI",IF(K282&gt;=40,"CUIDADO","NO")),IF(AND(M282&lt;5.5,F282&gt;=500,K282&gt;=80),"CUIDADO","NO")))</f>
        <v/>
      </c>
    </row>
    <row r="283" ht="15.75" customHeight="1" s="98">
      <c r="A283" s="5" t="inlineStr">
        <is>
          <t>Balliu</t>
        </is>
      </c>
      <c r="B283" s="5" t="inlineStr">
        <is>
          <t>balliu-limpiador-para-mobiliario-exterior-d0d3fc26</t>
        </is>
      </c>
      <c r="C283" s="5" t="inlineStr">
        <is>
          <t>BALLIU_PRODUCTO_LIMPIADOR_LIMPIADOR_TUMBON_D0D3FC26</t>
        </is>
      </c>
      <c r="D283" s="6" t="inlineStr">
        <is>
          <t>Limpiador para mobiliario exterior</t>
        </is>
      </c>
      <c r="E283" s="7" t="n">
        <v>12.41</v>
      </c>
      <c r="F283" s="7" t="n">
        <v>25.44</v>
      </c>
      <c r="G283" s="7" t="n">
        <v>7.07</v>
      </c>
      <c r="H283" s="8" t="n">
        <v>56.95</v>
      </c>
      <c r="I283" s="7" t="n">
        <v>25.44</v>
      </c>
      <c r="J283" s="7" t="n">
        <v>0</v>
      </c>
      <c r="K283" s="7">
        <f>G283-J283</f>
        <v/>
      </c>
      <c r="L283" s="7">
        <f>K283*$L$1</f>
        <v/>
      </c>
      <c r="M283" s="9">
        <f>F283/K283</f>
        <v/>
      </c>
      <c r="N283" s="10">
        <f>IF(M283&lt;3.5,"SI",IF(M283&lt;4.5,IF(K283&gt;=100,"SI",IF(K283&gt;=40,"CUIDADO","NO")),IF(AND(M283&lt;5.5,F283&gt;=500,K283&gt;=80),"CUIDADO","NO")))</f>
        <v/>
      </c>
    </row>
    <row r="284" ht="15.75" customHeight="1" s="98">
      <c r="D284" s="18" t="inlineStr">
        <is>
          <t>TOTAL / MEDIA</t>
        </is>
      </c>
      <c r="E284" s="19">
        <f>SUM(E3:E283)</f>
        <v/>
      </c>
      <c r="F284" s="19">
        <f>SUM(F3:F283)</f>
        <v/>
      </c>
      <c r="G284" s="19">
        <f>SUM(G3:G283)</f>
        <v/>
      </c>
      <c r="H284" s="20">
        <f>AVERAGE(H3:H283)</f>
        <v/>
      </c>
      <c r="K284" s="19">
        <f>G284-J284</f>
        <v/>
      </c>
      <c r="L284" s="19">
        <f>K284*$L$1</f>
        <v/>
      </c>
      <c r="M284" s="21">
        <f>F284/K284</f>
        <v/>
      </c>
      <c r="N284" s="10">
        <f>IF(M284&lt;3.2,"SI","NO")</f>
        <v/>
      </c>
    </row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12" customWidth="1" style="98" min="1" max="1"/>
    <col width="45" customWidth="1" style="98" min="2" max="2"/>
    <col width="42" customWidth="1" style="98" min="3" max="3"/>
    <col width="52" customWidth="1" style="98" min="4" max="4"/>
    <col width="18" customWidth="1" style="98" min="5" max="5"/>
    <col width="20" customWidth="1" style="98" min="6" max="6"/>
    <col width="14" customWidth="1" style="98" min="7" max="7"/>
    <col width="12" customWidth="1" style="98" min="8" max="8"/>
    <col width="18" customWidth="1" style="98" min="9" max="9"/>
    <col width="14" customWidth="1" style="98" min="10" max="10"/>
    <col width="8.6640625" customWidth="1" style="98" min="11" max="26"/>
  </cols>
  <sheetData>
    <row r="1" ht="31.5" customHeight="1" s="98">
      <c r="A1" s="22" t="inlineStr">
        <is>
          <t>Proveedor</t>
        </is>
      </c>
      <c r="B1" s="22" t="inlineStr">
        <is>
          <t>Handle Shopify</t>
        </is>
      </c>
      <c r="C1" s="22" t="inlineStr">
        <is>
          <t>SKU</t>
        </is>
      </c>
      <c r="D1" s="22" t="inlineStr">
        <is>
          <t>Producto</t>
        </is>
      </c>
      <c r="E1" s="22" t="inlineStr">
        <is>
          <t>Coste neto
(sin IVA)</t>
        </is>
      </c>
      <c r="F1" s="22" t="inlineStr">
        <is>
          <t>Precio Venta
(con IVA 21%)</t>
        </is>
      </c>
      <c r="G1" s="22" t="inlineStr">
        <is>
          <t>Margen €</t>
        </is>
      </c>
      <c r="H1" s="22" t="inlineStr">
        <is>
          <t>Margen %</t>
        </is>
      </c>
      <c r="I1" s="22" t="inlineStr">
        <is>
          <t>PVP Recomendado</t>
        </is>
      </c>
      <c r="J1" s="22" t="inlineStr">
        <is>
          <t>Coste Envío</t>
        </is>
      </c>
    </row>
    <row r="2" ht="15.75" customHeight="1" s="98">
      <c r="A2" s="23" t="inlineStr">
        <is>
          <t>Hevea</t>
        </is>
      </c>
      <c r="B2" s="23" t="inlineStr">
        <is>
          <t>sillon-exterior-aluminio-estilo-envolvente-9890-cm</t>
        </is>
      </c>
      <c r="C2" s="23" t="inlineStr">
        <is>
          <t>557-010881</t>
        </is>
      </c>
      <c r="D2" s="24" t="inlineStr">
        <is>
          <t>BRANDON-1 SILLON/ARMCHAIR/FAUTEUIL</t>
        </is>
      </c>
      <c r="E2" s="25" t="n">
        <v>539</v>
      </c>
      <c r="F2" s="25" t="n">
        <v>809.92</v>
      </c>
      <c r="G2" s="25" t="n">
        <v>270.92</v>
      </c>
      <c r="H2" s="26" t="n">
        <v>50.26</v>
      </c>
      <c r="I2" s="25" t="n">
        <v>980</v>
      </c>
      <c r="J2" s="25" t="n">
        <v>0</v>
      </c>
    </row>
    <row r="3" ht="15.75" customHeight="1" s="98">
      <c r="A3" s="27" t="inlineStr">
        <is>
          <t>Hevea</t>
        </is>
      </c>
      <c r="B3" s="27" t="inlineStr">
        <is>
          <t>sofa-terraza-aluminio-2-plazas-estilo-contemporaneo-16690-cm</t>
        </is>
      </c>
      <c r="C3" s="27" t="inlineStr">
        <is>
          <t>557-010882</t>
        </is>
      </c>
      <c r="D3" s="28" t="inlineStr">
        <is>
          <t>BRANDON-2 SOFA 2 PLAZAS/SOFA/CANAPÉ</t>
        </is>
      </c>
      <c r="E3" s="29" t="n">
        <v>809</v>
      </c>
      <c r="F3" s="29" t="n">
        <v>1214.88</v>
      </c>
      <c r="G3" s="29" t="n">
        <v>405.88</v>
      </c>
      <c r="H3" s="30" t="n">
        <v>50.17</v>
      </c>
      <c r="I3" s="29" t="n">
        <v>1470</v>
      </c>
      <c r="J3" s="29" t="n">
        <v>0</v>
      </c>
    </row>
    <row r="4" ht="15.75" customHeight="1" s="98">
      <c r="A4" s="23" t="inlineStr">
        <is>
          <t>Hevea</t>
        </is>
      </c>
      <c r="B4" s="23" t="inlineStr">
        <is>
          <t>sofa-terraza-aluminio-3-plazas-estilo-contemporaneo-22090-cm</t>
        </is>
      </c>
      <c r="C4" s="23" t="inlineStr">
        <is>
          <t>557-010879</t>
        </is>
      </c>
      <c r="D4" s="24" t="inlineStr">
        <is>
          <t>BRANDON-3 SOFA 3 PLAZAS/SOFA/CANAPÉ</t>
        </is>
      </c>
      <c r="E4" s="25" t="n">
        <v>1067</v>
      </c>
      <c r="F4" s="25" t="n">
        <v>1603.31</v>
      </c>
      <c r="G4" s="25" t="n">
        <v>536.3099999999999</v>
      </c>
      <c r="H4" s="26" t="n">
        <v>50.26</v>
      </c>
      <c r="I4" s="25" t="n">
        <v>1940</v>
      </c>
      <c r="J4" s="25" t="n">
        <v>0</v>
      </c>
    </row>
    <row r="5" ht="15.75" customHeight="1" s="98">
      <c r="A5" s="27" t="inlineStr">
        <is>
          <t>Hevea</t>
        </is>
      </c>
      <c r="B5" s="27" t="inlineStr">
        <is>
          <t>set-jardin-aluminio-2-plazas-contemporaneo-sofa-2-plazas-2-sillones-mesa</t>
        </is>
      </c>
      <c r="C5" s="27" t="inlineStr">
        <is>
          <t>557-010884</t>
        </is>
      </c>
      <c r="D5" s="28" t="inlineStr">
        <is>
          <t>LUNA-44 SET MESAS CENTRO 80 + 60</t>
        </is>
      </c>
      <c r="E5" s="29" t="n">
        <v>240</v>
      </c>
      <c r="F5" s="29" t="n">
        <v>359.5</v>
      </c>
      <c r="G5" s="29" t="n">
        <v>119.5</v>
      </c>
      <c r="H5" s="31" t="n">
        <v>49.79</v>
      </c>
      <c r="I5" s="29" t="n">
        <v>435</v>
      </c>
      <c r="J5" s="29" t="n">
        <v>500</v>
      </c>
    </row>
    <row r="6" ht="15.75" customHeight="1" s="98">
      <c r="A6" s="23" t="inlineStr">
        <is>
          <t>Hevea</t>
        </is>
      </c>
      <c r="B6" s="23" t="inlineStr">
        <is>
          <t>set-jardin-aluminio-2-plazas-contemporaneo-sofa-2-plazas-2-sillones-mesa</t>
        </is>
      </c>
      <c r="C6" s="23" t="inlineStr">
        <is>
          <t>557-010884</t>
        </is>
      </c>
      <c r="D6" s="24" t="inlineStr">
        <is>
          <t>BRANDON-7 SET SOFA 2 PLAZAS/SOFA/CANAPÉ</t>
        </is>
      </c>
      <c r="E6" s="25" t="n">
        <v>2126</v>
      </c>
      <c r="F6" s="25" t="n">
        <v>3194.21</v>
      </c>
      <c r="G6" s="25" t="n">
        <v>1068.21</v>
      </c>
      <c r="H6" s="26" t="n">
        <v>50.25</v>
      </c>
      <c r="I6" s="25" t="n">
        <v>3865</v>
      </c>
      <c r="J6" s="25" t="n">
        <v>0</v>
      </c>
    </row>
    <row r="7" ht="15.75" customHeight="1" s="98">
      <c r="A7" s="27" t="inlineStr">
        <is>
          <t>Hevea</t>
        </is>
      </c>
      <c r="B7" s="27" t="inlineStr">
        <is>
          <t>set-jardin-aluminio-3-plazas-contemporaneo-sofa-3-plazas-2-sillones-mesa</t>
        </is>
      </c>
      <c r="C7" s="27" t="inlineStr">
        <is>
          <t>557-010885</t>
        </is>
      </c>
      <c r="D7" s="28" t="inlineStr">
        <is>
          <t>BRANDON-8 SET SOFA 3 PLAZAS/SOFA/CANAPÉ</t>
        </is>
      </c>
      <c r="E7" s="29" t="n">
        <v>2385</v>
      </c>
      <c r="F7" s="29" t="n">
        <v>3582.64</v>
      </c>
      <c r="G7" s="29" t="n">
        <v>1197.64</v>
      </c>
      <c r="H7" s="30" t="n">
        <v>50.22</v>
      </c>
      <c r="I7" s="29" t="n">
        <v>4335</v>
      </c>
      <c r="J7" s="29" t="n">
        <v>0</v>
      </c>
    </row>
    <row r="8" ht="15.75" customHeight="1" s="98">
      <c r="A8" s="23" t="inlineStr">
        <is>
          <t>Hevea</t>
        </is>
      </c>
      <c r="B8" s="23" t="inlineStr">
        <is>
          <t>sillon-exterior-estilo-elegante-7275-cm</t>
        </is>
      </c>
      <c r="C8" s="23" t="inlineStr">
        <is>
          <t>557-010935</t>
        </is>
      </c>
      <c r="D8" s="24" t="inlineStr">
        <is>
          <t>DAMASCO-1 SILLON/ARMCHAIR/FAUTEUIL</t>
        </is>
      </c>
      <c r="E8" s="25" t="n">
        <v>361</v>
      </c>
      <c r="F8" s="25" t="n">
        <v>541.3200000000001</v>
      </c>
      <c r="G8" s="25" t="n">
        <v>180.32</v>
      </c>
      <c r="H8" s="32" t="n">
        <v>49.95</v>
      </c>
      <c r="I8" s="25" t="n">
        <v>655</v>
      </c>
      <c r="J8" s="25" t="n">
        <v>500</v>
      </c>
    </row>
    <row r="9" ht="15.75" customHeight="1" s="98">
      <c r="A9" s="27" t="inlineStr">
        <is>
          <t>Hevea</t>
        </is>
      </c>
      <c r="B9" s="27" t="inlineStr">
        <is>
          <t>sofa-terraza-2-plazas-estilo-envolvente-13575-cm</t>
        </is>
      </c>
      <c r="C9" s="27" t="inlineStr">
        <is>
          <t>557-010936</t>
        </is>
      </c>
      <c r="D9" s="28" t="inlineStr">
        <is>
          <t>DAMASCO-2 SOFA 2 PLAZAS/SOFA/CANAPÉ</t>
        </is>
      </c>
      <c r="E9" s="29" t="n">
        <v>531</v>
      </c>
      <c r="F9" s="29" t="n">
        <v>797.52</v>
      </c>
      <c r="G9" s="29" t="n">
        <v>266.52</v>
      </c>
      <c r="H9" s="30" t="n">
        <v>50.19</v>
      </c>
      <c r="I9" s="29" t="n">
        <v>965</v>
      </c>
      <c r="J9" s="29" t="n">
        <v>0</v>
      </c>
    </row>
    <row r="10" ht="15.75" customHeight="1" s="98">
      <c r="A10" s="23" t="inlineStr">
        <is>
          <t>Hevea</t>
        </is>
      </c>
      <c r="B10" s="23" t="inlineStr">
        <is>
          <t>sofa-terraza-3-plazas-estilo-sofisticado-19475-cm</t>
        </is>
      </c>
      <c r="C10" s="23" t="inlineStr">
        <is>
          <t>557-010937</t>
        </is>
      </c>
      <c r="D10" s="24" t="inlineStr">
        <is>
          <t>DAMASCO-3 SOFA 3 PLAZAS/SOFA/CANAPÉ</t>
        </is>
      </c>
      <c r="E10" s="25" t="n">
        <v>674</v>
      </c>
      <c r="F10" s="25" t="n">
        <v>1012.4</v>
      </c>
      <c r="G10" s="25" t="n">
        <v>338.4</v>
      </c>
      <c r="H10" s="26" t="n">
        <v>50.21</v>
      </c>
      <c r="I10" s="25" t="n">
        <v>1225</v>
      </c>
      <c r="J10" s="25" t="n">
        <v>0</v>
      </c>
    </row>
    <row r="11" ht="15.75" customHeight="1" s="98">
      <c r="A11" s="27" t="inlineStr">
        <is>
          <t>Hevea</t>
        </is>
      </c>
      <c r="B11" s="27" t="inlineStr">
        <is>
          <t>mesa-de-centro-exterior-90-cm-altura-40-cm</t>
        </is>
      </c>
      <c r="C11" s="27" t="inlineStr">
        <is>
          <t>557-1071</t>
        </is>
      </c>
      <c r="D11" s="28" t="inlineStr">
        <is>
          <t>UNIVERSAL-80 MESA CENTRO/COFFEE TABLE</t>
        </is>
      </c>
      <c r="E11" s="29" t="n">
        <v>154</v>
      </c>
      <c r="F11" s="29" t="n">
        <v>231.4</v>
      </c>
      <c r="G11" s="29" t="n">
        <v>77.40000000000001</v>
      </c>
      <c r="H11" s="30" t="n">
        <v>50.26</v>
      </c>
      <c r="I11" s="29" t="n">
        <v>280</v>
      </c>
      <c r="J11" s="29" t="n">
        <v>0</v>
      </c>
    </row>
    <row r="12" ht="15.75" customHeight="1" s="98">
      <c r="A12" s="23" t="inlineStr">
        <is>
          <t>Hevea</t>
        </is>
      </c>
      <c r="B12" s="23" t="inlineStr">
        <is>
          <t>mesa-de-centro-exterior-120-cm-altura-40-cm-2</t>
        </is>
      </c>
      <c r="C12" s="23" t="inlineStr">
        <is>
          <t>557-1563</t>
        </is>
      </c>
      <c r="D12" s="24" t="inlineStr">
        <is>
          <t>UNIVERSAL-120 MESA CENTRO 120/COFFEE TABLE</t>
        </is>
      </c>
      <c r="E12" s="25" t="n">
        <v>215</v>
      </c>
      <c r="F12" s="25" t="n">
        <v>322.31</v>
      </c>
      <c r="G12" s="25" t="n">
        <v>107.31</v>
      </c>
      <c r="H12" s="32" t="n">
        <v>49.91</v>
      </c>
      <c r="I12" s="25" t="n">
        <v>390</v>
      </c>
      <c r="J12" s="25" t="n">
        <v>500</v>
      </c>
    </row>
    <row r="13" ht="15.75" customHeight="1" s="98">
      <c r="A13" s="27" t="inlineStr">
        <is>
          <t>Hevea</t>
        </is>
      </c>
      <c r="B13" s="27" t="inlineStr">
        <is>
          <t>set-jardin-2-plazas-elegante-sofa-2-plazas-2-sillones-mesa</t>
        </is>
      </c>
      <c r="C13" s="27" t="inlineStr">
        <is>
          <t>557-010938</t>
        </is>
      </c>
      <c r="D13" s="28" t="inlineStr">
        <is>
          <t>SET DAMASCO 7 / 2 SEATER SOFA SET / SET CANAPÉ 2 PLACES</t>
        </is>
      </c>
      <c r="E13" s="29" t="n">
        <v>1406</v>
      </c>
      <c r="F13" s="29" t="n">
        <v>2111.57</v>
      </c>
      <c r="G13" s="29" t="n">
        <v>705.5700000000001</v>
      </c>
      <c r="H13" s="30" t="n">
        <v>50.18</v>
      </c>
      <c r="I13" s="29" t="n">
        <v>2555</v>
      </c>
      <c r="J13" s="29" t="n">
        <v>0</v>
      </c>
    </row>
    <row r="14" ht="15.75" customHeight="1" s="98">
      <c r="A14" s="23" t="inlineStr">
        <is>
          <t>Hevea</t>
        </is>
      </c>
      <c r="B14" s="23" t="inlineStr">
        <is>
          <t>set-jardin-3-plazas-sofisticado-sofa-3-plazas-2-sillones-mesa</t>
        </is>
      </c>
      <c r="C14" s="23" t="inlineStr">
        <is>
          <t>557-010939</t>
        </is>
      </c>
      <c r="D14" s="24" t="inlineStr">
        <is>
          <t>SET DAMASCO 8 / 3 SEATER SOFA SET / SET CANAPÉ 3 PLACES</t>
        </is>
      </c>
      <c r="E14" s="25" t="n">
        <v>1609</v>
      </c>
      <c r="F14" s="25" t="n">
        <v>2417.36</v>
      </c>
      <c r="G14" s="25" t="n">
        <v>808.36</v>
      </c>
      <c r="H14" s="26" t="n">
        <v>50.24</v>
      </c>
      <c r="I14" s="25" t="n">
        <v>2925</v>
      </c>
      <c r="J14" s="25" t="n">
        <v>0</v>
      </c>
    </row>
    <row r="15" ht="15.75" customHeight="1" s="98">
      <c r="A15" s="27" t="inlineStr">
        <is>
          <t>Hevea</t>
        </is>
      </c>
      <c r="B15" s="27" t="inlineStr">
        <is>
          <t>sillon-exterior-estilo-versatil-7783-cm</t>
        </is>
      </c>
      <c r="C15" s="27" t="inlineStr">
        <is>
          <t>600-010021</t>
        </is>
      </c>
      <c r="D15" s="28" t="inlineStr">
        <is>
          <t>YINA-1 SILLON/ARMCHAIR/FAUTEUIL</t>
        </is>
      </c>
      <c r="E15" s="29" t="n">
        <v>435</v>
      </c>
      <c r="F15" s="29" t="n">
        <v>652.89</v>
      </c>
      <c r="G15" s="29" t="n">
        <v>217.89</v>
      </c>
      <c r="H15" s="30" t="n">
        <v>50.09</v>
      </c>
      <c r="I15" s="29" t="n">
        <v>790</v>
      </c>
      <c r="J15" s="29" t="n">
        <v>500</v>
      </c>
    </row>
    <row r="16" ht="15.75" customHeight="1" s="98">
      <c r="A16" s="23" t="inlineStr">
        <is>
          <t>Hevea</t>
        </is>
      </c>
      <c r="B16" s="23" t="inlineStr">
        <is>
          <t>sofa-terraza-2-plazas-estilo-estilizado-14383-cm</t>
        </is>
      </c>
      <c r="C16" s="23" t="inlineStr">
        <is>
          <t>600-010022</t>
        </is>
      </c>
      <c r="D16" s="24" t="inlineStr">
        <is>
          <t>YINA-2 SOFA 2 PLAZAS/SOFÁ/CANAPÉ</t>
        </is>
      </c>
      <c r="E16" s="25" t="n">
        <v>636</v>
      </c>
      <c r="F16" s="25" t="n">
        <v>954.55</v>
      </c>
      <c r="G16" s="25" t="n">
        <v>318.55</v>
      </c>
      <c r="H16" s="26" t="n">
        <v>50.09</v>
      </c>
      <c r="I16" s="25" t="n">
        <v>1155</v>
      </c>
      <c r="J16" s="25" t="n">
        <v>0</v>
      </c>
    </row>
    <row r="17" ht="15.75" customHeight="1" s="98">
      <c r="A17" s="27" t="inlineStr">
        <is>
          <t>Hevea</t>
        </is>
      </c>
      <c r="B17" s="27" t="inlineStr">
        <is>
          <t>sofa-terraza-3-plazas-estilo-contemporaneo-18583-cm</t>
        </is>
      </c>
      <c r="C17" s="27" t="inlineStr">
        <is>
          <t>600-010023</t>
        </is>
      </c>
      <c r="D17" s="28" t="inlineStr">
        <is>
          <t>YINA-3 SOFA 3 PLAZAS/SOFÁ/CANAPÉ</t>
        </is>
      </c>
      <c r="E17" s="29" t="n">
        <v>806</v>
      </c>
      <c r="F17" s="29" t="n">
        <v>1210.74</v>
      </c>
      <c r="G17" s="29" t="n">
        <v>404.74</v>
      </c>
      <c r="H17" s="30" t="n">
        <v>50.22</v>
      </c>
      <c r="I17" s="29" t="n">
        <v>1465</v>
      </c>
      <c r="J17" s="29" t="n">
        <v>0</v>
      </c>
    </row>
    <row r="18" ht="15.75" customHeight="1" s="98">
      <c r="A18" s="23" t="inlineStr">
        <is>
          <t>Hevea</t>
        </is>
      </c>
      <c r="B18" s="23" t="inlineStr">
        <is>
          <t>mesa-de-centro-exterior-hpl-70-cm-altura-45-cm</t>
        </is>
      </c>
      <c r="C18" s="23" t="inlineStr">
        <is>
          <t>600-010024</t>
        </is>
      </c>
      <c r="D18" s="24" t="inlineStr">
        <is>
          <t>YINA-70 HPL MESA CENTRO/COFFEE TABLE/TABLE CENTRE</t>
        </is>
      </c>
      <c r="E18" s="25" t="n">
        <v>229</v>
      </c>
      <c r="F18" s="25" t="n">
        <v>342.98</v>
      </c>
      <c r="G18" s="25" t="n">
        <v>113.98</v>
      </c>
      <c r="H18" s="32" t="n">
        <v>49.77</v>
      </c>
      <c r="I18" s="25" t="n">
        <v>415</v>
      </c>
      <c r="J18" s="25" t="n">
        <v>500</v>
      </c>
    </row>
    <row r="19" ht="15.75" customHeight="1" s="98">
      <c r="A19" s="27" t="inlineStr">
        <is>
          <t>Hevea</t>
        </is>
      </c>
      <c r="B19" s="27" t="inlineStr">
        <is>
          <t>reposapies-exterior-734640-cm</t>
        </is>
      </c>
      <c r="C19" s="27" t="inlineStr">
        <is>
          <t>600-010025</t>
        </is>
      </c>
      <c r="D19" s="28" t="inlineStr">
        <is>
          <t>YINA-5 REPOSAPIES/FOOTSTOOL/REPOSE-PIEDS</t>
        </is>
      </c>
      <c r="E19" s="29" t="n">
        <v>176</v>
      </c>
      <c r="F19" s="29" t="n">
        <v>264.46</v>
      </c>
      <c r="G19" s="29" t="n">
        <v>88.45999999999999</v>
      </c>
      <c r="H19" s="30" t="n">
        <v>50.26</v>
      </c>
      <c r="I19" s="29" t="n">
        <v>320</v>
      </c>
      <c r="J19" s="29" t="n">
        <v>500</v>
      </c>
    </row>
    <row r="20" ht="15.75" customHeight="1" s="98">
      <c r="A20" s="23" t="inlineStr">
        <is>
          <t>Hevea</t>
        </is>
      </c>
      <c r="B20" s="23" t="inlineStr">
        <is>
          <t>set-jardin-2-plazas-moderno-sofa-2-plazas-2-sillones-mesa</t>
        </is>
      </c>
      <c r="C20" s="23" t="inlineStr">
        <is>
          <t>600-010026</t>
        </is>
      </c>
      <c r="D20" s="24" t="inlineStr">
        <is>
          <t>YINA-7 SET SOFÁ 2 PLAZAS / 2 SEATER SOFA SET / SET CANAPÉ 2 PLACES</t>
        </is>
      </c>
      <c r="E20" s="25" t="n">
        <v>1736</v>
      </c>
      <c r="F20" s="25" t="n">
        <v>2607.44</v>
      </c>
      <c r="G20" s="25" t="n">
        <v>871.4400000000001</v>
      </c>
      <c r="H20" s="26" t="n">
        <v>50.2</v>
      </c>
      <c r="I20" s="25" t="n">
        <v>3155</v>
      </c>
      <c r="J20" s="25" t="n">
        <v>0</v>
      </c>
    </row>
    <row r="21" ht="15.75" customHeight="1" s="98">
      <c r="A21" s="27" t="inlineStr">
        <is>
          <t>Hevea</t>
        </is>
      </c>
      <c r="B21" s="27" t="inlineStr">
        <is>
          <t>set-jardin-3-plazas-contemporaneo-sofa-3-plazas-2-sillones-mesa</t>
        </is>
      </c>
      <c r="C21" s="27" t="inlineStr">
        <is>
          <t>600-010027</t>
        </is>
      </c>
      <c r="D21" s="28" t="inlineStr">
        <is>
          <t>YINA-8 SET SOFÁ 3 PLAZAS / 3 SEATER SOFA SET / SET CANAPÉ 3 PLACES</t>
        </is>
      </c>
      <c r="E21" s="29" t="n">
        <v>1906</v>
      </c>
      <c r="F21" s="29" t="n">
        <v>2863.64</v>
      </c>
      <c r="G21" s="29" t="n">
        <v>957.64</v>
      </c>
      <c r="H21" s="30" t="n">
        <v>50.24</v>
      </c>
      <c r="I21" s="29" t="n">
        <v>3465</v>
      </c>
      <c r="J21" s="29" t="n">
        <v>0</v>
      </c>
    </row>
    <row r="22" ht="15.75" customHeight="1" s="98">
      <c r="A22" s="23" t="inlineStr">
        <is>
          <t>Hevea</t>
        </is>
      </c>
      <c r="B22" s="23" t="inlineStr">
        <is>
          <t>sillon-exterior-estilo-elegante-6590-cm</t>
        </is>
      </c>
      <c r="C22" s="23" t="inlineStr">
        <is>
          <t>557-010813</t>
        </is>
      </c>
      <c r="D22" s="24" t="inlineStr">
        <is>
          <t>CUPRA-1 SILLÓN/ARMCHAIR/FAUTEUIL</t>
        </is>
      </c>
      <c r="E22" s="25" t="n">
        <v>462</v>
      </c>
      <c r="F22" s="25" t="n">
        <v>694.21</v>
      </c>
      <c r="G22" s="25" t="n">
        <v>232.21</v>
      </c>
      <c r="H22" s="26" t="n">
        <v>50.26</v>
      </c>
      <c r="I22" s="25" t="n">
        <v>840</v>
      </c>
      <c r="J22" s="25" t="n">
        <v>500</v>
      </c>
    </row>
    <row r="23" ht="15.75" customHeight="1" s="98">
      <c r="A23" s="27" t="inlineStr">
        <is>
          <t>Hevea</t>
        </is>
      </c>
      <c r="B23" s="27" t="inlineStr">
        <is>
          <t>sofa-terraza-2-plazas-estilo-contemporaneo-13090-cm</t>
        </is>
      </c>
      <c r="C23" s="27" t="inlineStr">
        <is>
          <t>557-010814</t>
        </is>
      </c>
      <c r="D23" s="28" t="inlineStr">
        <is>
          <t>CUPRA-2 SOFA 2 PLAZAS/SOFA/CANAPÉ</t>
        </is>
      </c>
      <c r="E23" s="29" t="n">
        <v>660</v>
      </c>
      <c r="F23" s="29" t="n">
        <v>991.74</v>
      </c>
      <c r="G23" s="29" t="n">
        <v>331.74</v>
      </c>
      <c r="H23" s="30" t="n">
        <v>50.26</v>
      </c>
      <c r="I23" s="29" t="n">
        <v>1200</v>
      </c>
      <c r="J23" s="29" t="n">
        <v>0</v>
      </c>
    </row>
    <row r="24" ht="15.75" customHeight="1" s="98">
      <c r="A24" s="23" t="inlineStr">
        <is>
          <t>Hevea</t>
        </is>
      </c>
      <c r="B24" s="23" t="inlineStr">
        <is>
          <t>sofa-terraza-3-plazas-estilo-contemporaneo-18590-cm</t>
        </is>
      </c>
      <c r="C24" s="23" t="inlineStr">
        <is>
          <t>557-010815</t>
        </is>
      </c>
      <c r="D24" s="24" t="inlineStr">
        <is>
          <t>CUPRA-3 SOFA 3 PLAZAS/SOFA/CANAPÉ</t>
        </is>
      </c>
      <c r="E24" s="25" t="n">
        <v>836</v>
      </c>
      <c r="F24" s="25" t="n">
        <v>1256.2</v>
      </c>
      <c r="G24" s="25" t="n">
        <v>420.2</v>
      </c>
      <c r="H24" s="26" t="n">
        <v>50.26</v>
      </c>
      <c r="I24" s="25" t="n">
        <v>1520</v>
      </c>
      <c r="J24" s="25" t="n">
        <v>0</v>
      </c>
    </row>
    <row r="25" ht="15.75" customHeight="1" s="98">
      <c r="A25" s="27" t="inlineStr">
        <is>
          <t>Hevea</t>
        </is>
      </c>
      <c r="B25" s="27" t="inlineStr">
        <is>
          <t>reposapies-exterior-605040-cm</t>
        </is>
      </c>
      <c r="C25" s="27" t="inlineStr">
        <is>
          <t>557-010785</t>
        </is>
      </c>
      <c r="D25" s="28" t="inlineStr">
        <is>
          <t>STANDARD-5 REPOSAPIES/FOOTSTOOL/REPOSE-PIEDS</t>
        </is>
      </c>
      <c r="E25" s="29" t="n">
        <v>149</v>
      </c>
      <c r="F25" s="29" t="n">
        <v>223.14</v>
      </c>
      <c r="G25" s="29" t="n">
        <v>74.14</v>
      </c>
      <c r="H25" s="31" t="n">
        <v>49.76</v>
      </c>
      <c r="I25" s="29" t="n">
        <v>270</v>
      </c>
      <c r="J25" s="29" t="n">
        <v>0</v>
      </c>
    </row>
    <row r="26" ht="15.75" customHeight="1" s="98">
      <c r="A26" s="23" t="inlineStr">
        <is>
          <t>Hevea</t>
        </is>
      </c>
      <c r="B26" s="23" t="inlineStr">
        <is>
          <t>set-jardin-2-plazas-elegante-sofa-2-plazas-2-sillones-mesa-2</t>
        </is>
      </c>
      <c r="C26" s="23" t="inlineStr">
        <is>
          <t>557-010816</t>
        </is>
      </c>
      <c r="D26" s="24" t="inlineStr">
        <is>
          <t>CUPRA-7 SET SOFÁ 2 PLAZAS / 2 SEATER SOFA SET / SET CANAPÉ 2 PLACES</t>
        </is>
      </c>
      <c r="E26" s="25" t="n">
        <v>1738</v>
      </c>
      <c r="F26" s="25" t="n">
        <v>2611.57</v>
      </c>
      <c r="G26" s="25" t="n">
        <v>873.5700000000001</v>
      </c>
      <c r="H26" s="26" t="n">
        <v>50.26</v>
      </c>
      <c r="I26" s="25" t="n">
        <v>3160</v>
      </c>
      <c r="J26" s="25" t="n">
        <v>0</v>
      </c>
    </row>
    <row r="27" ht="15.75" customHeight="1" s="98">
      <c r="A27" s="27" t="inlineStr">
        <is>
          <t>Hevea</t>
        </is>
      </c>
      <c r="B27" s="27" t="inlineStr">
        <is>
          <t>set-jardin-3-plazas-sofisticado-sofa-3-plazas-2-sillones-mesa-2</t>
        </is>
      </c>
      <c r="C27" s="27" t="inlineStr">
        <is>
          <t>557-010817</t>
        </is>
      </c>
      <c r="D27" s="28" t="inlineStr">
        <is>
          <t>CUPRA-8 SET SOFÁ 3 PLAZAS / 3 SEATER SOFA SET / SET CANAPÉ 3 PLACES</t>
        </is>
      </c>
      <c r="E27" s="29" t="n">
        <v>1975</v>
      </c>
      <c r="F27" s="29" t="n">
        <v>2966.94</v>
      </c>
      <c r="G27" s="29" t="n">
        <v>991.9400000000001</v>
      </c>
      <c r="H27" s="30" t="n">
        <v>50.22</v>
      </c>
      <c r="I27" s="29" t="n">
        <v>3590</v>
      </c>
      <c r="J27" s="29" t="n">
        <v>0</v>
      </c>
    </row>
    <row r="28" ht="15.75" customHeight="1" s="98">
      <c r="A28" s="23" t="inlineStr">
        <is>
          <t>Hevea</t>
        </is>
      </c>
      <c r="B28" s="23" t="inlineStr">
        <is>
          <t>sillon-exterior-estilo-envolvente-7582-cm</t>
        </is>
      </c>
      <c r="C28" s="23" t="inlineStr">
        <is>
          <t>557-1089</t>
        </is>
      </c>
      <c r="D28" s="24" t="inlineStr">
        <is>
          <t>BELLAGIO-1 SILLÓN/ARMCHAIR/FAUTEUIL</t>
        </is>
      </c>
      <c r="E28" s="25" t="n">
        <v>361</v>
      </c>
      <c r="F28" s="25" t="n">
        <v>541.3200000000001</v>
      </c>
      <c r="G28" s="25" t="n">
        <v>180.32</v>
      </c>
      <c r="H28" s="32" t="n">
        <v>49.95</v>
      </c>
      <c r="I28" s="25" t="n">
        <v>655</v>
      </c>
      <c r="J28" s="25" t="n">
        <v>500</v>
      </c>
    </row>
    <row r="29" ht="15.75" customHeight="1" s="98">
      <c r="A29" s="27" t="inlineStr">
        <is>
          <t>Hevea</t>
        </is>
      </c>
      <c r="B29" s="27" t="inlineStr">
        <is>
          <t>sofa-terraza-3-plazas-estilo-contemporaneo-19882-cm</t>
        </is>
      </c>
      <c r="C29" s="27" t="inlineStr">
        <is>
          <t>557-1090</t>
        </is>
      </c>
      <c r="D29" s="28" t="inlineStr">
        <is>
          <t>BELLAGIO-3 SOFA 3 PLAZAS/SOFA/CANAPÉ</t>
        </is>
      </c>
      <c r="E29" s="29" t="n">
        <v>677</v>
      </c>
      <c r="F29" s="29" t="n">
        <v>1016.53</v>
      </c>
      <c r="G29" s="29" t="n">
        <v>339.53</v>
      </c>
      <c r="H29" s="30" t="n">
        <v>50.15</v>
      </c>
      <c r="I29" s="29" t="n">
        <v>1230</v>
      </c>
      <c r="J29" s="29" t="n">
        <v>0</v>
      </c>
    </row>
    <row r="30" ht="15.75" customHeight="1" s="98">
      <c r="A30" s="23" t="inlineStr">
        <is>
          <t>Hevea</t>
        </is>
      </c>
      <c r="B30" s="23" t="inlineStr">
        <is>
          <t>sofa-terraza-2-plazas-estilo-contemporaneo-15082-cm</t>
        </is>
      </c>
      <c r="C30" s="23" t="inlineStr">
        <is>
          <t>557-1091</t>
        </is>
      </c>
      <c r="D30" s="24" t="inlineStr">
        <is>
          <t>BELLAGIO-2 SOFA 2 PLAZAS/SOFA/CANAPÉ</t>
        </is>
      </c>
      <c r="E30" s="25" t="n">
        <v>479</v>
      </c>
      <c r="F30" s="25" t="n">
        <v>719.01</v>
      </c>
      <c r="G30" s="25" t="n">
        <v>240.01</v>
      </c>
      <c r="H30" s="26" t="n">
        <v>50.11</v>
      </c>
      <c r="I30" s="25" t="n">
        <v>870</v>
      </c>
      <c r="J30" s="25" t="n">
        <v>500</v>
      </c>
    </row>
    <row r="31" ht="15.75" customHeight="1" s="98">
      <c r="A31" s="27" t="inlineStr">
        <is>
          <t>Hevea</t>
        </is>
      </c>
      <c r="B31" s="27" t="inlineStr">
        <is>
          <t>mesa-de-centro-exterior-125-cm-altura-38-cm</t>
        </is>
      </c>
      <c r="C31" s="27" t="inlineStr">
        <is>
          <t>557-1092</t>
        </is>
      </c>
      <c r="D31" s="28" t="inlineStr">
        <is>
          <t>BELLAGIO-4 MESA CENTRO 125</t>
        </is>
      </c>
      <c r="E31" s="29" t="n">
        <v>171</v>
      </c>
      <c r="F31" s="29" t="n">
        <v>256.2</v>
      </c>
      <c r="G31" s="29" t="n">
        <v>85.2</v>
      </c>
      <c r="H31" s="31" t="n">
        <v>49.82</v>
      </c>
      <c r="I31" s="29" t="n">
        <v>310</v>
      </c>
      <c r="J31" s="29" t="n">
        <v>500</v>
      </c>
    </row>
    <row r="32" ht="15.75" customHeight="1" s="98">
      <c r="A32" s="23" t="inlineStr">
        <is>
          <t>Hevea</t>
        </is>
      </c>
      <c r="B32" s="23" t="inlineStr">
        <is>
          <t>set-jardin-2-plazas-elegante-sofa-2-plazas-2-sillones-mesa-3</t>
        </is>
      </c>
      <c r="C32" s="23" t="inlineStr">
        <is>
          <t>557-1094</t>
        </is>
      </c>
      <c r="D32" s="24" t="inlineStr">
        <is>
          <t>BELLAGIO-7 SET SOFÁ 2 PLAZAS / 2 SEATER SOFA SET / SET CANAPÉ 2 PLACES</t>
        </is>
      </c>
      <c r="E32" s="25" t="n">
        <v>1370</v>
      </c>
      <c r="F32" s="25" t="n">
        <v>2057.85</v>
      </c>
      <c r="G32" s="25" t="n">
        <v>687.85</v>
      </c>
      <c r="H32" s="26" t="n">
        <v>50.21</v>
      </c>
      <c r="I32" s="25" t="n">
        <v>2490</v>
      </c>
      <c r="J32" s="25" t="n">
        <v>0</v>
      </c>
    </row>
    <row r="33" ht="15.75" customHeight="1" s="98">
      <c r="A33" s="27" t="inlineStr">
        <is>
          <t>Hevea</t>
        </is>
      </c>
      <c r="B33" s="27" t="inlineStr">
        <is>
          <t>set-jardin-3-plazas-sofisticado-sofa-3-plazas-2-sillones-mesa-3</t>
        </is>
      </c>
      <c r="C33" s="27" t="inlineStr">
        <is>
          <t>557-1095</t>
        </is>
      </c>
      <c r="D33" s="28" t="inlineStr">
        <is>
          <t>BELLAGIO-8 SET SOFÁ 3 PLAZAS / 3 SEATER SOFA SET / SET CANAPÉ 3 PLACES</t>
        </is>
      </c>
      <c r="E33" s="29" t="n">
        <v>1568</v>
      </c>
      <c r="F33" s="29" t="n">
        <v>2355.37</v>
      </c>
      <c r="G33" s="29" t="n">
        <v>787.37</v>
      </c>
      <c r="H33" s="30" t="n">
        <v>50.22</v>
      </c>
      <c r="I33" s="29" t="n">
        <v>2850</v>
      </c>
      <c r="J33" s="29" t="n">
        <v>0</v>
      </c>
    </row>
    <row r="34" ht="15.75" customHeight="1" s="98">
      <c r="A34" s="23" t="inlineStr">
        <is>
          <t>Hevea</t>
        </is>
      </c>
      <c r="B34" s="23" t="inlineStr">
        <is>
          <t>sillon-exterior-estilo-estilizado-7069-cm</t>
        </is>
      </c>
      <c r="C34" s="23" t="inlineStr">
        <is>
          <t>600-010090</t>
        </is>
      </c>
      <c r="D34" s="24" t="inlineStr">
        <is>
          <t>CLOE-1 SILLON/ARMCHAIR/FAUTEUIL</t>
        </is>
      </c>
      <c r="E34" s="25" t="n">
        <v>443</v>
      </c>
      <c r="F34" s="25" t="n">
        <v>665.29</v>
      </c>
      <c r="G34" s="25" t="n">
        <v>222.29</v>
      </c>
      <c r="H34" s="26" t="n">
        <v>50.18</v>
      </c>
      <c r="I34" s="25" t="n">
        <v>805</v>
      </c>
      <c r="J34" s="25" t="n">
        <v>500</v>
      </c>
    </row>
    <row r="35" ht="15.75" customHeight="1" s="98">
      <c r="A35" s="27" t="inlineStr">
        <is>
          <t>Hevea</t>
        </is>
      </c>
      <c r="B35" s="27" t="inlineStr">
        <is>
          <t>sofa-terraza-2-plazas-estilo-contemporaneo-16269-cm</t>
        </is>
      </c>
      <c r="C35" s="27" t="inlineStr">
        <is>
          <t>600-010091</t>
        </is>
      </c>
      <c r="D35" s="28" t="inlineStr">
        <is>
          <t>CLOE SOFA 2 PLAZAS/SOFA/CANAPÉ</t>
        </is>
      </c>
      <c r="E35" s="29" t="n">
        <v>630</v>
      </c>
      <c r="F35" s="29" t="n">
        <v>946.28</v>
      </c>
      <c r="G35" s="29" t="n">
        <v>316.28</v>
      </c>
      <c r="H35" s="30" t="n">
        <v>50.2</v>
      </c>
      <c r="I35" s="29" t="n">
        <v>1145</v>
      </c>
      <c r="J35" s="29" t="n">
        <v>0</v>
      </c>
    </row>
    <row r="36" ht="15.75" customHeight="1" s="98">
      <c r="A36" s="23" t="inlineStr">
        <is>
          <t>Hevea</t>
        </is>
      </c>
      <c r="B36" s="23" t="inlineStr">
        <is>
          <t>sofa-terraza-3-plazas-estilo-elegante-22069-cm</t>
        </is>
      </c>
      <c r="C36" s="23" t="inlineStr">
        <is>
          <t>600-010092</t>
        </is>
      </c>
      <c r="D36" s="24" t="inlineStr">
        <is>
          <t>CLOE SOFA 3 PLAZAS/SOFA/CANAPÉ</t>
        </is>
      </c>
      <c r="E36" s="25" t="n">
        <v>872</v>
      </c>
      <c r="F36" s="25" t="n">
        <v>1309.92</v>
      </c>
      <c r="G36" s="25" t="n">
        <v>437.92</v>
      </c>
      <c r="H36" s="26" t="n">
        <v>50.22</v>
      </c>
      <c r="I36" s="25" t="n">
        <v>1585</v>
      </c>
      <c r="J36" s="25" t="n">
        <v>0</v>
      </c>
    </row>
    <row r="37" ht="15.75" customHeight="1" s="98">
      <c r="A37" s="27" t="inlineStr">
        <is>
          <t>Hevea</t>
        </is>
      </c>
      <c r="B37" s="27" t="inlineStr">
        <is>
          <t>reposapies-exterior-504540-cm</t>
        </is>
      </c>
      <c r="C37" s="27" t="inlineStr">
        <is>
          <t>600-010093</t>
        </is>
      </c>
      <c r="D37" s="28" t="inlineStr">
        <is>
          <t>CLOE-5 REPOSAPIES/FOOTSTOOL/REPOSE-PIEDS</t>
        </is>
      </c>
      <c r="E37" s="29" t="n">
        <v>86</v>
      </c>
      <c r="F37" s="29" t="n">
        <v>128.1</v>
      </c>
      <c r="G37" s="29" t="n">
        <v>42.1</v>
      </c>
      <c r="H37" s="31" t="n">
        <v>48.95</v>
      </c>
      <c r="I37" s="29" t="n">
        <v>155</v>
      </c>
      <c r="J37" s="29" t="n">
        <v>0</v>
      </c>
    </row>
    <row r="38" ht="15.75" customHeight="1" s="98">
      <c r="A38" s="23" t="inlineStr">
        <is>
          <t>Hevea</t>
        </is>
      </c>
      <c r="B38" s="23" t="inlineStr">
        <is>
          <t>sillon-exterior-estilo-elegante-6578-cm</t>
        </is>
      </c>
      <c r="C38" s="23" t="inlineStr">
        <is>
          <t>557-011090</t>
        </is>
      </c>
      <c r="D38" s="24" t="inlineStr">
        <is>
          <t>ODIN-1 SILLON/ARMCHAIR/FAUTEUIL</t>
        </is>
      </c>
      <c r="E38" s="25" t="n">
        <v>234</v>
      </c>
      <c r="F38" s="25" t="n">
        <v>351.24</v>
      </c>
      <c r="G38" s="25" t="n">
        <v>117.24</v>
      </c>
      <c r="H38" s="26" t="n">
        <v>50.1</v>
      </c>
      <c r="I38" s="25" t="n">
        <v>425</v>
      </c>
      <c r="J38" s="25" t="n">
        <v>500</v>
      </c>
    </row>
    <row r="39" ht="15.75" customHeight="1" s="98">
      <c r="A39" s="27" t="inlineStr">
        <is>
          <t>Hevea</t>
        </is>
      </c>
      <c r="B39" s="27" t="inlineStr">
        <is>
          <t>sofa-terraza-2-plazas-estilo-contemporaneo-12078-cm</t>
        </is>
      </c>
      <c r="C39" s="27" t="inlineStr">
        <is>
          <t>557-011091</t>
        </is>
      </c>
      <c r="D39" s="28" t="inlineStr">
        <is>
          <t>ODIN-2 SOFA 2 PLAZAS/SOFA/CANAPÉ</t>
        </is>
      </c>
      <c r="E39" s="29" t="n">
        <v>396</v>
      </c>
      <c r="F39" s="29" t="n">
        <v>595.04</v>
      </c>
      <c r="G39" s="29" t="n">
        <v>199.04</v>
      </c>
      <c r="H39" s="30" t="n">
        <v>50.26</v>
      </c>
      <c r="I39" s="29" t="n">
        <v>720</v>
      </c>
      <c r="J39" s="29" t="n">
        <v>500</v>
      </c>
    </row>
    <row r="40" ht="15.75" customHeight="1" s="98">
      <c r="A40" s="23" t="inlineStr">
        <is>
          <t>Hevea</t>
        </is>
      </c>
      <c r="B40" s="23" t="inlineStr">
        <is>
          <t>sofa-terraza-3-plazas-estilo-sofisticado-17578-cm</t>
        </is>
      </c>
      <c r="C40" s="23" t="inlineStr">
        <is>
          <t>557-011092</t>
        </is>
      </c>
      <c r="D40" s="24" t="inlineStr">
        <is>
          <t>ODIN-3 SOFA 3 PLAZAS/SOFA/CANAPÉ</t>
        </is>
      </c>
      <c r="E40" s="25" t="n">
        <v>520</v>
      </c>
      <c r="F40" s="25" t="n">
        <v>780.99</v>
      </c>
      <c r="G40" s="25" t="n">
        <v>260.99</v>
      </c>
      <c r="H40" s="26" t="n">
        <v>50.19</v>
      </c>
      <c r="I40" s="25" t="n">
        <v>945</v>
      </c>
      <c r="J40" s="25" t="n">
        <v>0</v>
      </c>
    </row>
    <row r="41" ht="15.75" customHeight="1" s="98">
      <c r="A41" s="27" t="inlineStr">
        <is>
          <t>Hevea</t>
        </is>
      </c>
      <c r="B41" s="27" t="inlineStr">
        <is>
          <t>mesa-de-centro-exterior-90-cm-altura-41-cm</t>
        </is>
      </c>
      <c r="C41" s="27" t="inlineStr">
        <is>
          <t>557-011075</t>
        </is>
      </c>
      <c r="D41" s="28" t="inlineStr">
        <is>
          <t>SAIPROS-90 MESA CENTRO 90/COFFEE TABLE/TABLE CENTRE</t>
        </is>
      </c>
      <c r="E41" s="29" t="n">
        <v>154</v>
      </c>
      <c r="F41" s="29" t="n">
        <v>231.4</v>
      </c>
      <c r="G41" s="29" t="n">
        <v>77.40000000000001</v>
      </c>
      <c r="H41" s="30" t="n">
        <v>50.26</v>
      </c>
      <c r="I41" s="29" t="n">
        <v>280</v>
      </c>
      <c r="J41" s="29" t="n">
        <v>0</v>
      </c>
    </row>
    <row r="42" ht="15.75" customHeight="1" s="98">
      <c r="A42" s="23" t="inlineStr">
        <is>
          <t>Hevea</t>
        </is>
      </c>
      <c r="B42" s="23" t="inlineStr">
        <is>
          <t>mesa-de-centro-exterior-120-cm-altura-41-cm</t>
        </is>
      </c>
      <c r="C42" s="23" t="inlineStr">
        <is>
          <t>557-011076</t>
        </is>
      </c>
      <c r="D42" s="24" t="inlineStr">
        <is>
          <t>SAIPROS-120 MESA CENTRO 120/COFFEE TABLE/TABLE CENTRE</t>
        </is>
      </c>
      <c r="E42" s="25" t="n">
        <v>215</v>
      </c>
      <c r="F42" s="25" t="n">
        <v>322.31</v>
      </c>
      <c r="G42" s="25" t="n">
        <v>107.31</v>
      </c>
      <c r="H42" s="32" t="n">
        <v>49.91</v>
      </c>
      <c r="I42" s="25" t="n">
        <v>390</v>
      </c>
      <c r="J42" s="25" t="n">
        <v>500</v>
      </c>
    </row>
    <row r="43" ht="15.75" customHeight="1" s="98">
      <c r="A43" s="27" t="inlineStr">
        <is>
          <t>Hevea</t>
        </is>
      </c>
      <c r="B43" s="27" t="inlineStr">
        <is>
          <t>set-jardin-2-plazas-moderno-sofa-2-plazas-2-sillones-mesa-2</t>
        </is>
      </c>
      <c r="C43" s="27" t="inlineStr">
        <is>
          <t>557-011094</t>
        </is>
      </c>
      <c r="D43" s="28" t="inlineStr">
        <is>
          <t>ODIN-7 SET SOFÁ 2 PLAZAS / 2 SEATER SOFA SET / SET CANAPÉ 2 PLACES</t>
        </is>
      </c>
      <c r="E43" s="29" t="n">
        <v>1018</v>
      </c>
      <c r="F43" s="29" t="n">
        <v>1528.93</v>
      </c>
      <c r="G43" s="29" t="n">
        <v>510.93</v>
      </c>
      <c r="H43" s="30" t="n">
        <v>50.19</v>
      </c>
      <c r="I43" s="29" t="n">
        <v>1850</v>
      </c>
      <c r="J43" s="29" t="n">
        <v>0</v>
      </c>
    </row>
    <row r="44" ht="15.75" customHeight="1" s="98">
      <c r="A44" s="23" t="inlineStr">
        <is>
          <t>Hevea</t>
        </is>
      </c>
      <c r="B44" s="23" t="inlineStr">
        <is>
          <t>set-jardin-3-plazas-elegante-sofa-3-plazas-2-sillones-mesa</t>
        </is>
      </c>
      <c r="C44" s="23" t="inlineStr">
        <is>
          <t>557-011095</t>
        </is>
      </c>
      <c r="D44" s="24" t="inlineStr">
        <is>
          <t>ODIN-8 SET SOFÁ 3 PLAZAS / 3 SEATER SOFA SET / SET CANAPÉ 3 PLACES</t>
        </is>
      </c>
      <c r="E44" s="25" t="n">
        <v>1202</v>
      </c>
      <c r="F44" s="25" t="n">
        <v>1805.79</v>
      </c>
      <c r="G44" s="25" t="n">
        <v>603.79</v>
      </c>
      <c r="H44" s="26" t="n">
        <v>50.23</v>
      </c>
      <c r="I44" s="25" t="n">
        <v>2185</v>
      </c>
      <c r="J44" s="25" t="n">
        <v>0</v>
      </c>
    </row>
    <row r="45" ht="15.75" customHeight="1" s="98">
      <c r="A45" s="27" t="inlineStr">
        <is>
          <t>Hevea</t>
        </is>
      </c>
      <c r="B45" s="27" t="inlineStr">
        <is>
          <t>sillon-exterior-estilo-versatil-76100-cm</t>
        </is>
      </c>
      <c r="C45" s="27" t="inlineStr">
        <is>
          <t>557-010726</t>
        </is>
      </c>
      <c r="D45" s="28" t="inlineStr">
        <is>
          <t>ALBANIA-1 SILLON/ARMCHAIR/FAUTEUIL</t>
        </is>
      </c>
      <c r="E45" s="29" t="n">
        <v>273</v>
      </c>
      <c r="F45" s="29" t="n">
        <v>409.09</v>
      </c>
      <c r="G45" s="29" t="n">
        <v>136.09</v>
      </c>
      <c r="H45" s="31" t="n">
        <v>49.85</v>
      </c>
      <c r="I45" s="29" t="n">
        <v>495</v>
      </c>
      <c r="J45" s="29" t="n">
        <v>500</v>
      </c>
    </row>
    <row r="46" ht="15.75" customHeight="1" s="98">
      <c r="A46" s="23" t="inlineStr">
        <is>
          <t>Hevea</t>
        </is>
      </c>
      <c r="B46" s="23" t="inlineStr">
        <is>
          <t>sofa-terraza-2-plazas-estilo-contemporaneo-145100-cm</t>
        </is>
      </c>
      <c r="C46" s="23" t="inlineStr">
        <is>
          <t>557-010727</t>
        </is>
      </c>
      <c r="D46" s="24" t="inlineStr">
        <is>
          <t>ALBANIA-2 SOFA 2 PLAZAS/SOFA/CANAPÉ</t>
        </is>
      </c>
      <c r="E46" s="25" t="n">
        <v>432</v>
      </c>
      <c r="F46" s="25" t="n">
        <v>648.76</v>
      </c>
      <c r="G46" s="25" t="n">
        <v>216.76</v>
      </c>
      <c r="H46" s="26" t="n">
        <v>50.18</v>
      </c>
      <c r="I46" s="25" t="n">
        <v>785</v>
      </c>
      <c r="J46" s="25" t="n">
        <v>500</v>
      </c>
    </row>
    <row r="47" ht="15.75" customHeight="1" s="98">
      <c r="A47" s="27" t="inlineStr">
        <is>
          <t>Hevea</t>
        </is>
      </c>
      <c r="B47" s="27" t="inlineStr">
        <is>
          <t>sofa-terraza-3-plazas-estilo-sofisticado-212100-cm</t>
        </is>
      </c>
      <c r="C47" s="27" t="inlineStr">
        <is>
          <t>557-010728</t>
        </is>
      </c>
      <c r="D47" s="28" t="inlineStr">
        <is>
          <t>ALBANIA-3 SOFA 3 PLAZAS/SOFA/CANAPÉ</t>
        </is>
      </c>
      <c r="E47" s="29" t="n">
        <v>548</v>
      </c>
      <c r="F47" s="29" t="n">
        <v>822.3099999999999</v>
      </c>
      <c r="G47" s="29" t="n">
        <v>274.31</v>
      </c>
      <c r="H47" s="30" t="n">
        <v>50.06</v>
      </c>
      <c r="I47" s="29" t="n">
        <v>995</v>
      </c>
      <c r="J47" s="29" t="n">
        <v>0</v>
      </c>
    </row>
    <row r="48" ht="15.75" customHeight="1" s="98">
      <c r="A48" s="23" t="inlineStr">
        <is>
          <t>Hevea</t>
        </is>
      </c>
      <c r="B48" s="23" t="inlineStr">
        <is>
          <t>set-jardin-2-plazas-elegante-sofa-2-plazas-2-sillones-mesa-4</t>
        </is>
      </c>
      <c r="C48" s="23" t="inlineStr">
        <is>
          <t>557-010729</t>
        </is>
      </c>
      <c r="D48" s="24" t="inlineStr">
        <is>
          <t>ALBANIA-7 SET SOFÁ 2 PLAZAS / 2 SEATER SOFA SET / SET CANAPÉ 2 PLACES</t>
        </is>
      </c>
      <c r="E48" s="25" t="n">
        <v>1279</v>
      </c>
      <c r="F48" s="25" t="n">
        <v>1921.49</v>
      </c>
      <c r="G48" s="25" t="n">
        <v>642.49</v>
      </c>
      <c r="H48" s="26" t="n">
        <v>50.23</v>
      </c>
      <c r="I48" s="25" t="n">
        <v>2325</v>
      </c>
      <c r="J48" s="25" t="n">
        <v>0</v>
      </c>
    </row>
    <row r="49" ht="15.75" customHeight="1" s="98">
      <c r="A49" s="27" t="inlineStr">
        <is>
          <t>Hevea</t>
        </is>
      </c>
      <c r="B49" s="27" t="inlineStr">
        <is>
          <t>set-jardin-3-plazas-sofisticado-sofa-3-plazas-2-sillones-mesa-4</t>
        </is>
      </c>
      <c r="C49" s="27" t="inlineStr">
        <is>
          <t>557-010730</t>
        </is>
      </c>
      <c r="D49" s="28" t="inlineStr">
        <is>
          <t>ALBANIA-8 SET SOFÁ 3 PLAZAS / 3 SEATER SOFA SET / SET CANAPÉ 3 PLACES</t>
        </is>
      </c>
      <c r="E49" s="29" t="n">
        <v>1428</v>
      </c>
      <c r="F49" s="29" t="n">
        <v>2144.63</v>
      </c>
      <c r="G49" s="29" t="n">
        <v>716.63</v>
      </c>
      <c r="H49" s="30" t="n">
        <v>50.18</v>
      </c>
      <c r="I49" s="29" t="n">
        <v>2595</v>
      </c>
      <c r="J49" s="29" t="n">
        <v>0</v>
      </c>
    </row>
    <row r="50" ht="15.75" customHeight="1" s="98">
      <c r="A50" s="23" t="inlineStr">
        <is>
          <t>Hevea</t>
        </is>
      </c>
      <c r="B50" s="23" t="inlineStr">
        <is>
          <t>reposapies-exterior-855043-cm</t>
        </is>
      </c>
      <c r="C50" s="23" t="inlineStr">
        <is>
          <t>557-0185</t>
        </is>
      </c>
      <c r="D50" s="24" t="inlineStr">
        <is>
          <t>STANDARD 55-XL STANDARD XL REPOSAPIES</t>
        </is>
      </c>
      <c r="E50" s="25" t="n">
        <v>163</v>
      </c>
      <c r="F50" s="25" t="n">
        <v>243.8</v>
      </c>
      <c r="G50" s="25" t="n">
        <v>80.8</v>
      </c>
      <c r="H50" s="32" t="n">
        <v>49.57</v>
      </c>
      <c r="I50" s="25" t="n">
        <v>295</v>
      </c>
      <c r="J50" s="25" t="n">
        <v>0</v>
      </c>
    </row>
    <row r="51" ht="15.75" customHeight="1" s="98">
      <c r="A51" s="27" t="inlineStr">
        <is>
          <t>Hevea</t>
        </is>
      </c>
      <c r="B51" s="27" t="inlineStr">
        <is>
          <t>sillon-exterior-estilo-elegante-80104-cm</t>
        </is>
      </c>
      <c r="C51" s="27" t="inlineStr">
        <is>
          <t>557-010478</t>
        </is>
      </c>
      <c r="D51" s="28" t="inlineStr">
        <is>
          <t>BOLONIA XL-1 SILLÓN/ARMCHAIR/CANAPÉ</t>
        </is>
      </c>
      <c r="E51" s="29" t="n">
        <v>462</v>
      </c>
      <c r="F51" s="29" t="n">
        <v>694.21</v>
      </c>
      <c r="G51" s="29" t="n">
        <v>232.21</v>
      </c>
      <c r="H51" s="30" t="n">
        <v>50.26</v>
      </c>
      <c r="I51" s="29" t="n">
        <v>840</v>
      </c>
      <c r="J51" s="29" t="n">
        <v>500</v>
      </c>
    </row>
    <row r="52" ht="15.75" customHeight="1" s="98">
      <c r="A52" s="23" t="inlineStr">
        <is>
          <t>Hevea</t>
        </is>
      </c>
      <c r="B52" s="23" t="inlineStr">
        <is>
          <t>sofa-terraza-2-plazas-estilo-contemporaneo-164104-cm</t>
        </is>
      </c>
      <c r="C52" s="23" t="inlineStr">
        <is>
          <t>557-010479</t>
        </is>
      </c>
      <c r="D52" s="24" t="inlineStr">
        <is>
          <t>BOLONIA XL-2 SOFA 2 PLAZAS/SOFA/CANAPÉ</t>
        </is>
      </c>
      <c r="E52" s="25" t="n">
        <v>718</v>
      </c>
      <c r="F52" s="25" t="n">
        <v>1078.51</v>
      </c>
      <c r="G52" s="25" t="n">
        <v>360.51</v>
      </c>
      <c r="H52" s="26" t="n">
        <v>50.21</v>
      </c>
      <c r="I52" s="25" t="n">
        <v>1305</v>
      </c>
      <c r="J52" s="25" t="n">
        <v>0</v>
      </c>
    </row>
    <row r="53" ht="15.75" customHeight="1" s="98">
      <c r="A53" s="27" t="inlineStr">
        <is>
          <t>Hevea</t>
        </is>
      </c>
      <c r="B53" s="27" t="inlineStr">
        <is>
          <t>sofa-terraza-3-plazas-estilo-contemporaneo-215104-cm</t>
        </is>
      </c>
      <c r="C53" s="27" t="inlineStr">
        <is>
          <t>557-010480</t>
        </is>
      </c>
      <c r="D53" s="28" t="inlineStr">
        <is>
          <t>BOLONIA XL-3 SOFA 3 PLAZAS/SOFA/CANAPÉ</t>
        </is>
      </c>
      <c r="E53" s="29" t="n">
        <v>957</v>
      </c>
      <c r="F53" s="29" t="n">
        <v>1438.02</v>
      </c>
      <c r="G53" s="29" t="n">
        <v>481.02</v>
      </c>
      <c r="H53" s="30" t="n">
        <v>50.26</v>
      </c>
      <c r="I53" s="29" t="n">
        <v>1740</v>
      </c>
      <c r="J53" s="29" t="n">
        <v>0</v>
      </c>
    </row>
    <row r="54" ht="15.75" customHeight="1" s="98">
      <c r="A54" s="23" t="inlineStr">
        <is>
          <t>Hevea</t>
        </is>
      </c>
      <c r="B54" s="23" t="inlineStr">
        <is>
          <t>mesa-de-centro-exterior-125-cm-altura-42-cm</t>
        </is>
      </c>
      <c r="C54" s="23" t="inlineStr">
        <is>
          <t>557-0008</t>
        </is>
      </c>
      <c r="D54" s="24" t="inlineStr">
        <is>
          <t>BOLONIA-4 MESA CENTRO-125X65X42</t>
        </is>
      </c>
      <c r="E54" s="25" t="n">
        <v>259</v>
      </c>
      <c r="F54" s="25" t="n">
        <v>388.43</v>
      </c>
      <c r="G54" s="25" t="n">
        <v>129.43</v>
      </c>
      <c r="H54" s="32" t="n">
        <v>49.97</v>
      </c>
      <c r="I54" s="25" t="n">
        <v>470</v>
      </c>
      <c r="J54" s="25" t="n">
        <v>500</v>
      </c>
    </row>
    <row r="55" ht="15.75" customHeight="1" s="98">
      <c r="A55" s="27" t="inlineStr">
        <is>
          <t>Hevea</t>
        </is>
      </c>
      <c r="B55" s="27" t="inlineStr">
        <is>
          <t>reposapies-exterior-855043-cm-2</t>
        </is>
      </c>
      <c r="C55" s="27" t="inlineStr">
        <is>
          <t>557-010482</t>
        </is>
      </c>
      <c r="D55" s="28" t="inlineStr">
        <is>
          <t>STANDARD-XL REPOSAPIES/FOOTSTOOL/REPOSE-PIEDS</t>
        </is>
      </c>
      <c r="E55" s="29" t="n">
        <v>187</v>
      </c>
      <c r="F55" s="29" t="n">
        <v>280.99</v>
      </c>
      <c r="G55" s="29" t="n">
        <v>93.98999999999999</v>
      </c>
      <c r="H55" s="30" t="n">
        <v>50.26</v>
      </c>
      <c r="I55" s="29" t="n">
        <v>340</v>
      </c>
      <c r="J55" s="29" t="n">
        <v>500</v>
      </c>
    </row>
    <row r="56" ht="15.75" customHeight="1" s="98">
      <c r="A56" s="23" t="inlineStr">
        <is>
          <t>Hevea</t>
        </is>
      </c>
      <c r="B56" s="23" t="inlineStr">
        <is>
          <t>set-jardin-2-plazas-elegante-sofa-2-plazas-2-sillones-mesa-5</t>
        </is>
      </c>
      <c r="C56" s="23" t="inlineStr">
        <is>
          <t>557-0793</t>
        </is>
      </c>
      <c r="D56" s="24" t="inlineStr">
        <is>
          <t>BOLONIA XL-7 SET SOFA 2 PLAZAS/SOFA/CANAPÉ</t>
        </is>
      </c>
      <c r="E56" s="25" t="n">
        <v>1898</v>
      </c>
      <c r="F56" s="25" t="n">
        <v>2851.24</v>
      </c>
      <c r="G56" s="25" t="n">
        <v>953.24</v>
      </c>
      <c r="H56" s="26" t="n">
        <v>50.22</v>
      </c>
      <c r="I56" s="25" t="n">
        <v>3450</v>
      </c>
      <c r="J56" s="25" t="n">
        <v>0</v>
      </c>
    </row>
    <row r="57" ht="15.75" customHeight="1" s="98">
      <c r="A57" s="27" t="inlineStr">
        <is>
          <t>Hevea</t>
        </is>
      </c>
      <c r="B57" s="27" t="inlineStr">
        <is>
          <t>set-jardin-3-plazas-contemporaneo-sofa-3-plazas-2-sillones-mesa-2</t>
        </is>
      </c>
      <c r="C57" s="27" t="inlineStr">
        <is>
          <t>557-010483</t>
        </is>
      </c>
      <c r="D57" s="28" t="inlineStr">
        <is>
          <t>BOLONIA XL-8 SET SOFA 3 PLAZAS/SOFA/CANAPÉ</t>
        </is>
      </c>
      <c r="E57" s="29" t="n">
        <v>2140</v>
      </c>
      <c r="F57" s="29" t="n">
        <v>3214.88</v>
      </c>
      <c r="G57" s="29" t="n">
        <v>1074.88</v>
      </c>
      <c r="H57" s="30" t="n">
        <v>50.23</v>
      </c>
      <c r="I57" s="29" t="n">
        <v>3890</v>
      </c>
      <c r="J57" s="29" t="n">
        <v>0</v>
      </c>
    </row>
    <row r="58" ht="15.75" customHeight="1" s="98">
      <c r="A58" s="23" t="inlineStr">
        <is>
          <t>Hevea</t>
        </is>
      </c>
      <c r="B58" s="23" t="inlineStr">
        <is>
          <t>sillon-exterior-bicolor-estilo-bicolor-7376-cm</t>
        </is>
      </c>
      <c r="C58" s="23" t="inlineStr">
        <is>
          <t>558-0051</t>
        </is>
      </c>
      <c r="D58" s="24" t="inlineStr">
        <is>
          <t>DIVA-1 BICOLOR SILLON/ARMCHAIR/FAUTEUIL</t>
        </is>
      </c>
      <c r="E58" s="25" t="n">
        <v>429</v>
      </c>
      <c r="F58" s="25" t="n">
        <v>644.63</v>
      </c>
      <c r="G58" s="25" t="n">
        <v>215.63</v>
      </c>
      <c r="H58" s="26" t="n">
        <v>50.26</v>
      </c>
      <c r="I58" s="25" t="n">
        <v>780</v>
      </c>
      <c r="J58" s="25" t="n">
        <v>500</v>
      </c>
    </row>
    <row r="59" ht="15.75" customHeight="1" s="98">
      <c r="A59" s="27" t="inlineStr">
        <is>
          <t>Hevea</t>
        </is>
      </c>
      <c r="B59" s="27" t="inlineStr">
        <is>
          <t>sofa-terraza-bicolor-2-plazas-estilo-bicolor-14076-cm</t>
        </is>
      </c>
      <c r="C59" s="27" t="inlineStr">
        <is>
          <t>558-0070</t>
        </is>
      </c>
      <c r="D59" s="28" t="inlineStr">
        <is>
          <t>DIVA-2 BICOLOR SOFA 2 PLAZAS/SOFA/CANAPÉ</t>
        </is>
      </c>
      <c r="E59" s="29" t="n">
        <v>619</v>
      </c>
      <c r="F59" s="29" t="n">
        <v>929.75</v>
      </c>
      <c r="G59" s="29" t="n">
        <v>310.75</v>
      </c>
      <c r="H59" s="30" t="n">
        <v>50.2</v>
      </c>
      <c r="I59" s="29" t="n">
        <v>1125</v>
      </c>
      <c r="J59" s="29" t="n">
        <v>0</v>
      </c>
    </row>
    <row r="60" ht="15.75" customHeight="1" s="98">
      <c r="A60" s="23" t="inlineStr">
        <is>
          <t>Hevea</t>
        </is>
      </c>
      <c r="B60" s="23" t="inlineStr">
        <is>
          <t>sofa-terraza-bicolor-3-plazas-estilo-bicolor-20076-cm</t>
        </is>
      </c>
      <c r="C60" s="23" t="inlineStr">
        <is>
          <t>558-0052</t>
        </is>
      </c>
      <c r="D60" s="24" t="inlineStr">
        <is>
          <t>DIVA-3 BICOLOR SOFA 3 PLAZAS/SOFA/CANAPÉ</t>
        </is>
      </c>
      <c r="E60" s="25" t="n">
        <v>765</v>
      </c>
      <c r="F60" s="25" t="n">
        <v>1148.76</v>
      </c>
      <c r="G60" s="25" t="n">
        <v>383.76</v>
      </c>
      <c r="H60" s="26" t="n">
        <v>50.16</v>
      </c>
      <c r="I60" s="25" t="n">
        <v>1390</v>
      </c>
      <c r="J60" s="25" t="n">
        <v>0</v>
      </c>
    </row>
    <row r="61" ht="15.75" customHeight="1" s="98">
      <c r="A61" s="27" t="inlineStr">
        <is>
          <t>Hevea</t>
        </is>
      </c>
      <c r="B61" s="27" t="inlineStr">
        <is>
          <t>mesa-de-centro-exterior-hpl-120-cm-altura-40-cm</t>
        </is>
      </c>
      <c r="C61" s="27" t="inlineStr">
        <is>
          <t>558-0033</t>
        </is>
      </c>
      <c r="D61" s="28" t="inlineStr">
        <is>
          <t>BICOLOR MESA CENTRO 120/COFFEE TABLE/TABLE CENTRE HPL</t>
        </is>
      </c>
      <c r="E61" s="29" t="n">
        <v>325</v>
      </c>
      <c r="F61" s="29" t="n">
        <v>487.6</v>
      </c>
      <c r="G61" s="29" t="n">
        <v>162.6</v>
      </c>
      <c r="H61" s="30" t="n">
        <v>50.03</v>
      </c>
      <c r="I61" s="29" t="n">
        <v>590</v>
      </c>
      <c r="J61" s="29" t="n">
        <v>500</v>
      </c>
    </row>
    <row r="62" ht="15.75" customHeight="1" s="98">
      <c r="A62" s="23" t="inlineStr">
        <is>
          <t>Hevea</t>
        </is>
      </c>
      <c r="B62" s="23" t="inlineStr">
        <is>
          <t>mesa-de-centro-exterior-hpl-135-cm-altura-40-cm</t>
        </is>
      </c>
      <c r="C62" s="23" t="inlineStr">
        <is>
          <t>558-0039</t>
        </is>
      </c>
      <c r="D62" s="24" t="inlineStr">
        <is>
          <t>BICOLOR MESA CENTRO 135/COFFEE TABLE/TABLE CENTRE HPL</t>
        </is>
      </c>
      <c r="E62" s="25" t="n">
        <v>380</v>
      </c>
      <c r="F62" s="25" t="n">
        <v>570.25</v>
      </c>
      <c r="G62" s="25" t="n">
        <v>190.25</v>
      </c>
      <c r="H62" s="26" t="n">
        <v>50.07</v>
      </c>
      <c r="I62" s="25" t="n">
        <v>690</v>
      </c>
      <c r="J62" s="25" t="n">
        <v>500</v>
      </c>
    </row>
    <row r="63" ht="15.75" customHeight="1" s="98">
      <c r="A63" s="27" t="inlineStr">
        <is>
          <t>Hevea</t>
        </is>
      </c>
      <c r="B63" s="27" t="inlineStr">
        <is>
          <t>reposapies-exterior-bicolor-704544-cm</t>
        </is>
      </c>
      <c r="C63" s="27" t="inlineStr">
        <is>
          <t>558-0049</t>
        </is>
      </c>
      <c r="D63" s="28" t="inlineStr">
        <is>
          <t>BICOLOR STANDARD-55 REPOSAPIES/FOOTSTOOL/REPOSE-PIEDS</t>
        </is>
      </c>
      <c r="E63" s="29" t="n">
        <v>231</v>
      </c>
      <c r="F63" s="29" t="n">
        <v>347.11</v>
      </c>
      <c r="G63" s="29" t="n">
        <v>116.11</v>
      </c>
      <c r="H63" s="30" t="n">
        <v>50.26</v>
      </c>
      <c r="I63" s="29" t="n">
        <v>420</v>
      </c>
      <c r="J63" s="29" t="n">
        <v>500</v>
      </c>
    </row>
    <row r="64" ht="15.75" customHeight="1" s="98">
      <c r="A64" s="23" t="inlineStr">
        <is>
          <t>Hevea</t>
        </is>
      </c>
      <c r="B64" s="23" t="inlineStr">
        <is>
          <t>set-jardin-bicolor-2-plazas-bicolor-sofa-2-plazas-2-sillones-mesa</t>
        </is>
      </c>
      <c r="C64" s="23" t="inlineStr">
        <is>
          <t>558-0066</t>
        </is>
      </c>
      <c r="D64" s="24" t="inlineStr">
        <is>
          <t>DIVA-7 BICOLOR SET SOFA 2 PLAZAS/SOFA/CANAPÉ</t>
        </is>
      </c>
      <c r="E64" s="25" t="n">
        <v>1802</v>
      </c>
      <c r="F64" s="25" t="n">
        <v>2706.61</v>
      </c>
      <c r="G64" s="25" t="n">
        <v>904.61</v>
      </c>
      <c r="H64" s="26" t="n">
        <v>50.2</v>
      </c>
      <c r="I64" s="25" t="n">
        <v>3275</v>
      </c>
      <c r="J64" s="25" t="n">
        <v>0</v>
      </c>
    </row>
    <row r="65" ht="15.75" customHeight="1" s="98">
      <c r="A65" s="27" t="inlineStr">
        <is>
          <t>Hevea</t>
        </is>
      </c>
      <c r="B65" s="27" t="inlineStr">
        <is>
          <t>set-jardin-bicolor-3-plazas-bicolor-sofa-3-plazas-2-sillones-mesa</t>
        </is>
      </c>
      <c r="C65" s="27" t="inlineStr">
        <is>
          <t>558-0050</t>
        </is>
      </c>
      <c r="D65" s="28" t="inlineStr">
        <is>
          <t>DIVA-8 BICOLOR SET SOFA 3 PLAZAS/SOFA/CANAPÉ</t>
        </is>
      </c>
      <c r="E65" s="29" t="n">
        <v>2002</v>
      </c>
      <c r="F65" s="29" t="n">
        <v>3008.26</v>
      </c>
      <c r="G65" s="29" t="n">
        <v>1006.26</v>
      </c>
      <c r="H65" s="30" t="n">
        <v>50.26</v>
      </c>
      <c r="I65" s="29" t="n">
        <v>3640</v>
      </c>
      <c r="J65" s="29" t="n">
        <v>0</v>
      </c>
    </row>
    <row r="66" ht="15.75" customHeight="1" s="98">
      <c r="A66" s="23" t="inlineStr">
        <is>
          <t>Hevea</t>
        </is>
      </c>
      <c r="B66" s="23" t="inlineStr">
        <is>
          <t>sillon-exterior-estilo-versatil-7685-cm</t>
        </is>
      </c>
      <c r="C66" s="23" t="inlineStr">
        <is>
          <t>557-010716</t>
        </is>
      </c>
      <c r="D66" s="24" t="inlineStr">
        <is>
          <t>LEISA-1 SILLON/ARMCHAIR/FAUTEUIL</t>
        </is>
      </c>
      <c r="E66" s="25" t="n">
        <v>292</v>
      </c>
      <c r="F66" s="25" t="n">
        <v>438.02</v>
      </c>
      <c r="G66" s="25" t="n">
        <v>146.02</v>
      </c>
      <c r="H66" s="26" t="n">
        <v>50.01</v>
      </c>
      <c r="I66" s="25" t="n">
        <v>530</v>
      </c>
      <c r="J66" s="25" t="n">
        <v>500</v>
      </c>
    </row>
    <row r="67" ht="15.75" customHeight="1" s="98">
      <c r="A67" s="27" t="inlineStr">
        <is>
          <t>Hevea</t>
        </is>
      </c>
      <c r="B67" s="27" t="inlineStr">
        <is>
          <t>sofa-terraza-2-plazas-estilo-contemporaneo-13785-cm</t>
        </is>
      </c>
      <c r="C67" s="27" t="inlineStr">
        <is>
          <t>557-010717</t>
        </is>
      </c>
      <c r="D67" s="28" t="inlineStr">
        <is>
          <t>LEISA-2 SOFA 2 PLAZAS/SOFA/CANAPÉ</t>
        </is>
      </c>
      <c r="E67" s="29" t="n">
        <v>413</v>
      </c>
      <c r="F67" s="29" t="n">
        <v>619.83</v>
      </c>
      <c r="G67" s="29" t="n">
        <v>206.83</v>
      </c>
      <c r="H67" s="30" t="n">
        <v>50.08</v>
      </c>
      <c r="I67" s="29" t="n">
        <v>750</v>
      </c>
      <c r="J67" s="29" t="n">
        <v>500</v>
      </c>
    </row>
    <row r="68" ht="15.75" customHeight="1" s="98">
      <c r="A68" s="23" t="inlineStr">
        <is>
          <t>Hevea</t>
        </is>
      </c>
      <c r="B68" s="23" t="inlineStr">
        <is>
          <t>sofa-terraza-3-plazas-estilo-contemporaneo-19685-cm</t>
        </is>
      </c>
      <c r="C68" s="23" t="inlineStr">
        <is>
          <t>557-010718</t>
        </is>
      </c>
      <c r="D68" s="24" t="inlineStr">
        <is>
          <t>LEISA-3 SOFA 3 PLAZAS/SOFA/CANAPÉ</t>
        </is>
      </c>
      <c r="E68" s="25" t="n">
        <v>534</v>
      </c>
      <c r="F68" s="25" t="n">
        <v>801.65</v>
      </c>
      <c r="G68" s="25" t="n">
        <v>267.65</v>
      </c>
      <c r="H68" s="26" t="n">
        <v>50.12</v>
      </c>
      <c r="I68" s="25" t="n">
        <v>970</v>
      </c>
      <c r="J68" s="25" t="n">
        <v>0</v>
      </c>
    </row>
    <row r="69" ht="15.75" customHeight="1" s="98">
      <c r="A69" s="27" t="inlineStr">
        <is>
          <t>Hevea</t>
        </is>
      </c>
      <c r="B69" s="27" t="inlineStr">
        <is>
          <t>set-jardin-2-plazas-contemporaneo-sofa-2-plazas-2-sillones-mesa</t>
        </is>
      </c>
      <c r="C69" s="27" t="inlineStr">
        <is>
          <t>557-010719</t>
        </is>
      </c>
      <c r="D69" s="28" t="inlineStr">
        <is>
          <t>LEISA-7 SET SOFA 2 PLAZAS/SOFA/CANAPÉ</t>
        </is>
      </c>
      <c r="E69" s="29" t="n">
        <v>1153</v>
      </c>
      <c r="F69" s="29" t="n">
        <v>1731.4</v>
      </c>
      <c r="G69" s="29" t="n">
        <v>578.4</v>
      </c>
      <c r="H69" s="30" t="n">
        <v>50.17</v>
      </c>
      <c r="I69" s="29" t="n">
        <v>2095</v>
      </c>
      <c r="J69" s="29" t="n">
        <v>0</v>
      </c>
    </row>
    <row r="70" ht="15.75" customHeight="1" s="98">
      <c r="A70" s="23" t="inlineStr">
        <is>
          <t>Hevea</t>
        </is>
      </c>
      <c r="B70" s="23" t="inlineStr">
        <is>
          <t>set-jardin-3-plazas-contemporaneo-sofa-3-plazas-2-sillones-mesa-3</t>
        </is>
      </c>
      <c r="C70" s="23" t="inlineStr">
        <is>
          <t>557-010720</t>
        </is>
      </c>
      <c r="D70" s="24" t="inlineStr">
        <is>
          <t>LEISA-8 SET SOFA 3 PLAZAS/SOFA/CANAPÉ</t>
        </is>
      </c>
      <c r="E70" s="25" t="n">
        <v>1318</v>
      </c>
      <c r="F70" s="25" t="n">
        <v>1979.34</v>
      </c>
      <c r="G70" s="25" t="n">
        <v>661.34</v>
      </c>
      <c r="H70" s="26" t="n">
        <v>50.18</v>
      </c>
      <c r="I70" s="25" t="n">
        <v>2395</v>
      </c>
      <c r="J70" s="25" t="n">
        <v>0</v>
      </c>
    </row>
    <row r="71" ht="15.75" customHeight="1" s="98">
      <c r="A71" s="27" t="inlineStr">
        <is>
          <t>Hevea</t>
        </is>
      </c>
      <c r="B71" s="27" t="inlineStr">
        <is>
          <t>sillon-exterior-estilo-moderno-7085-cm</t>
        </is>
      </c>
      <c r="C71" s="27" t="inlineStr">
        <is>
          <t>557-010103</t>
        </is>
      </c>
      <c r="D71" s="28" t="inlineStr">
        <is>
          <t>DOUNVIL-1 SILLON</t>
        </is>
      </c>
      <c r="E71" s="29" t="n">
        <v>264</v>
      </c>
      <c r="F71" s="29" t="n">
        <v>396.69</v>
      </c>
      <c r="G71" s="29" t="n">
        <v>132.69</v>
      </c>
      <c r="H71" s="30" t="n">
        <v>50.26</v>
      </c>
      <c r="I71" s="29" t="n">
        <v>480</v>
      </c>
      <c r="J71" s="29" t="n">
        <v>500</v>
      </c>
    </row>
    <row r="72" ht="15.75" customHeight="1" s="98">
      <c r="A72" s="23" t="inlineStr">
        <is>
          <t>Hevea</t>
        </is>
      </c>
      <c r="B72" s="23" t="inlineStr">
        <is>
          <t>sofa-terraza-2-plazas-estilo-elegante-15085-cm</t>
        </is>
      </c>
      <c r="C72" s="23" t="inlineStr">
        <is>
          <t>557-010104</t>
        </is>
      </c>
      <c r="D72" s="24" t="inlineStr">
        <is>
          <t>DOUNVIL-2 SOFA 2 PLAZAS</t>
        </is>
      </c>
      <c r="E72" s="25" t="n">
        <v>413</v>
      </c>
      <c r="F72" s="25" t="n">
        <v>619.83</v>
      </c>
      <c r="G72" s="25" t="n">
        <v>206.83</v>
      </c>
      <c r="H72" s="26" t="n">
        <v>50.08</v>
      </c>
      <c r="I72" s="25" t="n">
        <v>750</v>
      </c>
      <c r="J72" s="25" t="n">
        <v>500</v>
      </c>
    </row>
    <row r="73" ht="15.75" customHeight="1" s="98">
      <c r="A73" s="27" t="inlineStr">
        <is>
          <t>Hevea</t>
        </is>
      </c>
      <c r="B73" s="27" t="inlineStr">
        <is>
          <t>sofa-terraza-3-plazas-estilo-contemporaneo-19085-cm</t>
        </is>
      </c>
      <c r="C73" s="27" t="inlineStr">
        <is>
          <t>557-010105</t>
        </is>
      </c>
      <c r="D73" s="28" t="inlineStr">
        <is>
          <t>DOUNVIL-3 SOFA 3 PLAZAS</t>
        </is>
      </c>
      <c r="E73" s="29" t="n">
        <v>534</v>
      </c>
      <c r="F73" s="29" t="n">
        <v>801.65</v>
      </c>
      <c r="G73" s="29" t="n">
        <v>267.65</v>
      </c>
      <c r="H73" s="30" t="n">
        <v>50.12</v>
      </c>
      <c r="I73" s="29" t="n">
        <v>970</v>
      </c>
      <c r="J73" s="29" t="n">
        <v>0</v>
      </c>
    </row>
    <row r="74" ht="15.75" customHeight="1" s="98">
      <c r="A74" s="23" t="inlineStr">
        <is>
          <t>Hevea</t>
        </is>
      </c>
      <c r="B74" s="23" t="inlineStr">
        <is>
          <t>set-jardin-2-plazas-contemporaneo-sofa-2-plazas-2-sillones-mesa-2</t>
        </is>
      </c>
      <c r="C74" s="23" t="inlineStr">
        <is>
          <t>557-010106</t>
        </is>
      </c>
      <c r="D74" s="24" t="inlineStr">
        <is>
          <t>DOUNVIL-7 SET SOFA 2 PLAZAS</t>
        </is>
      </c>
      <c r="E74" s="25" t="n">
        <v>1092</v>
      </c>
      <c r="F74" s="25" t="n">
        <v>1640.5</v>
      </c>
      <c r="G74" s="25" t="n">
        <v>548.5</v>
      </c>
      <c r="H74" s="26" t="n">
        <v>50.23</v>
      </c>
      <c r="I74" s="25" t="n">
        <v>1985</v>
      </c>
      <c r="J74" s="25" t="n">
        <v>0</v>
      </c>
    </row>
    <row r="75" ht="15.75" customHeight="1" s="98">
      <c r="A75" s="27" t="inlineStr">
        <is>
          <t>Hevea</t>
        </is>
      </c>
      <c r="B75" s="27" t="inlineStr">
        <is>
          <t>set-jardin-3-plazas-elegante-sofa-3-plazas-2-sillones-mesa-2</t>
        </is>
      </c>
      <c r="C75" s="27" t="inlineStr">
        <is>
          <t>557-010107</t>
        </is>
      </c>
      <c r="D75" s="28" t="inlineStr">
        <is>
          <t>DOUNVIL-8 SET SOFA 3 PLAZAS</t>
        </is>
      </c>
      <c r="E75" s="29" t="n">
        <v>1263</v>
      </c>
      <c r="F75" s="29" t="n">
        <v>1896.69</v>
      </c>
      <c r="G75" s="29" t="n">
        <v>633.6900000000001</v>
      </c>
      <c r="H75" s="30" t="n">
        <v>50.17</v>
      </c>
      <c r="I75" s="29" t="n">
        <v>2295</v>
      </c>
      <c r="J75" s="29" t="n">
        <v>0</v>
      </c>
    </row>
    <row r="76" ht="15.75" customHeight="1" s="98">
      <c r="A76" s="23" t="inlineStr">
        <is>
          <t>Hevea</t>
        </is>
      </c>
      <c r="B76" s="23" t="inlineStr">
        <is>
          <t>mesa-de-centro-exterior-90-cm-altura-40-cm-2</t>
        </is>
      </c>
      <c r="C76" s="23" t="inlineStr">
        <is>
          <t>557-1070</t>
        </is>
      </c>
      <c r="D76" s="24" t="inlineStr">
        <is>
          <t>MESA CENTRO 90</t>
        </is>
      </c>
      <c r="E76" s="25" t="n">
        <v>152</v>
      </c>
      <c r="F76" s="25" t="n">
        <v>227.27</v>
      </c>
      <c r="G76" s="25" t="n">
        <v>75.27</v>
      </c>
      <c r="H76" s="32" t="n">
        <v>49.52</v>
      </c>
      <c r="I76" s="25" t="n">
        <v>275</v>
      </c>
      <c r="J76" s="25" t="n">
        <v>0</v>
      </c>
    </row>
    <row r="77" ht="15.75" customHeight="1" s="98">
      <c r="A77" s="27" t="inlineStr">
        <is>
          <t>Hevea</t>
        </is>
      </c>
      <c r="B77" s="27" t="inlineStr">
        <is>
          <t>mesa-de-centro-exterior-120-cm-altura-40-cm-2</t>
        </is>
      </c>
      <c r="C77" s="27" t="inlineStr">
        <is>
          <t>557-1563</t>
        </is>
      </c>
      <c r="D77" s="28" t="inlineStr">
        <is>
          <t>MESA CENTRO 120</t>
        </is>
      </c>
      <c r="E77" s="29" t="n">
        <v>201</v>
      </c>
      <c r="F77" s="29" t="n">
        <v>301.65</v>
      </c>
      <c r="G77" s="29" t="n">
        <v>100.65</v>
      </c>
      <c r="H77" s="30" t="n">
        <v>50.08</v>
      </c>
      <c r="I77" s="29" t="n">
        <v>365</v>
      </c>
      <c r="J77" s="29" t="n">
        <v>500</v>
      </c>
    </row>
    <row r="78" ht="15.75" customHeight="1" s="98">
      <c r="A78" s="23" t="inlineStr">
        <is>
          <t>Hevea</t>
        </is>
      </c>
      <c r="B78" s="23" t="inlineStr">
        <is>
          <t>sillon-exterior-estilo-contemporaneo-68115-cm</t>
        </is>
      </c>
      <c r="C78" s="23" t="inlineStr">
        <is>
          <t>557-0794</t>
        </is>
      </c>
      <c r="D78" s="24" t="inlineStr">
        <is>
          <t>HASTON-1 SILLÓN / ARMCHAIR / FAUTEUIL</t>
        </is>
      </c>
      <c r="E78" s="25" t="n">
        <v>253</v>
      </c>
      <c r="F78" s="25" t="n">
        <v>380.17</v>
      </c>
      <c r="G78" s="25" t="n">
        <v>127.17</v>
      </c>
      <c r="H78" s="26" t="n">
        <v>50.26</v>
      </c>
      <c r="I78" s="25" t="n">
        <v>460</v>
      </c>
      <c r="J78" s="25" t="n">
        <v>500</v>
      </c>
    </row>
    <row r="79" ht="15.75" customHeight="1" s="98">
      <c r="A79" s="27" t="inlineStr">
        <is>
          <t>Hevea</t>
        </is>
      </c>
      <c r="B79" s="27" t="inlineStr">
        <is>
          <t>sofa-terraza-2-plazas-estilo-moderno-128115-cm</t>
        </is>
      </c>
      <c r="C79" s="27" t="inlineStr">
        <is>
          <t>557-0795</t>
        </is>
      </c>
      <c r="D79" s="28" t="inlineStr">
        <is>
          <t>HASTON-2 SOFÁ 2 PLAZAS / 2 SEATER SOFA / CANAPÉ 2 PLACES</t>
        </is>
      </c>
      <c r="E79" s="29" t="n">
        <v>413</v>
      </c>
      <c r="F79" s="29" t="n">
        <v>619.83</v>
      </c>
      <c r="G79" s="29" t="n">
        <v>206.83</v>
      </c>
      <c r="H79" s="30" t="n">
        <v>50.08</v>
      </c>
      <c r="I79" s="29" t="n">
        <v>750</v>
      </c>
      <c r="J79" s="29" t="n">
        <v>500</v>
      </c>
    </row>
    <row r="80" ht="15.75" customHeight="1" s="98">
      <c r="A80" s="23" t="inlineStr">
        <is>
          <t>Hevea</t>
        </is>
      </c>
      <c r="B80" s="23" t="inlineStr">
        <is>
          <t>sofa-terraza-3-plazas-estilo-contemporaneo-188115-cm</t>
        </is>
      </c>
      <c r="C80" s="23" t="inlineStr">
        <is>
          <t>557-0796</t>
        </is>
      </c>
      <c r="D80" s="24" t="inlineStr">
        <is>
          <t>HASTON-3 SOFÁ 3 PLAZAS / 3 SEATER SOFA / CANAPÉ 3 PLACES</t>
        </is>
      </c>
      <c r="E80" s="25" t="n">
        <v>545</v>
      </c>
      <c r="F80" s="25" t="n">
        <v>818.1799999999999</v>
      </c>
      <c r="G80" s="25" t="n">
        <v>273.18</v>
      </c>
      <c r="H80" s="26" t="n">
        <v>50.13</v>
      </c>
      <c r="I80" s="25" t="n">
        <v>990</v>
      </c>
      <c r="J80" s="25" t="n">
        <v>0</v>
      </c>
    </row>
    <row r="81" ht="15.75" customHeight="1" s="98">
      <c r="A81" s="27" t="inlineStr">
        <is>
          <t>Hevea</t>
        </is>
      </c>
      <c r="B81" s="27" t="inlineStr">
        <is>
          <t>set-jardin-2-plazas-moderno-sofa-2-plazas-2-sillones-mesa-3</t>
        </is>
      </c>
      <c r="C81" s="27" t="inlineStr">
        <is>
          <t>557-0798</t>
        </is>
      </c>
      <c r="D81" s="28" t="inlineStr">
        <is>
          <t>HASTON-7 SET SOFÁ 2 PLAZAS / 2 SEATER SOFA SET / SET CANAPÉ 2 PLACES</t>
        </is>
      </c>
      <c r="E81" s="29" t="n">
        <v>1070</v>
      </c>
      <c r="F81" s="29" t="n">
        <v>1607.44</v>
      </c>
      <c r="G81" s="29" t="n">
        <v>537.4400000000001</v>
      </c>
      <c r="H81" s="30" t="n">
        <v>50.23</v>
      </c>
      <c r="I81" s="29" t="n">
        <v>1945</v>
      </c>
      <c r="J81" s="29" t="n">
        <v>0</v>
      </c>
    </row>
    <row r="82" ht="15.75" customHeight="1" s="98">
      <c r="A82" s="23" t="inlineStr">
        <is>
          <t>Hevea</t>
        </is>
      </c>
      <c r="B82" s="23" t="inlineStr">
        <is>
          <t>set-jardin-3-plazas-contemporaneo-sofa-3-plazas-2-sillones-mesa-4</t>
        </is>
      </c>
      <c r="C82" s="23" t="inlineStr">
        <is>
          <t>557-0799</t>
        </is>
      </c>
      <c r="D82" s="24" t="inlineStr">
        <is>
          <t>HASTON-8 SET SOFÁ 3 PLAZAS / 3 SEATER SOFA SET / SET CANAPÉ 3 PLACES</t>
        </is>
      </c>
      <c r="E82" s="25" t="n">
        <v>1252</v>
      </c>
      <c r="F82" s="25" t="n">
        <v>1880.17</v>
      </c>
      <c r="G82" s="25" t="n">
        <v>628.17</v>
      </c>
      <c r="H82" s="26" t="n">
        <v>50.17</v>
      </c>
      <c r="I82" s="25" t="n">
        <v>2275</v>
      </c>
      <c r="J82" s="25" t="n">
        <v>0</v>
      </c>
    </row>
    <row r="83" ht="15.75" customHeight="1" s="98">
      <c r="A83" s="27" t="inlineStr">
        <is>
          <t>Hevea</t>
        </is>
      </c>
      <c r="B83" s="27" t="inlineStr">
        <is>
          <t>sillon-exterior-estilo-versatil-6470-cm</t>
        </is>
      </c>
      <c r="C83" s="27" t="inlineStr">
        <is>
          <t>557-010146</t>
        </is>
      </c>
      <c r="D83" s="28" t="inlineStr">
        <is>
          <t>ACAPULCO-1 SILLÓN / ARMCHAIR / FAUTEUIL</t>
        </is>
      </c>
      <c r="E83" s="29" t="n">
        <v>267</v>
      </c>
      <c r="F83" s="29" t="n">
        <v>400.83</v>
      </c>
      <c r="G83" s="29" t="n">
        <v>133.83</v>
      </c>
      <c r="H83" s="30" t="n">
        <v>50.12</v>
      </c>
      <c r="I83" s="29" t="n">
        <v>485</v>
      </c>
      <c r="J83" s="29" t="n">
        <v>500</v>
      </c>
    </row>
    <row r="84" ht="15.75" customHeight="1" s="98">
      <c r="A84" s="23" t="inlineStr">
        <is>
          <t>Hevea</t>
        </is>
      </c>
      <c r="B84" s="23" t="inlineStr">
        <is>
          <t>sofa-terraza-2-plazas-estilo-elegante-13170-cm</t>
        </is>
      </c>
      <c r="C84" s="23" t="inlineStr">
        <is>
          <t>557-010148</t>
        </is>
      </c>
      <c r="D84" s="24" t="inlineStr">
        <is>
          <t>ACAPULCO-2 SOFÁ 2 PLAZAS / 2 SEATER SOFA / CANAPÉ 2 PLACES</t>
        </is>
      </c>
      <c r="E84" s="25" t="n">
        <v>383</v>
      </c>
      <c r="F84" s="25" t="n">
        <v>574.38</v>
      </c>
      <c r="G84" s="25" t="n">
        <v>191.38</v>
      </c>
      <c r="H84" s="32" t="n">
        <v>49.97</v>
      </c>
      <c r="I84" s="25" t="n">
        <v>695</v>
      </c>
      <c r="J84" s="25" t="n">
        <v>500</v>
      </c>
    </row>
    <row r="85" ht="15.75" customHeight="1" s="98">
      <c r="A85" s="27" t="inlineStr">
        <is>
          <t>Hevea</t>
        </is>
      </c>
      <c r="B85" s="27" t="inlineStr">
        <is>
          <t>set-jardin-3-plazas-contemporaneo-sofa-3-plazas-2-sillones-mesa-5</t>
        </is>
      </c>
      <c r="C85" s="27" t="inlineStr">
        <is>
          <t>557-010147</t>
        </is>
      </c>
      <c r="D85" s="28" t="inlineStr">
        <is>
          <t>ACAPULCO-3 SOFÁ 3 PLAZAS / 3 SEATER SOFA / CANAPÉ 3 PLACES</t>
        </is>
      </c>
      <c r="E85" s="29" t="n">
        <v>523</v>
      </c>
      <c r="F85" s="29" t="n">
        <v>785.12</v>
      </c>
      <c r="G85" s="29" t="n">
        <v>262.12</v>
      </c>
      <c r="H85" s="30" t="n">
        <v>50.12</v>
      </c>
      <c r="I85" s="29" t="n">
        <v>950</v>
      </c>
      <c r="J85" s="29" t="n">
        <v>0</v>
      </c>
    </row>
    <row r="86" ht="15.75" customHeight="1" s="98">
      <c r="A86" s="23" t="inlineStr">
        <is>
          <t>Hevea</t>
        </is>
      </c>
      <c r="B86" s="23" t="inlineStr">
        <is>
          <t>mesa-de-centro-exterior-hpl-90-cm-altura-40-cm</t>
        </is>
      </c>
      <c r="C86" s="23" t="inlineStr">
        <is>
          <t>557-010153</t>
        </is>
      </c>
      <c r="D86" s="24" t="inlineStr">
        <is>
          <t>MESA CENTRO 90 HPL UNIVERSAL / 90 HPL COFFEE TABLE / TABLE BASSE 90 HPL</t>
        </is>
      </c>
      <c r="E86" s="25" t="n">
        <v>152</v>
      </c>
      <c r="F86" s="25" t="n">
        <v>227.27</v>
      </c>
      <c r="G86" s="25" t="n">
        <v>75.27</v>
      </c>
      <c r="H86" s="32" t="n">
        <v>49.52</v>
      </c>
      <c r="I86" s="25" t="n">
        <v>275</v>
      </c>
      <c r="J86" s="25" t="n">
        <v>0</v>
      </c>
    </row>
    <row r="87" ht="15.75" customHeight="1" s="98">
      <c r="A87" s="27" t="inlineStr">
        <is>
          <t>Hevea</t>
        </is>
      </c>
      <c r="B87" s="27" t="inlineStr">
        <is>
          <t>mesa-de-centro-exterior-hpl-120-cm-altura-40-cm-2</t>
        </is>
      </c>
      <c r="C87" s="27" t="inlineStr">
        <is>
          <t>557-010154</t>
        </is>
      </c>
      <c r="D87" s="28" t="inlineStr">
        <is>
          <t>MESA CENTRO 120 HPL UNIVERSAL / 120 HPL COFFEE TABLE / TABLE BASSE 120 HPL</t>
        </is>
      </c>
      <c r="E87" s="29" t="n">
        <v>201</v>
      </c>
      <c r="F87" s="29" t="n">
        <v>301.65</v>
      </c>
      <c r="G87" s="29" t="n">
        <v>100.65</v>
      </c>
      <c r="H87" s="30" t="n">
        <v>50.08</v>
      </c>
      <c r="I87" s="29" t="n">
        <v>365</v>
      </c>
      <c r="J87" s="29" t="n">
        <v>500</v>
      </c>
    </row>
    <row r="88" ht="15.75" customHeight="1" s="98">
      <c r="A88" s="23" t="inlineStr">
        <is>
          <t>Hevea</t>
        </is>
      </c>
      <c r="B88" s="23" t="inlineStr">
        <is>
          <t>set-jardin-2-plazas-moderno-sofa-2-plazas-2-sillones-mesa-4</t>
        </is>
      </c>
      <c r="C88" s="23" t="inlineStr">
        <is>
          <t>557-010149</t>
        </is>
      </c>
      <c r="D88" s="24" t="inlineStr">
        <is>
          <t>ACAPULCO-7 SET SOFÁ 2 PLAZAS / 2 SEATER SOFA SET / SET CANAPÉ 2 PLACES</t>
        </is>
      </c>
      <c r="E88" s="25" t="n">
        <v>1067</v>
      </c>
      <c r="F88" s="25" t="n">
        <v>1603.31</v>
      </c>
      <c r="G88" s="25" t="n">
        <v>536.3099999999999</v>
      </c>
      <c r="H88" s="26" t="n">
        <v>50.26</v>
      </c>
      <c r="I88" s="25" t="n">
        <v>1940</v>
      </c>
      <c r="J88" s="25" t="n">
        <v>0</v>
      </c>
    </row>
    <row r="89" ht="15.75" customHeight="1" s="98">
      <c r="A89" s="27" t="inlineStr">
        <is>
          <t>Hevea</t>
        </is>
      </c>
      <c r="B89" s="27" t="inlineStr">
        <is>
          <t>set-jardin-3-plazas-contemporaneo-sofa-3-plazas-2-sillones-mesa-5</t>
        </is>
      </c>
      <c r="C89" s="27" t="inlineStr">
        <is>
          <t>557-010147</t>
        </is>
      </c>
      <c r="D89" s="28" t="inlineStr">
        <is>
          <t>ACAPULCO-8 SET SOFÁ 3 PLAZAS / 3 SEATER SOFA SET / SET CANAPÉ 3 PLACES</t>
        </is>
      </c>
      <c r="E89" s="29" t="n">
        <v>1257</v>
      </c>
      <c r="F89" s="29" t="n">
        <v>1888.43</v>
      </c>
      <c r="G89" s="29" t="n">
        <v>631.4299999999999</v>
      </c>
      <c r="H89" s="30" t="n">
        <v>50.23</v>
      </c>
      <c r="I89" s="29" t="n">
        <v>2285</v>
      </c>
      <c r="J89" s="29" t="n">
        <v>0</v>
      </c>
    </row>
    <row r="90" ht="15.75" customHeight="1" s="98">
      <c r="A90" s="23" t="inlineStr">
        <is>
          <t>Hevea</t>
        </is>
      </c>
      <c r="B90" s="23" t="inlineStr">
        <is>
          <t>pergola-aluminio-para-jardin-300300250-cm</t>
        </is>
      </c>
      <c r="C90" s="23" t="inlineStr">
        <is>
          <t>557-0919</t>
        </is>
      </c>
      <c r="D90" s="24" t="inlineStr">
        <is>
          <t>PÉRGOLA VENECIA / VENECIA PERGOLA / PERGOLA VENECIA</t>
        </is>
      </c>
      <c r="E90" s="25" t="n">
        <v>930</v>
      </c>
      <c r="F90" s="25" t="n">
        <v>1396.69</v>
      </c>
      <c r="G90" s="25" t="n">
        <v>466.69</v>
      </c>
      <c r="H90" s="26" t="n">
        <v>50.18</v>
      </c>
      <c r="I90" s="25" t="n">
        <v>1690</v>
      </c>
      <c r="J90" s="25" t="n">
        <v>0</v>
      </c>
    </row>
    <row r="91" ht="15.75" customHeight="1" s="98">
      <c r="A91" s="27" t="inlineStr">
        <is>
          <t>Hevea</t>
        </is>
      </c>
      <c r="B91" s="27" t="inlineStr">
        <is>
          <t>sillon-exterior-estilo-urbano-6670-cm</t>
        </is>
      </c>
      <c r="C91" s="27" t="inlineStr">
        <is>
          <t>557-01951</t>
        </is>
      </c>
      <c r="D91" s="28" t="inlineStr">
        <is>
          <t>MANHATAN-1 SILLÓN / ARMCHAIR / FAUTEUIL</t>
        </is>
      </c>
      <c r="E91" s="29" t="n">
        <v>212</v>
      </c>
      <c r="F91" s="29" t="n">
        <v>318.18</v>
      </c>
      <c r="G91" s="29" t="n">
        <v>106.18</v>
      </c>
      <c r="H91" s="30" t="n">
        <v>50.09</v>
      </c>
      <c r="I91" s="29" t="n">
        <v>385</v>
      </c>
      <c r="J91" s="29" t="n">
        <v>500</v>
      </c>
    </row>
    <row r="92" ht="15.75" customHeight="1" s="98">
      <c r="A92" s="23" t="inlineStr">
        <is>
          <t>Hevea</t>
        </is>
      </c>
      <c r="B92" s="23" t="inlineStr">
        <is>
          <t>sofa-terraza-2-plazas-estilo-contemporaneo-13370-cm</t>
        </is>
      </c>
      <c r="C92" s="23" t="inlineStr">
        <is>
          <t>557-01952</t>
        </is>
      </c>
      <c r="D92" s="24" t="inlineStr">
        <is>
          <t>MANHATAN-2 SOFÁ 2 PLAZAS / 2 SEATER SOFA / CANAPÉ 2 PLACES</t>
        </is>
      </c>
      <c r="E92" s="25" t="n">
        <v>325</v>
      </c>
      <c r="F92" s="25" t="n">
        <v>487.6</v>
      </c>
      <c r="G92" s="25" t="n">
        <v>162.6</v>
      </c>
      <c r="H92" s="26" t="n">
        <v>50.03</v>
      </c>
      <c r="I92" s="25" t="n">
        <v>590</v>
      </c>
      <c r="J92" s="25" t="n">
        <v>500</v>
      </c>
    </row>
    <row r="93" ht="15.75" customHeight="1" s="98">
      <c r="A93" s="27" t="inlineStr">
        <is>
          <t>Hevea</t>
        </is>
      </c>
      <c r="B93" s="27" t="inlineStr">
        <is>
          <t>sofa-terraza-3-plazas-estilo-moderno-18770-cm</t>
        </is>
      </c>
      <c r="C93" s="27" t="inlineStr">
        <is>
          <t>557-01953</t>
        </is>
      </c>
      <c r="D93" s="28" t="inlineStr">
        <is>
          <t>MANHATAN-3 SOFÁ 3 PLAZAS / 3 SEATER SOFA / CANAPÉ 3 PLACES</t>
        </is>
      </c>
      <c r="E93" s="29" t="n">
        <v>468</v>
      </c>
      <c r="F93" s="29" t="n">
        <v>702.48</v>
      </c>
      <c r="G93" s="29" t="n">
        <v>234.48</v>
      </c>
      <c r="H93" s="30" t="n">
        <v>50.1</v>
      </c>
      <c r="I93" s="29" t="n">
        <v>850</v>
      </c>
      <c r="J93" s="29" t="n">
        <v>500</v>
      </c>
    </row>
    <row r="94" ht="15.75" customHeight="1" s="98">
      <c r="A94" s="23" t="inlineStr">
        <is>
          <t>Hevea</t>
        </is>
      </c>
      <c r="B94" s="23" t="inlineStr">
        <is>
          <t>set-jardin-2-plazas-contemporaneo-sofa-2-plazas-2-sillones-mesa-3</t>
        </is>
      </c>
      <c r="C94" s="23" t="inlineStr">
        <is>
          <t>557-01954</t>
        </is>
      </c>
      <c r="D94" s="24" t="inlineStr">
        <is>
          <t>MANHATAN-7 SET SOFÁ 2 PLAZAS / 2 SEATER SOFA SET / SET CANAPÉ 2 PLACES</t>
        </is>
      </c>
      <c r="E94" s="25" t="n">
        <v>905</v>
      </c>
      <c r="F94" s="25" t="n">
        <v>1359.5</v>
      </c>
      <c r="G94" s="25" t="n">
        <v>454.5</v>
      </c>
      <c r="H94" s="26" t="n">
        <v>50.22</v>
      </c>
      <c r="I94" s="25" t="n">
        <v>1645</v>
      </c>
      <c r="J94" s="25" t="n">
        <v>0</v>
      </c>
    </row>
    <row r="95" ht="15.75" customHeight="1" s="98">
      <c r="A95" s="27" t="inlineStr">
        <is>
          <t>Hevea</t>
        </is>
      </c>
      <c r="B95" s="27" t="inlineStr">
        <is>
          <t>set-jardin-3-plazas-urbano-sofa-3-plazas-2-sillones-mesa</t>
        </is>
      </c>
      <c r="C95" s="27" t="inlineStr">
        <is>
          <t>557-01955</t>
        </is>
      </c>
      <c r="D95" s="28" t="inlineStr">
        <is>
          <t>MANHATAN-8 SET SOFÁ 3 PLAZAS / 3 SEATER SOFA SET / SET CANAPÉ 3 PLACES</t>
        </is>
      </c>
      <c r="E95" s="29" t="n">
        <v>1092</v>
      </c>
      <c r="F95" s="29" t="n">
        <v>1640.5</v>
      </c>
      <c r="G95" s="29" t="n">
        <v>548.5</v>
      </c>
      <c r="H95" s="30" t="n">
        <v>50.23</v>
      </c>
      <c r="I95" s="29" t="n">
        <v>1985</v>
      </c>
      <c r="J95" s="29" t="n">
        <v>0</v>
      </c>
    </row>
    <row r="96" ht="15.75" customHeight="1" s="98">
      <c r="A96" s="23" t="inlineStr">
        <is>
          <t>Hevea</t>
        </is>
      </c>
      <c r="B96" s="23" t="inlineStr">
        <is>
          <t>set-rinconera-exterior-hpl-sofisticado-sofa-de-esquina-mesa-de-centro</t>
        </is>
      </c>
      <c r="C96" s="23" t="inlineStr">
        <is>
          <t>557-010705</t>
        </is>
      </c>
      <c r="D96" s="24" t="inlineStr">
        <is>
          <t>LOIRA-7 HPL SET SOFA RINCONERA / CORNER SET / SET CANAPÉ D’ANGLE</t>
        </is>
      </c>
      <c r="E96" s="25" t="n">
        <v>1318</v>
      </c>
      <c r="F96" s="25" t="n">
        <v>1979.34</v>
      </c>
      <c r="G96" s="25" t="n">
        <v>661.34</v>
      </c>
      <c r="H96" s="26" t="n">
        <v>50.18</v>
      </c>
      <c r="I96" s="25" t="n">
        <v>2395</v>
      </c>
      <c r="J96" s="25" t="n">
        <v>0</v>
      </c>
    </row>
    <row r="97" ht="15.75" customHeight="1" s="98">
      <c r="A97" s="27" t="inlineStr">
        <is>
          <t>Hevea</t>
        </is>
      </c>
      <c r="B97" s="27" t="inlineStr">
        <is>
          <t>set-rinconera-exterior-hpl-elegante-sofa-de-esquina-mesa-de-centro</t>
        </is>
      </c>
      <c r="C97" s="27" t="inlineStr">
        <is>
          <t>557-010026</t>
        </is>
      </c>
      <c r="D97" s="28" t="inlineStr">
        <is>
          <t>LOIRA-8 HPL SET SOFÁ RINCONERA / HPL CORNER SOFA SET / SET CANAPÉ D’ANGLE HPL</t>
        </is>
      </c>
      <c r="E97" s="29" t="n">
        <v>1725</v>
      </c>
      <c r="F97" s="29" t="n">
        <v>2590.91</v>
      </c>
      <c r="G97" s="29" t="n">
        <v>865.91</v>
      </c>
      <c r="H97" s="30" t="n">
        <v>50.2</v>
      </c>
      <c r="I97" s="29" t="n">
        <v>3135</v>
      </c>
      <c r="J97" s="29" t="n">
        <v>0</v>
      </c>
    </row>
    <row r="98" ht="15.75" customHeight="1" s="98">
      <c r="A98" s="23" t="inlineStr">
        <is>
          <t>Hevea</t>
        </is>
      </c>
      <c r="B98" s="23" t="inlineStr">
        <is>
          <t>set-rinconera-exterior-hpl-moderno-sofa-de-esquina-mesa-de-centro</t>
        </is>
      </c>
      <c r="C98" s="23" t="inlineStr">
        <is>
          <t>557-010123</t>
        </is>
      </c>
      <c r="D98" s="24" t="inlineStr">
        <is>
          <t>LOIRA-30 HPL SET SOFÁ RINCONERA / HPL CORNER SOFA SET / SET CANAPÉ D’ANGLE HPL</t>
        </is>
      </c>
      <c r="E98" s="25" t="n">
        <v>1920</v>
      </c>
      <c r="F98" s="25" t="n">
        <v>2884.3</v>
      </c>
      <c r="G98" s="25" t="n">
        <v>964.3</v>
      </c>
      <c r="H98" s="26" t="n">
        <v>50.22</v>
      </c>
      <c r="I98" s="25" t="n">
        <v>3490</v>
      </c>
      <c r="J98" s="25" t="n">
        <v>0</v>
      </c>
    </row>
    <row r="99" ht="15.75" customHeight="1" s="98">
      <c r="A99" s="27" t="inlineStr">
        <is>
          <t>Hevea</t>
        </is>
      </c>
      <c r="B99" s="27" t="inlineStr">
        <is>
          <t>set-rinconera-exterior-contemporaneo-sofa-de-esquina-mesa-de-centro</t>
        </is>
      </c>
      <c r="C99" s="27" t="inlineStr">
        <is>
          <t>557-1164</t>
        </is>
      </c>
      <c r="D99" s="28" t="inlineStr">
        <is>
          <t>ADEL-7 SET SOFÁ RINCONERA / CORNER SOFA SET / SET CANAPÉ D’ANGLE</t>
        </is>
      </c>
      <c r="E99" s="29" t="n">
        <v>1172</v>
      </c>
      <c r="F99" s="29" t="n">
        <v>1760.33</v>
      </c>
      <c r="G99" s="29" t="n">
        <v>588.33</v>
      </c>
      <c r="H99" s="30" t="n">
        <v>50.2</v>
      </c>
      <c r="I99" s="29" t="n">
        <v>2130</v>
      </c>
      <c r="J99" s="29" t="n">
        <v>0</v>
      </c>
    </row>
    <row r="100" ht="15.75" customHeight="1" s="98">
      <c r="A100" s="23" t="inlineStr">
        <is>
          <t>Hevea</t>
        </is>
      </c>
      <c r="B100" s="23" t="inlineStr">
        <is>
          <t>set-rinconera-exterior-sofisticado-sofa-de-esquina-mesa-de-centro</t>
        </is>
      </c>
      <c r="C100" s="23" t="inlineStr">
        <is>
          <t>557-010048</t>
        </is>
      </c>
      <c r="D100" s="24" t="inlineStr">
        <is>
          <t>ADEL-30 SET SOFÁ RINCONERA / CORNER SOFA SET / SET CANAPÉ D’ANGLE</t>
        </is>
      </c>
      <c r="E100" s="25" t="n">
        <v>1736</v>
      </c>
      <c r="F100" s="25" t="n">
        <v>2607.44</v>
      </c>
      <c r="G100" s="25" t="n">
        <v>871.4400000000001</v>
      </c>
      <c r="H100" s="26" t="n">
        <v>50.2</v>
      </c>
      <c r="I100" s="25" t="n">
        <v>3155</v>
      </c>
      <c r="J100" s="25" t="n">
        <v>0</v>
      </c>
    </row>
    <row r="101" ht="15.75" customHeight="1" s="98">
      <c r="A101" s="27" t="inlineStr">
        <is>
          <t>Hevea</t>
        </is>
      </c>
      <c r="B101" s="27" t="inlineStr">
        <is>
          <t>mesa-comedor-exterior-hpl-13590-cm</t>
        </is>
      </c>
      <c r="C101" s="27" t="inlineStr">
        <is>
          <t>557-010177</t>
        </is>
      </c>
      <c r="D101" s="28" t="inlineStr">
        <is>
          <t>CORCEGA-135x90 HPL MESA COMEDOR / HPL DINING TABLE 135x90 / TABLE À MANGER HPL 135x90</t>
        </is>
      </c>
      <c r="E101" s="29" t="n">
        <v>300</v>
      </c>
      <c r="F101" s="29" t="n">
        <v>450.41</v>
      </c>
      <c r="G101" s="29" t="n">
        <v>150.41</v>
      </c>
      <c r="H101" s="30" t="n">
        <v>50.14</v>
      </c>
      <c r="I101" s="29" t="n">
        <v>545</v>
      </c>
      <c r="J101" s="29" t="n">
        <v>500</v>
      </c>
    </row>
    <row r="102" ht="15.75" customHeight="1" s="98">
      <c r="A102" s="23" t="inlineStr">
        <is>
          <t>Hevea</t>
        </is>
      </c>
      <c r="B102" s="23" t="inlineStr">
        <is>
          <t>mesa-comedor-exterior-hpl-13590-cm</t>
        </is>
      </c>
      <c r="C102" s="23" t="inlineStr">
        <is>
          <t>123-0017</t>
        </is>
      </c>
      <c r="D102" s="24" t="inlineStr">
        <is>
          <t>CORCEGA-160x90 HPL MESA COMEDOR / HPL DINING TABLE 160x90 / TABLE À MANGER HPL 160x90</t>
        </is>
      </c>
      <c r="E102" s="25" t="n">
        <v>328</v>
      </c>
      <c r="F102" s="25" t="n">
        <v>491.74</v>
      </c>
      <c r="G102" s="25" t="n">
        <v>163.74</v>
      </c>
      <c r="H102" s="32" t="n">
        <v>49.92</v>
      </c>
      <c r="I102" s="25" t="n">
        <v>595</v>
      </c>
      <c r="J102" s="25" t="n">
        <v>500</v>
      </c>
    </row>
    <row r="103" ht="15.75" customHeight="1" s="98">
      <c r="A103" s="27" t="inlineStr">
        <is>
          <t>Hevea</t>
        </is>
      </c>
      <c r="B103" s="27" t="inlineStr">
        <is>
          <t>silla-exterior-estilo-estilizado</t>
        </is>
      </c>
      <c r="C103" s="27" t="inlineStr">
        <is>
          <t>123-0002</t>
        </is>
      </c>
      <c r="D103" s="28" t="inlineStr">
        <is>
          <t>SILLA JANEIRO 3 / JANEIRO CHAIR 3 / CHAISE JANEIRO 3</t>
        </is>
      </c>
      <c r="E103" s="29" t="n">
        <v>91</v>
      </c>
      <c r="F103" s="29" t="n">
        <v>136.36</v>
      </c>
      <c r="G103" s="29" t="n">
        <v>45.36</v>
      </c>
      <c r="H103" s="31" t="n">
        <v>49.85</v>
      </c>
      <c r="I103" s="29" t="n">
        <v>165</v>
      </c>
      <c r="J103" s="29" t="n">
        <v>0</v>
      </c>
    </row>
    <row r="104" ht="15.75" customHeight="1" s="98">
      <c r="A104" s="23" t="inlineStr">
        <is>
          <t>Hevea</t>
        </is>
      </c>
      <c r="B104" s="23" t="inlineStr">
        <is>
          <t>silla-exterior-estilo-contemporaneo</t>
        </is>
      </c>
      <c r="C104" s="23" t="inlineStr">
        <is>
          <t>123-0001</t>
        </is>
      </c>
      <c r="D104" s="24" t="inlineStr">
        <is>
          <t>SILLA CÓRCEGA 3 / CORCEGA CHAIR 3 / CHAISE CORSE 3</t>
        </is>
      </c>
      <c r="E104" s="25" t="n">
        <v>80</v>
      </c>
      <c r="F104" s="25" t="n">
        <v>119.83</v>
      </c>
      <c r="G104" s="25" t="n">
        <v>39.83</v>
      </c>
      <c r="H104" s="32" t="n">
        <v>49.79</v>
      </c>
      <c r="I104" s="25" t="n">
        <v>145</v>
      </c>
      <c r="J104" s="25" t="n">
        <v>0</v>
      </c>
    </row>
    <row r="105" ht="15.75" customHeight="1" s="98">
      <c r="A105" s="27" t="inlineStr">
        <is>
          <t>Hevea</t>
        </is>
      </c>
      <c r="B105" s="27" t="inlineStr">
        <is>
          <t>mesa-comedor-exterior-hpl-10090-cm</t>
        </is>
      </c>
      <c r="C105" s="27" t="inlineStr">
        <is>
          <t>123-0013</t>
        </is>
      </c>
      <c r="D105" s="28" t="inlineStr">
        <is>
          <t>MESA HPL MUNDRA Ø100 x 76H / HPL MUNDRA TABLE Ø100 x 76H / TABLE HPL MUNDRA Ø100 x 76H</t>
        </is>
      </c>
      <c r="E105" s="29" t="n">
        <v>264</v>
      </c>
      <c r="F105" s="29" t="n">
        <v>396.69</v>
      </c>
      <c r="G105" s="29" t="n">
        <v>132.69</v>
      </c>
      <c r="H105" s="30" t="n">
        <v>50.26</v>
      </c>
      <c r="I105" s="29" t="n">
        <v>480</v>
      </c>
      <c r="J105" s="29" t="n">
        <v>500</v>
      </c>
    </row>
    <row r="106" ht="15.75" customHeight="1" s="98">
      <c r="A106" s="23" t="inlineStr">
        <is>
          <t>Hevea</t>
        </is>
      </c>
      <c r="B106" s="23" t="inlineStr">
        <is>
          <t>mesa-comedor-exterior-hpl-15090-cm</t>
        </is>
      </c>
      <c r="C106" s="23" t="inlineStr">
        <is>
          <t>557-011019</t>
        </is>
      </c>
      <c r="D106" s="24" t="inlineStr">
        <is>
          <t>HPL MUNDRA 150 MESA / HPL MUNDRA 150 TABLE / TABLE HPL MUNDRA 150</t>
        </is>
      </c>
      <c r="E106" s="25" t="n">
        <v>303</v>
      </c>
      <c r="F106" s="25" t="n">
        <v>454.55</v>
      </c>
      <c r="G106" s="25" t="n">
        <v>151.55</v>
      </c>
      <c r="H106" s="26" t="n">
        <v>50.02</v>
      </c>
      <c r="I106" s="25" t="n">
        <v>550</v>
      </c>
      <c r="J106" s="25" t="n">
        <v>500</v>
      </c>
    </row>
    <row r="107" ht="15.75" customHeight="1" s="98">
      <c r="A107" s="27" t="inlineStr">
        <is>
          <t>Hevea</t>
        </is>
      </c>
      <c r="B107" s="27" t="inlineStr">
        <is>
          <t>sillon-exterior-estilo-versatil-58100-cm</t>
        </is>
      </c>
      <c r="C107" s="27" t="inlineStr">
        <is>
          <t>123-0011</t>
        </is>
      </c>
      <c r="D107" s="28" t="inlineStr">
        <is>
          <t>SILLÓN AVALON-3 / AVALON-3 ARMCHAIR / FAUTEUIL AVALON-3</t>
        </is>
      </c>
      <c r="E107" s="29" t="n">
        <v>53</v>
      </c>
      <c r="F107" s="29" t="n">
        <v>78.51000000000001</v>
      </c>
      <c r="G107" s="29" t="n">
        <v>25.51</v>
      </c>
      <c r="H107" s="31" t="n">
        <v>48.14</v>
      </c>
      <c r="I107" s="29" t="n">
        <v>95</v>
      </c>
      <c r="J107" s="29" t="n">
        <v>0</v>
      </c>
    </row>
    <row r="108" ht="15.75" customHeight="1" s="98">
      <c r="A108" s="23" t="inlineStr">
        <is>
          <t>Hevea</t>
        </is>
      </c>
      <c r="B108" s="23" t="inlineStr">
        <is>
          <t>tumbona-de-exterior</t>
        </is>
      </c>
      <c r="C108" s="23" t="inlineStr">
        <is>
          <t>123-0038</t>
        </is>
      </c>
      <c r="D108" s="24" t="inlineStr">
        <is>
          <t>BRESCIA-12 TUMBONA / SUNBED / BAIN DE SOLEIL</t>
        </is>
      </c>
      <c r="E108" s="25" t="n">
        <v>88</v>
      </c>
      <c r="F108" s="25" t="n">
        <v>132.23</v>
      </c>
      <c r="G108" s="25" t="n">
        <v>44.23</v>
      </c>
      <c r="H108" s="26" t="n">
        <v>50.26</v>
      </c>
      <c r="I108" s="25" t="n">
        <v>160</v>
      </c>
      <c r="J108" s="25" t="n">
        <v>0</v>
      </c>
    </row>
    <row r="109" ht="15.75" customHeight="1" s="98">
      <c r="A109" s="27" t="inlineStr">
        <is>
          <t>Hevea</t>
        </is>
      </c>
      <c r="B109" s="27" t="inlineStr">
        <is>
          <t>parasol-para-terraza-300-cm</t>
        </is>
      </c>
      <c r="C109" s="27" t="inlineStr">
        <is>
          <t>928-0016</t>
        </is>
      </c>
      <c r="D109" s="28" t="inlineStr">
        <is>
          <t>PARASOL VIENA 300 / VIENNA PARASOL 300 / PARASOL VIENNE 300</t>
        </is>
      </c>
      <c r="E109" s="29" t="n">
        <v>165</v>
      </c>
      <c r="F109" s="29" t="n">
        <v>247.93</v>
      </c>
      <c r="G109" s="29" t="n">
        <v>82.93000000000001</v>
      </c>
      <c r="H109" s="30" t="n">
        <v>50.26</v>
      </c>
      <c r="I109" s="29" t="n">
        <v>300</v>
      </c>
      <c r="J109" s="29" t="n">
        <v>0</v>
      </c>
    </row>
    <row r="110" ht="15.75" customHeight="1" s="98">
      <c r="A110" s="23" t="inlineStr">
        <is>
          <t>Hevea</t>
        </is>
      </c>
      <c r="B110" s="23" t="inlineStr">
        <is>
          <t>parasol-para-terraza-350-cm</t>
        </is>
      </c>
      <c r="C110" s="23" t="inlineStr">
        <is>
          <t>557-1682</t>
        </is>
      </c>
      <c r="D110" s="24" t="inlineStr">
        <is>
          <t>PARASOL SAMSON Ø350 / SAMSON PARASOL / PARASOL SAMSON</t>
        </is>
      </c>
      <c r="E110" s="25" t="n">
        <v>490</v>
      </c>
      <c r="F110" s="25" t="n">
        <v>735.54</v>
      </c>
      <c r="G110" s="25" t="n">
        <v>245.54</v>
      </c>
      <c r="H110" s="26" t="n">
        <v>50.11</v>
      </c>
      <c r="I110" s="25" t="n">
        <v>890</v>
      </c>
      <c r="J110" s="25" t="n">
        <v>500</v>
      </c>
    </row>
    <row r="111" ht="15.75" customHeight="1" s="98">
      <c r="A111" s="27" t="inlineStr">
        <is>
          <t>Hevea</t>
        </is>
      </c>
      <c r="B111" s="27" t="inlineStr">
        <is>
          <t>parasol-para-terraza-300-cm-2</t>
        </is>
      </c>
      <c r="C111" s="27" t="inlineStr">
        <is>
          <t>928-0010</t>
        </is>
      </c>
      <c r="D111" s="28" t="inlineStr">
        <is>
          <t>PARASOL CARACAS 300 / CARACAS PARASOL 300 / PARASOL CARACAS 300</t>
        </is>
      </c>
      <c r="E111" s="29" t="n">
        <v>75</v>
      </c>
      <c r="F111" s="29" t="n">
        <v>111.57</v>
      </c>
      <c r="G111" s="29" t="n">
        <v>36.57</v>
      </c>
      <c r="H111" s="31" t="n">
        <v>48.76</v>
      </c>
      <c r="I111" s="29" t="n">
        <v>135</v>
      </c>
      <c r="J111" s="29" t="n">
        <v>0</v>
      </c>
    </row>
    <row r="112" ht="15.75" customHeight="1" s="98">
      <c r="A112" s="23" t="inlineStr">
        <is>
          <t>Hevea</t>
        </is>
      </c>
      <c r="B112" s="23" t="inlineStr">
        <is>
          <t>base-de-parasol-25-kg</t>
        </is>
      </c>
      <c r="C112" s="23" t="inlineStr">
        <is>
          <t>921-0026</t>
        </is>
      </c>
      <c r="D112" s="24" t="inlineStr">
        <is>
          <t>BASE DE PARASOL 25KG</t>
        </is>
      </c>
      <c r="E112" s="25" t="n">
        <v>36</v>
      </c>
      <c r="F112" s="25" t="n">
        <v>53.72</v>
      </c>
      <c r="G112" s="25" t="n">
        <v>17.72</v>
      </c>
      <c r="H112" s="32" t="n">
        <v>49.22</v>
      </c>
      <c r="I112" s="25" t="n">
        <v>65</v>
      </c>
      <c r="J112" s="25" t="n">
        <v>0</v>
      </c>
    </row>
    <row r="113" ht="15.75" customHeight="1" s="98">
      <c r="A113" s="27" t="inlineStr">
        <is>
          <t>Hevea</t>
        </is>
      </c>
      <c r="B113" s="27" t="inlineStr">
        <is>
          <t>set-losas-cemento-para-base-de-parasol</t>
        </is>
      </c>
      <c r="C113" s="27" t="inlineStr">
        <is>
          <t>921-0009</t>
        </is>
      </c>
      <c r="D113" s="28" t="inlineStr">
        <is>
          <t>JUEGO 4 LOSAS CEMENTO BASE PARASOL GRANITE</t>
        </is>
      </c>
      <c r="E113" s="29" t="n">
        <v>99</v>
      </c>
      <c r="F113" s="29" t="n">
        <v>148.76</v>
      </c>
      <c r="G113" s="29" t="n">
        <v>49.76</v>
      </c>
      <c r="H113" s="30" t="n">
        <v>50.26</v>
      </c>
      <c r="I113" s="29" t="n">
        <v>180</v>
      </c>
      <c r="J113" s="29" t="n">
        <v>0</v>
      </c>
    </row>
    <row r="114" ht="15.75" customHeight="1" s="98">
      <c r="A114" s="23" t="inlineStr">
        <is>
          <t>Hevea</t>
        </is>
      </c>
      <c r="B114" s="23" t="inlineStr">
        <is>
          <t>balancin-jardin-exterior-148194-cm</t>
        </is>
      </c>
      <c r="C114" s="23" t="inlineStr">
        <is>
          <t>557-010143</t>
        </is>
      </c>
      <c r="D114" s="24" t="inlineStr">
        <is>
          <t>BALANCÍN SIDNEY</t>
        </is>
      </c>
      <c r="E114" s="25" t="n">
        <v>820</v>
      </c>
      <c r="F114" s="25" t="n">
        <v>1231.4</v>
      </c>
      <c r="G114" s="25" t="n">
        <v>411.4</v>
      </c>
      <c r="H114" s="26" t="n">
        <v>50.17</v>
      </c>
      <c r="I114" s="25" t="n">
        <v>1490</v>
      </c>
      <c r="J114" s="25" t="n">
        <v>0</v>
      </c>
    </row>
    <row r="115" ht="15.75" customHeight="1" s="98">
      <c r="A115" s="27" t="inlineStr">
        <is>
          <t>Hevea</t>
        </is>
      </c>
      <c r="B115" s="27" t="inlineStr">
        <is>
          <t>banco-jardin-con-mesa-integrada-220-cm</t>
        </is>
      </c>
      <c r="C115" s="27" t="inlineStr">
        <is>
          <t>557-010947</t>
        </is>
      </c>
      <c r="D115" s="28" t="inlineStr">
        <is>
          <t>YULIEN BANCO CON MESA / YULIEN BENCH WITH TABLE / BANC YULIEN AVEC TABLE</t>
        </is>
      </c>
      <c r="E115" s="29" t="n">
        <v>1318</v>
      </c>
      <c r="F115" s="29" t="n">
        <v>1979.34</v>
      </c>
      <c r="G115" s="29" t="n">
        <v>661.34</v>
      </c>
      <c r="H115" s="30" t="n">
        <v>50.18</v>
      </c>
      <c r="I115" s="29" t="n">
        <v>2395</v>
      </c>
      <c r="J115" s="29" t="n">
        <v>0</v>
      </c>
    </row>
    <row r="116" ht="15.75" customHeight="1" s="98">
      <c r="A116" s="23" t="inlineStr">
        <is>
          <t>Hevea</t>
        </is>
      </c>
      <c r="B116" s="23" t="inlineStr">
        <is>
          <t>banco-de-exterior-150-cm</t>
        </is>
      </c>
      <c r="C116" s="23" t="inlineStr">
        <is>
          <t>557-010016</t>
        </is>
      </c>
      <c r="D116" s="24" t="inlineStr">
        <is>
          <t>GULLIVER BANCO / GULLIVER BENCH / BANC GULLIVER</t>
        </is>
      </c>
      <c r="E116" s="25" t="n">
        <v>193</v>
      </c>
      <c r="F116" s="25" t="n">
        <v>289.26</v>
      </c>
      <c r="G116" s="25" t="n">
        <v>96.26000000000001</v>
      </c>
      <c r="H116" s="32" t="n">
        <v>49.87</v>
      </c>
      <c r="I116" s="25" t="n">
        <v>350</v>
      </c>
      <c r="J116" s="25" t="n">
        <v>500</v>
      </c>
    </row>
    <row r="117" ht="15.75" customHeight="1" s="98">
      <c r="A117" s="27" t="inlineStr">
        <is>
          <t>Hevea</t>
        </is>
      </c>
      <c r="B117" s="27" t="inlineStr">
        <is>
          <t>banco-de-exterior-108-cm</t>
        </is>
      </c>
      <c r="C117" s="27" t="inlineStr">
        <is>
          <t>557-011350</t>
        </is>
      </c>
      <c r="D117" s="28" t="inlineStr">
        <is>
          <t>SEVILLA BANCO / SEVILLA BENCH / BANC SEVILLA</t>
        </is>
      </c>
      <c r="E117" s="29" t="n">
        <v>174</v>
      </c>
      <c r="F117" s="29" t="n">
        <v>260.33</v>
      </c>
      <c r="G117" s="29" t="n">
        <v>86.33</v>
      </c>
      <c r="H117" s="31" t="n">
        <v>49.62</v>
      </c>
      <c r="I117" s="29" t="n">
        <v>315</v>
      </c>
      <c r="J117" s="29" t="n">
        <v>500</v>
      </c>
    </row>
    <row r="118" ht="15.75" customHeight="1" s="98">
      <c r="D118" s="18" t="inlineStr">
        <is>
          <t>TOTAL / MEDIA</t>
        </is>
      </c>
      <c r="E118" s="19">
        <f>SUM(E2:E117)</f>
        <v/>
      </c>
      <c r="F118" s="19">
        <f>SUM(F2:F117)</f>
        <v/>
      </c>
      <c r="G118" s="19">
        <f>SUM(G2:G117)</f>
        <v/>
      </c>
      <c r="H118" s="20">
        <f>AVERAGE(H2:H117)</f>
        <v/>
      </c>
    </row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/>
  <cols>
    <col width="12" customWidth="1" style="98" min="1" max="1"/>
    <col width="45" customWidth="1" style="98" min="2" max="2"/>
    <col width="42" customWidth="1" style="98" min="3" max="3"/>
    <col width="52" customWidth="1" style="98" min="4" max="4"/>
    <col width="18" customWidth="1" style="98" min="5" max="5"/>
    <col width="20" customWidth="1" style="98" min="6" max="6"/>
    <col width="14" customWidth="1" style="98" min="7" max="7"/>
    <col width="12" customWidth="1" style="98" min="8" max="8"/>
    <col width="18" customWidth="1" style="98" min="9" max="9"/>
    <col width="14" customWidth="1" style="98" min="10" max="10"/>
    <col width="8.6640625" customWidth="1" style="98" min="11" max="26"/>
  </cols>
  <sheetData>
    <row r="1" ht="31.5" customHeight="1" s="98">
      <c r="A1" s="33" t="inlineStr">
        <is>
          <t>Proveedor</t>
        </is>
      </c>
      <c r="B1" s="33" t="inlineStr">
        <is>
          <t>Handle Shopify</t>
        </is>
      </c>
      <c r="C1" s="33" t="inlineStr">
        <is>
          <t>SKU</t>
        </is>
      </c>
      <c r="D1" s="33" t="inlineStr">
        <is>
          <t>Producto</t>
        </is>
      </c>
      <c r="E1" s="33" t="inlineStr">
        <is>
          <t>Coste neto
(sin IVA)</t>
        </is>
      </c>
      <c r="F1" s="33" t="inlineStr">
        <is>
          <t>Precio Venta
(con IVA 21%)</t>
        </is>
      </c>
      <c r="G1" s="33" t="inlineStr">
        <is>
          <t>Margen €</t>
        </is>
      </c>
      <c r="H1" s="33" t="inlineStr">
        <is>
          <t>Margen %</t>
        </is>
      </c>
      <c r="I1" s="33" t="inlineStr">
        <is>
          <t>PVP Recomendado</t>
        </is>
      </c>
      <c r="J1" s="33" t="inlineStr">
        <is>
          <t>Coste Envío</t>
        </is>
      </c>
    </row>
    <row r="2" ht="15.75" customHeight="1" s="98">
      <c r="A2" s="34" t="inlineStr">
        <is>
          <t>Balliu</t>
        </is>
      </c>
      <c r="B2" s="34" t="inlineStr">
        <is>
          <t>balliu-tumbona-de-exterior-resina-923110d9</t>
        </is>
      </c>
      <c r="C2" s="34" t="inlineStr">
        <is>
          <t>BALLIU_EVA_PRO_TUMBONA_CHASIS_BLANCO_TA_923110D9</t>
        </is>
      </c>
      <c r="D2" s="35" t="inlineStr">
        <is>
          <t>Tumbona de exterior resina</t>
        </is>
      </c>
      <c r="E2" s="36" t="n">
        <v>112.55</v>
      </c>
      <c r="F2" s="36" t="n">
        <v>230.73</v>
      </c>
      <c r="G2" s="36" t="n">
        <v>64.09999999999999</v>
      </c>
      <c r="H2" s="37" t="n">
        <v>56.95</v>
      </c>
      <c r="I2" s="36" t="n">
        <v>230.73</v>
      </c>
      <c r="J2" s="36" t="n">
        <v>0</v>
      </c>
    </row>
    <row r="3" ht="15.75" customHeight="1" s="98">
      <c r="A3" s="38" t="inlineStr">
        <is>
          <t>Balliu</t>
        </is>
      </c>
      <c r="B3" s="38" t="inlineStr">
        <is>
          <t>balliu-tumbona-de-exterior-resina-73-cm-b19af1ea</t>
        </is>
      </c>
      <c r="C3" s="38" t="inlineStr">
        <is>
          <t>BALLIU_EVA_PRO_TUMBONA_CHASIS_BLANCO_TE_B19AF1EA</t>
        </is>
      </c>
      <c r="D3" s="39" t="inlineStr">
        <is>
          <t>Tumbona de exterior resina</t>
        </is>
      </c>
      <c r="E3" s="40" t="n">
        <v>117.05</v>
      </c>
      <c r="F3" s="40" t="n">
        <v>239.95</v>
      </c>
      <c r="G3" s="40" t="n">
        <v>66.66</v>
      </c>
      <c r="H3" s="41" t="n">
        <v>56.95</v>
      </c>
      <c r="I3" s="40" t="n">
        <v>239.95</v>
      </c>
      <c r="J3" s="40" t="n">
        <v>0</v>
      </c>
    </row>
    <row r="4" ht="15.75" customHeight="1" s="98">
      <c r="A4" s="34" t="inlineStr">
        <is>
          <t>Balliu</t>
        </is>
      </c>
      <c r="B4" s="34" t="inlineStr">
        <is>
          <t>balliu-tumbona-de-exterior-resina-ddeeef3f</t>
        </is>
      </c>
      <c r="C4" s="34" t="inlineStr">
        <is>
          <t>BALLIU_EVA_PRO_TUMBONA_CHASIS_PRESTIGE__DDEEEF3F</t>
        </is>
      </c>
      <c r="D4" s="35" t="inlineStr">
        <is>
          <t>Tumbona de exterior resina</t>
        </is>
      </c>
      <c r="E4" s="36" t="n">
        <v>124.07</v>
      </c>
      <c r="F4" s="36" t="n">
        <v>254.34</v>
      </c>
      <c r="G4" s="36" t="n">
        <v>70.66</v>
      </c>
      <c r="H4" s="37" t="n">
        <v>56.95</v>
      </c>
      <c r="I4" s="36" t="n">
        <v>254.34</v>
      </c>
      <c r="J4" s="36" t="n">
        <v>0</v>
      </c>
    </row>
    <row r="5" ht="15.75" customHeight="1" s="98">
      <c r="A5" s="38" t="inlineStr">
        <is>
          <t>Balliu</t>
        </is>
      </c>
      <c r="B5" s="38" t="inlineStr">
        <is>
          <t>balliu-tumbona-de-exterior-resina-75-cm-009e68e4</t>
        </is>
      </c>
      <c r="C5" s="38" t="inlineStr">
        <is>
          <t>BALLIU_CARMEN_TUMBONA_CHASIS_BLANCO_TA_ADD04DFC</t>
        </is>
      </c>
      <c r="D5" s="39" t="inlineStr">
        <is>
          <t>Tumbona de exterior resina | 75 cm</t>
        </is>
      </c>
      <c r="E5" s="40" t="n">
        <v>107.1</v>
      </c>
      <c r="F5" s="40" t="n">
        <v>219.56</v>
      </c>
      <c r="G5" s="40" t="n">
        <v>60.99</v>
      </c>
      <c r="H5" s="41" t="n">
        <v>56.95</v>
      </c>
      <c r="I5" s="40" t="n">
        <v>219.56</v>
      </c>
      <c r="J5" s="40" t="n">
        <v>0</v>
      </c>
    </row>
    <row r="6" ht="15.75" customHeight="1" s="98">
      <c r="A6" s="34" t="inlineStr">
        <is>
          <t>Balliu</t>
        </is>
      </c>
      <c r="B6" s="34" t="inlineStr">
        <is>
          <t>balliu-tumbona-de-exterior-resina-75-cm-009e68e4</t>
        </is>
      </c>
      <c r="C6" s="34" t="inlineStr">
        <is>
          <t>BALLIU_CARMEN_TUMBONA_CHASIS_PRESTIGE__3B908F70</t>
        </is>
      </c>
      <c r="D6" s="35" t="inlineStr">
        <is>
          <t>Tumbona de exterior resina | 75 cm</t>
        </is>
      </c>
      <c r="E6" s="36" t="n">
        <v>112.55</v>
      </c>
      <c r="F6" s="36" t="n">
        <v>230.73</v>
      </c>
      <c r="G6" s="36" t="n">
        <v>64.09999999999999</v>
      </c>
      <c r="H6" s="37" t="n">
        <v>56.95</v>
      </c>
      <c r="I6" s="36" t="n">
        <v>230.73</v>
      </c>
      <c r="J6" s="36" t="n">
        <v>0</v>
      </c>
    </row>
    <row r="7" ht="15.75" customHeight="1" s="98">
      <c r="A7" s="38" t="inlineStr">
        <is>
          <t>Balliu</t>
        </is>
      </c>
      <c r="B7" s="38" t="inlineStr">
        <is>
          <t>balliu-tumbona-de-exterior-resina-75-cm-009e68e4</t>
        </is>
      </c>
      <c r="C7" s="38" t="inlineStr">
        <is>
          <t>BALLIU_CARMEN_TUMBONA_CHASIS_BLANCO_TE_009E68E4</t>
        </is>
      </c>
      <c r="D7" s="39" t="inlineStr">
        <is>
          <t>Tumbona de exterior resina | 75 cm</t>
        </is>
      </c>
      <c r="E7" s="40" t="n">
        <v>93.89</v>
      </c>
      <c r="F7" s="40" t="n">
        <v>192.47</v>
      </c>
      <c r="G7" s="40" t="n">
        <v>53.47</v>
      </c>
      <c r="H7" s="41" t="n">
        <v>56.95</v>
      </c>
      <c r="I7" s="40" t="n">
        <v>192.47</v>
      </c>
      <c r="J7" s="40" t="n">
        <v>0</v>
      </c>
    </row>
    <row r="8" ht="15.75" customHeight="1" s="98">
      <c r="A8" s="34" t="inlineStr">
        <is>
          <t>Balliu</t>
        </is>
      </c>
      <c r="B8" s="34" t="inlineStr">
        <is>
          <t>balliu-tumbona-de-exterior-resina-75-cm-009e68e4</t>
        </is>
      </c>
      <c r="C8" s="34" t="inlineStr">
        <is>
          <t>BALLIU_CARMEN_TUMBONA_CHASIS_PRESTIGE__16A6D4DB</t>
        </is>
      </c>
      <c r="D8" s="35" t="inlineStr">
        <is>
          <t>Tumbona de exterior resina | 75 cm</t>
        </is>
      </c>
      <c r="E8" s="36" t="n">
        <v>96.47</v>
      </c>
      <c r="F8" s="36" t="n">
        <v>197.76</v>
      </c>
      <c r="G8" s="36" t="n">
        <v>54.94</v>
      </c>
      <c r="H8" s="37" t="n">
        <v>56.95</v>
      </c>
      <c r="I8" s="36" t="n">
        <v>197.76</v>
      </c>
      <c r="J8" s="36" t="n">
        <v>0</v>
      </c>
    </row>
    <row r="9" ht="15.75" customHeight="1" s="98">
      <c r="A9" s="38" t="inlineStr">
        <is>
          <t>Balliu</t>
        </is>
      </c>
      <c r="B9" s="38" t="inlineStr">
        <is>
          <t>balliu-tumbona-de-exterior-resina-75-cm-aca076ae</t>
        </is>
      </c>
      <c r="C9" s="38" t="inlineStr">
        <is>
          <t>BALLIU_LOLA_TUMBONA_CHASIS_BLANCO_TA_3D8CA52F</t>
        </is>
      </c>
      <c r="D9" s="39" t="inlineStr">
        <is>
          <t>Tumbona de exterior resina | 75 cm</t>
        </is>
      </c>
      <c r="E9" s="40" t="n">
        <v>106.97</v>
      </c>
      <c r="F9" s="40" t="n">
        <v>219.29</v>
      </c>
      <c r="G9" s="40" t="n">
        <v>60.92</v>
      </c>
      <c r="H9" s="41" t="n">
        <v>56.95</v>
      </c>
      <c r="I9" s="40" t="n">
        <v>219.29</v>
      </c>
      <c r="J9" s="40" t="n">
        <v>0</v>
      </c>
    </row>
    <row r="10" ht="15.75" customHeight="1" s="98">
      <c r="A10" s="34" t="inlineStr">
        <is>
          <t>Balliu</t>
        </is>
      </c>
      <c r="B10" s="34" t="inlineStr">
        <is>
          <t>balliu-tumbona-de-exterior-resina-75-cm-aca076ae</t>
        </is>
      </c>
      <c r="C10" s="34" t="inlineStr">
        <is>
          <t>BALLIU_LOLA_TUMBONA_CHASIS_PRESTIGE__9F313C12</t>
        </is>
      </c>
      <c r="D10" s="35" t="inlineStr">
        <is>
          <t>Tumbona de exterior resina | 75 cm</t>
        </is>
      </c>
      <c r="E10" s="36" t="n">
        <v>108.81</v>
      </c>
      <c r="F10" s="36" t="n">
        <v>223.06</v>
      </c>
      <c r="G10" s="36" t="n">
        <v>61.97</v>
      </c>
      <c r="H10" s="37" t="n">
        <v>56.95</v>
      </c>
      <c r="I10" s="36" t="n">
        <v>223.06</v>
      </c>
      <c r="J10" s="36" t="n">
        <v>0</v>
      </c>
    </row>
    <row r="11" ht="15.75" customHeight="1" s="98">
      <c r="A11" s="38" t="inlineStr">
        <is>
          <t>Balliu</t>
        </is>
      </c>
      <c r="B11" s="38" t="inlineStr">
        <is>
          <t>balliu-tumbona-de-exterior-resina-75-cm-aca076ae</t>
        </is>
      </c>
      <c r="C11" s="38" t="inlineStr">
        <is>
          <t>BALLIU_LOLA_TUMBONA_CHASIS_BLANCO_TE_ACA076AE</t>
        </is>
      </c>
      <c r="D11" s="39" t="inlineStr">
        <is>
          <t>Tumbona de exterior resina | 75 cm</t>
        </is>
      </c>
      <c r="E11" s="40" t="n">
        <v>93.34</v>
      </c>
      <c r="F11" s="40" t="n">
        <v>191.35</v>
      </c>
      <c r="G11" s="40" t="n">
        <v>53.16</v>
      </c>
      <c r="H11" s="41" t="n">
        <v>56.95</v>
      </c>
      <c r="I11" s="40" t="n">
        <v>191.35</v>
      </c>
      <c r="J11" s="40" t="n">
        <v>0</v>
      </c>
    </row>
    <row r="12" ht="15.75" customHeight="1" s="98">
      <c r="A12" s="34" t="inlineStr">
        <is>
          <t>Balliu</t>
        </is>
      </c>
      <c r="B12" s="34" t="inlineStr">
        <is>
          <t>balliu-tumbona-de-exterior-resina-75-cm-aca076ae</t>
        </is>
      </c>
      <c r="C12" s="34" t="inlineStr">
        <is>
          <t>BALLIU_LOLA_TUMBONA_CHASIS_PRESTIGE__B52B3A7F</t>
        </is>
      </c>
      <c r="D12" s="35" t="inlineStr">
        <is>
          <t>Tumbona de exterior resina | 75 cm</t>
        </is>
      </c>
      <c r="E12" s="36" t="n">
        <v>96.2</v>
      </c>
      <c r="F12" s="36" t="n">
        <v>197.21</v>
      </c>
      <c r="G12" s="36" t="n">
        <v>54.79</v>
      </c>
      <c r="H12" s="37" t="n">
        <v>56.95</v>
      </c>
      <c r="I12" s="36" t="n">
        <v>197.21</v>
      </c>
      <c r="J12" s="36" t="n">
        <v>0</v>
      </c>
    </row>
    <row r="13" ht="15.75" customHeight="1" s="98">
      <c r="A13" s="38" t="inlineStr">
        <is>
          <t>Balliu</t>
        </is>
      </c>
      <c r="B13" s="38" t="inlineStr">
        <is>
          <t>balliu-tumbona-de-exterior-resina-73-cm-b19af1ea</t>
        </is>
      </c>
      <c r="C13" s="38" t="inlineStr">
        <is>
          <t>BALLIU_EVA_PRO_TUMBONA_CHASIS_BLANCO_TE_B19AF1EA</t>
        </is>
      </c>
      <c r="D13" s="39" t="inlineStr">
        <is>
          <t>Tumbona de exterior resina | 73 cm</t>
        </is>
      </c>
      <c r="E13" s="40" t="n">
        <v>82.84999999999999</v>
      </c>
      <c r="F13" s="40" t="n">
        <v>169.84</v>
      </c>
      <c r="G13" s="40" t="n">
        <v>47.18</v>
      </c>
      <c r="H13" s="41" t="n">
        <v>56.95</v>
      </c>
      <c r="I13" s="40" t="n">
        <v>169.84</v>
      </c>
      <c r="J13" s="40" t="n">
        <v>0</v>
      </c>
    </row>
    <row r="14" ht="15.75" customHeight="1" s="98">
      <c r="A14" s="34" t="inlineStr">
        <is>
          <t>Balliu</t>
        </is>
      </c>
      <c r="B14" s="34" t="inlineStr">
        <is>
          <t>balliu-tumbona-de-exterior-resina-73-cm-32a6c0ea</t>
        </is>
      </c>
      <c r="C14" s="34" t="inlineStr">
        <is>
          <t>BALLIU_EVA_PRO_TUMBONA_CHASIS_BLANCO_TA_32A6C0EA</t>
        </is>
      </c>
      <c r="D14" s="35" t="inlineStr">
        <is>
          <t>Tumbona de exterior resina | 73 cm</t>
        </is>
      </c>
      <c r="E14" s="36" t="n">
        <v>89.39</v>
      </c>
      <c r="F14" s="36" t="n">
        <v>183.25</v>
      </c>
      <c r="G14" s="36" t="n">
        <v>50.91</v>
      </c>
      <c r="H14" s="37" t="n">
        <v>56.95</v>
      </c>
      <c r="I14" s="36" t="n">
        <v>183.25</v>
      </c>
      <c r="J14" s="36" t="n">
        <v>0</v>
      </c>
    </row>
    <row r="15" ht="15.75" customHeight="1" s="98">
      <c r="A15" s="38" t="inlineStr">
        <is>
          <t>Balliu</t>
        </is>
      </c>
      <c r="B15" s="38" t="inlineStr">
        <is>
          <t>balliu-tumbona-de-exterior-resina-73-cm-d369d964</t>
        </is>
      </c>
      <c r="C15" s="38" t="inlineStr">
        <is>
          <t>BALLIU_EVA_RG_TUMBONA_CHASIS_BLANCO_TE_D369D964</t>
        </is>
      </c>
      <c r="D15" s="39" t="inlineStr">
        <is>
          <t>Tumbona de exterior resina | 73 cm</t>
        </is>
      </c>
      <c r="E15" s="40" t="n">
        <v>94.7</v>
      </c>
      <c r="F15" s="40" t="n">
        <v>194.14</v>
      </c>
      <c r="G15" s="40" t="n">
        <v>53.93</v>
      </c>
      <c r="H15" s="41" t="n">
        <v>56.95</v>
      </c>
      <c r="I15" s="40" t="n">
        <v>194.14</v>
      </c>
      <c r="J15" s="40" t="n">
        <v>0</v>
      </c>
    </row>
    <row r="16" ht="15.75" customHeight="1" s="98">
      <c r="A16" s="34" t="inlineStr">
        <is>
          <t>Balliu</t>
        </is>
      </c>
      <c r="B16" s="34" t="inlineStr">
        <is>
          <t>balliu-tumbona-de-exterior-resina-73-cm-d369d964</t>
        </is>
      </c>
      <c r="C16" s="34" t="inlineStr">
        <is>
          <t>BALLIU_EVA_RG_TUMBONA_CHASIS_ARENA_TEL_D8285FFB</t>
        </is>
      </c>
      <c r="D16" s="35" t="inlineStr">
        <is>
          <t>Tumbona de exterior resina | 73 cm</t>
        </is>
      </c>
      <c r="E16" s="36" t="n">
        <v>98.52</v>
      </c>
      <c r="F16" s="36" t="n">
        <v>201.97</v>
      </c>
      <c r="G16" s="36" t="n">
        <v>56.11</v>
      </c>
      <c r="H16" s="37" t="n">
        <v>56.95</v>
      </c>
      <c r="I16" s="36" t="n">
        <v>201.97</v>
      </c>
      <c r="J16" s="36" t="n">
        <v>0</v>
      </c>
    </row>
    <row r="17" ht="15.75" customHeight="1" s="98">
      <c r="A17" s="38" t="inlineStr">
        <is>
          <t>Balliu</t>
        </is>
      </c>
      <c r="B17" s="38" t="inlineStr">
        <is>
          <t>balliu-tumbona-de-exterior-resina-73-cm-0648657b</t>
        </is>
      </c>
      <c r="C17" s="38" t="inlineStr">
        <is>
          <t>BALLIU_EVA_RTG_TUMBONA_CHASIS_BLANCO_TA_0648657B</t>
        </is>
      </c>
      <c r="D17" s="39" t="inlineStr">
        <is>
          <t>Tumbona de exterior resina | 73 cm</t>
        </is>
      </c>
      <c r="E17" s="40" t="n">
        <v>97.43000000000001</v>
      </c>
      <c r="F17" s="40" t="n">
        <v>199.73</v>
      </c>
      <c r="G17" s="40" t="n">
        <v>55.49</v>
      </c>
      <c r="H17" s="41" t="n">
        <v>56.95</v>
      </c>
      <c r="I17" s="40" t="n">
        <v>199.73</v>
      </c>
      <c r="J17" s="40" t="n">
        <v>0</v>
      </c>
    </row>
    <row r="18" ht="15.75" customHeight="1" s="98">
      <c r="A18" s="34" t="inlineStr">
        <is>
          <t>Balliu</t>
        </is>
      </c>
      <c r="B18" s="34" t="inlineStr">
        <is>
          <t>balliu-tumbona-de-exterior-resina-28ff014d</t>
        </is>
      </c>
      <c r="C18" s="34" t="inlineStr">
        <is>
          <t>BALLIU_NOA_TUMBONA_CHASIS_BLANCO_TE_28FF014D</t>
        </is>
      </c>
      <c r="D18" s="35" t="inlineStr">
        <is>
          <t>Tumbona de exterior resina</t>
        </is>
      </c>
      <c r="E18" s="36" t="n">
        <v>215.24</v>
      </c>
      <c r="F18" s="36" t="n">
        <v>441.24</v>
      </c>
      <c r="G18" s="36" t="n">
        <v>122.58</v>
      </c>
      <c r="H18" s="37" t="n">
        <v>56.95</v>
      </c>
      <c r="I18" s="36" t="n">
        <v>441.24</v>
      </c>
      <c r="J18" s="36" t="n">
        <v>0</v>
      </c>
    </row>
    <row r="19" ht="15.75" customHeight="1" s="98">
      <c r="A19" s="38" t="inlineStr">
        <is>
          <t>Balliu</t>
        </is>
      </c>
      <c r="B19" s="38" t="inlineStr">
        <is>
          <t>balliu-tumbona-de-exterior-resina-28ff014d</t>
        </is>
      </c>
      <c r="C19" s="38" t="inlineStr">
        <is>
          <t>BALLIU_NOA_TUMBONA_CHASIS_PRESTIGE__E5BE2A33</t>
        </is>
      </c>
      <c r="D19" s="39" t="inlineStr">
        <is>
          <t>Tumbona de exterior resina</t>
        </is>
      </c>
      <c r="E19" s="40" t="n">
        <v>225.25</v>
      </c>
      <c r="F19" s="40" t="n">
        <v>461.76</v>
      </c>
      <c r="G19" s="40" t="n">
        <v>128.28</v>
      </c>
      <c r="H19" s="41" t="n">
        <v>56.95</v>
      </c>
      <c r="I19" s="40" t="n">
        <v>461.76</v>
      </c>
      <c r="J19" s="40" t="n">
        <v>0</v>
      </c>
    </row>
    <row r="20" ht="15.75" customHeight="1" s="98">
      <c r="A20" s="34" t="inlineStr">
        <is>
          <t>Balliu</t>
        </is>
      </c>
      <c r="B20" s="34" t="inlineStr">
        <is>
          <t>balliu-tumbona-de-exterior-sin-ruedas-aluminio-da3f5c24</t>
        </is>
      </c>
      <c r="C20" s="34" t="inlineStr">
        <is>
          <t>BALLIU_OLIMPIA_TUMBONA_SIN_RUEDAS_DA3F5C24</t>
        </is>
      </c>
      <c r="D20" s="35" t="inlineStr">
        <is>
          <t>Tumbona de exterior sin ruedas aluminio</t>
        </is>
      </c>
      <c r="E20" s="36" t="n">
        <v>287.64</v>
      </c>
      <c r="F20" s="36" t="n">
        <v>589.66</v>
      </c>
      <c r="G20" s="36" t="n">
        <v>163.81</v>
      </c>
      <c r="H20" s="37" t="n">
        <v>56.95</v>
      </c>
      <c r="I20" s="36" t="n">
        <v>589.66</v>
      </c>
      <c r="J20" s="36" t="n">
        <v>0</v>
      </c>
    </row>
    <row r="21" ht="15.75" customHeight="1" s="98">
      <c r="A21" s="38" t="inlineStr">
        <is>
          <t>Balliu</t>
        </is>
      </c>
      <c r="B21" s="38" t="inlineStr">
        <is>
          <t>balliu-tumbona-de-exterior-sin-ruedas-aluminio-da3f5c24</t>
        </is>
      </c>
      <c r="C21" s="38" t="inlineStr">
        <is>
          <t>BALLIU_OLIMPIA_TUMBONA_CON_RUEDAS_82D4D0A8</t>
        </is>
      </c>
      <c r="D21" s="39" t="inlineStr">
        <is>
          <t>Tumbona de exterior con ruedas aluminio</t>
        </is>
      </c>
      <c r="E21" s="40" t="n">
        <v>315.63</v>
      </c>
      <c r="F21" s="40" t="n">
        <v>647.04</v>
      </c>
      <c r="G21" s="40" t="n">
        <v>179.75</v>
      </c>
      <c r="H21" s="41" t="n">
        <v>56.95</v>
      </c>
      <c r="I21" s="40" t="n">
        <v>647.04</v>
      </c>
      <c r="J21" s="40" t="n">
        <v>0</v>
      </c>
    </row>
    <row r="22" ht="15.75" customHeight="1" s="98">
      <c r="A22" s="34" t="inlineStr">
        <is>
          <t>Balliu</t>
        </is>
      </c>
      <c r="B22" s="34" t="inlineStr">
        <is>
          <t>balliu-tumbona-de-exterior-aluminio-36870d09</t>
        </is>
      </c>
      <c r="C22" s="34" t="inlineStr">
        <is>
          <t>BALLIU_ETNA_TUMBONA_TELA_BALLIU_36870D09</t>
        </is>
      </c>
      <c r="D22" s="35" t="inlineStr">
        <is>
          <t>Tumbona de exterior aluminio</t>
        </is>
      </c>
      <c r="E22" s="36" t="n">
        <v>229.08</v>
      </c>
      <c r="F22" s="36" t="n">
        <v>469.61</v>
      </c>
      <c r="G22" s="36" t="n">
        <v>130.46</v>
      </c>
      <c r="H22" s="37" t="n">
        <v>56.95</v>
      </c>
      <c r="I22" s="36" t="n">
        <v>469.61</v>
      </c>
      <c r="J22" s="36" t="n">
        <v>0</v>
      </c>
    </row>
    <row r="23" ht="15.75" customHeight="1" s="98">
      <c r="A23" s="38" t="inlineStr">
        <is>
          <t>Balliu</t>
        </is>
      </c>
      <c r="B23" s="38" t="inlineStr">
        <is>
          <t>balliu-tumbona-de-exterior-aluminio-36870d09</t>
        </is>
      </c>
      <c r="C23" s="38" t="inlineStr">
        <is>
          <t>BALLIU_ETNA_TUMBONA_TELA_BALLIU_CON__AFBA154C</t>
        </is>
      </c>
      <c r="D23" s="39" t="inlineStr">
        <is>
          <t>Tumbona de exterior con ruedas aluminio</t>
        </is>
      </c>
      <c r="E23" s="40" t="n">
        <v>252.74</v>
      </c>
      <c r="F23" s="40" t="n">
        <v>518.12</v>
      </c>
      <c r="G23" s="40" t="n">
        <v>143.93</v>
      </c>
      <c r="H23" s="41" t="n">
        <v>56.95</v>
      </c>
      <c r="I23" s="40" t="n">
        <v>518.12</v>
      </c>
      <c r="J23" s="40" t="n">
        <v>0</v>
      </c>
    </row>
    <row r="24" ht="15.75" customHeight="1" s="98">
      <c r="A24" s="34" t="inlineStr">
        <is>
          <t>Balliu</t>
        </is>
      </c>
      <c r="B24" s="34" t="inlineStr">
        <is>
          <t>balliu-tumbona-de-exterior-aluminio-d08586c1</t>
        </is>
      </c>
      <c r="C24" s="34" t="inlineStr">
        <is>
          <t>BALLIU_ETNA_ALTA_TUMBONA_AL_TELA_BALLIU_D08586C1</t>
        </is>
      </c>
      <c r="D24" s="35" t="inlineStr">
        <is>
          <t>Tumbona de exterior aluminio</t>
        </is>
      </c>
      <c r="E24" s="36" t="n">
        <v>248.76</v>
      </c>
      <c r="F24" s="36" t="n">
        <v>509.96</v>
      </c>
      <c r="G24" s="36" t="n">
        <v>141.67</v>
      </c>
      <c r="H24" s="37" t="n">
        <v>56.95</v>
      </c>
      <c r="I24" s="36" t="n">
        <v>509.96</v>
      </c>
      <c r="J24" s="36" t="n">
        <v>0</v>
      </c>
    </row>
    <row r="25" ht="15.75" customHeight="1" s="98">
      <c r="A25" s="38" t="inlineStr">
        <is>
          <t>Balliu</t>
        </is>
      </c>
      <c r="B25" s="38" t="inlineStr">
        <is>
          <t>balliu-tumbona-de-exterior-aluminio-d08586c1</t>
        </is>
      </c>
      <c r="C25" s="38" t="inlineStr">
        <is>
          <t>BALLIU_ETNA_ALTA_TUMBONA_AL_TELA_BALLIU_CON__9E0F219D</t>
        </is>
      </c>
      <c r="D25" s="39" t="inlineStr">
        <is>
          <t>Tumbona de exterior con ruedas aluminio</t>
        </is>
      </c>
      <c r="E25" s="40" t="n">
        <v>266.56</v>
      </c>
      <c r="F25" s="40" t="n">
        <v>546.45</v>
      </c>
      <c r="G25" s="40" t="n">
        <v>151.81</v>
      </c>
      <c r="H25" s="41" t="n">
        <v>56.95</v>
      </c>
      <c r="I25" s="40" t="n">
        <v>546.45</v>
      </c>
      <c r="J25" s="40" t="n">
        <v>0</v>
      </c>
    </row>
    <row r="26" ht="15.75" customHeight="1" s="98">
      <c r="A26" s="34" t="inlineStr">
        <is>
          <t>Balliu</t>
        </is>
      </c>
      <c r="B26" s="34" t="inlineStr">
        <is>
          <t>balliu-tumbona-de-exterior-con-ruedas-aluminio-58-cm-9064b7b9</t>
        </is>
      </c>
      <c r="C26" s="34" t="inlineStr">
        <is>
          <t>BALLIU_IRIS_TUMBONA_CON_RUEDAS_9064B7B9</t>
        </is>
      </c>
      <c r="D26" s="35" t="inlineStr">
        <is>
          <t>Tumbona de exterior con ruedas aluminio | 58 cm</t>
        </is>
      </c>
      <c r="E26" s="36" t="n">
        <v>337.77</v>
      </c>
      <c r="F26" s="36" t="n">
        <v>692.4299999999999</v>
      </c>
      <c r="G26" s="36" t="n">
        <v>192.36</v>
      </c>
      <c r="H26" s="37" t="n">
        <v>56.95</v>
      </c>
      <c r="I26" s="36" t="n">
        <v>692.4299999999999</v>
      </c>
      <c r="J26" s="36" t="n">
        <v>0</v>
      </c>
    </row>
    <row r="27" ht="15.75" customHeight="1" s="98">
      <c r="A27" s="38" t="inlineStr">
        <is>
          <t>Balliu</t>
        </is>
      </c>
      <c r="B27" s="38" t="inlineStr">
        <is>
          <t>balliu-tumbona-de-exterior-aluminio-68-cm-f7ab4da8</t>
        </is>
      </c>
      <c r="C27" s="38" t="inlineStr">
        <is>
          <t>BALLIU_MARINA_TUMBONA_TELA_BALLIU_F7AB4DA8</t>
        </is>
      </c>
      <c r="D27" s="39" t="inlineStr">
        <is>
          <t>Tumbona de exterior aluminio | 68 cm</t>
        </is>
      </c>
      <c r="E27" s="40" t="n">
        <v>173.92</v>
      </c>
      <c r="F27" s="40" t="n">
        <v>356.54</v>
      </c>
      <c r="G27" s="40" t="n">
        <v>99.05</v>
      </c>
      <c r="H27" s="41" t="n">
        <v>56.95</v>
      </c>
      <c r="I27" s="40" t="n">
        <v>356.54</v>
      </c>
      <c r="J27" s="40" t="n">
        <v>0</v>
      </c>
    </row>
    <row r="28" ht="15.75" customHeight="1" s="98">
      <c r="A28" s="34" t="inlineStr">
        <is>
          <t>Balliu</t>
        </is>
      </c>
      <c r="B28" s="34" t="inlineStr">
        <is>
          <t>balliu-tumbona-de-exterior-20620134</t>
        </is>
      </c>
      <c r="C28" s="34" t="inlineStr">
        <is>
          <t>BALLIU_ALBA_TUMBONA_TELA_BALLIU_20620134</t>
        </is>
      </c>
      <c r="D28" s="35" t="inlineStr">
        <is>
          <t>Tumbona de exterior</t>
        </is>
      </c>
      <c r="E28" s="36" t="n">
        <v>226.62</v>
      </c>
      <c r="F28" s="36" t="n">
        <v>464.57</v>
      </c>
      <c r="G28" s="36" t="n">
        <v>129.06</v>
      </c>
      <c r="H28" s="37" t="n">
        <v>56.95</v>
      </c>
      <c r="I28" s="36" t="n">
        <v>464.57</v>
      </c>
      <c r="J28" s="36" t="n">
        <v>0</v>
      </c>
    </row>
    <row r="29" ht="15.75" customHeight="1" s="98">
      <c r="A29" s="38" t="inlineStr">
        <is>
          <t>Balliu</t>
        </is>
      </c>
      <c r="B29" s="38" t="inlineStr">
        <is>
          <t>balliu-mini-tumbona-de-exterior-aluminio-62-cm-5a6f53eb</t>
        </is>
      </c>
      <c r="C29" s="38" t="inlineStr">
        <is>
          <t>BALLIU_CANNES_MINI_TUMBONA_MINI_TUMBONA_CAN_5A6F53EB</t>
        </is>
      </c>
      <c r="D29" s="39" t="inlineStr">
        <is>
          <t>Mini tumbona de exterior aluminio | 62 cm</t>
        </is>
      </c>
      <c r="E29" s="40" t="n">
        <v>140.89</v>
      </c>
      <c r="F29" s="40" t="n">
        <v>288.82</v>
      </c>
      <c r="G29" s="40" t="n">
        <v>80.23999999999999</v>
      </c>
      <c r="H29" s="41" t="n">
        <v>56.95</v>
      </c>
      <c r="I29" s="40" t="n">
        <v>288.82</v>
      </c>
      <c r="J29" s="40" t="n">
        <v>0</v>
      </c>
    </row>
    <row r="30" ht="15.75" customHeight="1" s="98">
      <c r="A30" s="34" t="inlineStr">
        <is>
          <t>Balliu</t>
        </is>
      </c>
      <c r="B30" s="34" t="inlineStr">
        <is>
          <t>balliu-mini-tumbona-de-exterior-madera-59-cm-fa211c70</t>
        </is>
      </c>
      <c r="C30" s="34" t="inlineStr">
        <is>
          <t>BALLIU_BRISTOL_MINI_TUMBONA_MINI_TUMBONA_BRI_FA211C70</t>
        </is>
      </c>
      <c r="D30" s="35" t="inlineStr">
        <is>
          <t>Mini tumbona de exterior madera | 59 cm</t>
        </is>
      </c>
      <c r="E30" s="36" t="n">
        <v>139.67</v>
      </c>
      <c r="F30" s="36" t="n">
        <v>286.32</v>
      </c>
      <c r="G30" s="36" t="n">
        <v>79.54000000000001</v>
      </c>
      <c r="H30" s="37" t="n">
        <v>56.95</v>
      </c>
      <c r="I30" s="36" t="n">
        <v>286.32</v>
      </c>
      <c r="J30" s="36" t="n">
        <v>0</v>
      </c>
    </row>
    <row r="31" ht="15.75" customHeight="1" s="98">
      <c r="A31" s="38" t="inlineStr">
        <is>
          <t>Balliu</t>
        </is>
      </c>
      <c r="B31" s="38" t="inlineStr">
        <is>
          <t>balliu-mini-tumbona-de-exterior-aluminio-57-cm-98ab84ce</t>
        </is>
      </c>
      <c r="C31" s="38" t="inlineStr">
        <is>
          <t>BALLIU_MARINA_MINI_TUMBONA_MINI_TUMBONA_MAR_98AB84CE</t>
        </is>
      </c>
      <c r="D31" s="39" t="inlineStr">
        <is>
          <t>Mini tumbona de exterior aluminio | 57 cm</t>
        </is>
      </c>
      <c r="E31" s="40" t="n">
        <v>114.6</v>
      </c>
      <c r="F31" s="40" t="n">
        <v>234.93</v>
      </c>
      <c r="G31" s="40" t="n">
        <v>65.26000000000001</v>
      </c>
      <c r="H31" s="41" t="n">
        <v>56.95</v>
      </c>
      <c r="I31" s="40" t="n">
        <v>234.93</v>
      </c>
      <c r="J31" s="40" t="n">
        <v>0</v>
      </c>
    </row>
    <row r="32" ht="15.75" customHeight="1" s="98">
      <c r="A32" s="34" t="inlineStr">
        <is>
          <t>Balliu</t>
        </is>
      </c>
      <c r="B32" s="34" t="inlineStr">
        <is>
          <t>balliu-cama-balinesa-exterior-aluminio-estilo-sofisticado-160-cm-2bd3a7a4</t>
        </is>
      </c>
      <c r="C32" s="34" t="inlineStr">
        <is>
          <t>BALLIU_AURA_CAMA_BALINESA_TELA_NAUTICA_2BD3A7A4</t>
        </is>
      </c>
      <c r="D32" s="35" t="inlineStr">
        <is>
          <t>Cama balinesa exterior aluminio · estilo sofisticado | 160 cm</t>
        </is>
      </c>
      <c r="E32" s="36" t="n">
        <v>1073.61</v>
      </c>
      <c r="F32" s="36" t="n">
        <v>2200.9</v>
      </c>
      <c r="G32" s="36" t="n">
        <v>611.42</v>
      </c>
      <c r="H32" s="37" t="n">
        <v>56.95</v>
      </c>
      <c r="I32" s="36" t="n">
        <v>2200.9</v>
      </c>
      <c r="J32" s="36" t="n">
        <v>0</v>
      </c>
    </row>
    <row r="33" ht="15.75" customHeight="1" s="98">
      <c r="A33" s="38" t="inlineStr">
        <is>
          <t>Balliu</t>
        </is>
      </c>
      <c r="B33" s="38" t="inlineStr">
        <is>
          <t>balliu-cama-balinesa-exterior-aluminio-estilo-minimalista-198-cm-dcaf71d8</t>
        </is>
      </c>
      <c r="C33" s="38" t="inlineStr">
        <is>
          <t>BALLIU_ALMA_CAMA_BALINESA_TELA_NAUTICA_DCAF71D8</t>
        </is>
      </c>
      <c r="D33" s="39" t="inlineStr">
        <is>
          <t>Cama balinesa exterior aluminio · estilo minimalista | 198 cm</t>
        </is>
      </c>
      <c r="E33" s="40" t="n">
        <v>1510.81</v>
      </c>
      <c r="F33" s="40" t="n">
        <v>3097.16</v>
      </c>
      <c r="G33" s="40" t="n">
        <v>860.41</v>
      </c>
      <c r="H33" s="41" t="n">
        <v>56.95</v>
      </c>
      <c r="I33" s="40" t="n">
        <v>3097.16</v>
      </c>
      <c r="J33" s="40" t="n">
        <v>0</v>
      </c>
    </row>
    <row r="34" ht="15.75" customHeight="1" s="98">
      <c r="A34" s="34" t="inlineStr">
        <is>
          <t>Balliu</t>
        </is>
      </c>
      <c r="B34" s="34" t="inlineStr">
        <is>
          <t>balliu-taburete-exterior-aluminio-estilo-elegante-56-cm-a66b4a0a</t>
        </is>
      </c>
      <c r="C34" s="34" t="inlineStr">
        <is>
          <t>BALLIU_ETNA_SILLA_TABURETE_ETNA_AL_A66B4A0A</t>
        </is>
      </c>
      <c r="D34" s="35" t="inlineStr">
        <is>
          <t>Taburete exterior aluminio · estilo elegante | 56 cm</t>
        </is>
      </c>
      <c r="E34" s="36" t="n">
        <v>100.25</v>
      </c>
      <c r="F34" s="36" t="n">
        <v>205.51</v>
      </c>
      <c r="G34" s="36" t="n">
        <v>57.09</v>
      </c>
      <c r="H34" s="37" t="n">
        <v>56.95</v>
      </c>
      <c r="I34" s="36" t="n">
        <v>205.51</v>
      </c>
      <c r="J34" s="36" t="n">
        <v>0</v>
      </c>
    </row>
    <row r="35" ht="15.75" customHeight="1" s="98">
      <c r="A35" s="38" t="inlineStr">
        <is>
          <t>Balliu</t>
        </is>
      </c>
      <c r="B35" s="38" t="inlineStr">
        <is>
          <t>balliu-silla-exterior-con-brazos-aluminio-estilo-elegante-56-cm-5c88bd77</t>
        </is>
      </c>
      <c r="C35" s="38" t="inlineStr">
        <is>
          <t>BALLIU_ETNA_SILLA_CON_BRAZOS_5C88BD77</t>
        </is>
      </c>
      <c r="D35" s="39" t="inlineStr">
        <is>
          <t>Silla exterior con brazos aluminio · estilo elegante | 56 cm</t>
        </is>
      </c>
      <c r="E35" s="40" t="n">
        <v>97.70999999999999</v>
      </c>
      <c r="F35" s="40" t="n">
        <v>200.31</v>
      </c>
      <c r="G35" s="40" t="n">
        <v>55.64</v>
      </c>
      <c r="H35" s="41" t="n">
        <v>56.95</v>
      </c>
      <c r="I35" s="40" t="n">
        <v>200.31</v>
      </c>
      <c r="J35" s="40" t="n">
        <v>0</v>
      </c>
    </row>
    <row r="36" ht="15.75" customHeight="1" s="98">
      <c r="A36" s="34" t="inlineStr">
        <is>
          <t>Balliu</t>
        </is>
      </c>
      <c r="B36" s="34" t="inlineStr">
        <is>
          <t>balliu-silla-exterior-con-brazos-aluminio-estilo-elegante-56-cm-eaf4a34a</t>
        </is>
      </c>
      <c r="C36" s="34" t="inlineStr">
        <is>
          <t>BALLIU_ETNA_SILLA_ALTA_CON_BRAZOS_EAF4A34A</t>
        </is>
      </c>
      <c r="D36" s="35" t="inlineStr">
        <is>
          <t>Silla exterior con brazos aluminio · estilo elegante | 56 cm</t>
        </is>
      </c>
      <c r="E36" s="36" t="n">
        <v>102.17</v>
      </c>
      <c r="F36" s="36" t="n">
        <v>209.45</v>
      </c>
      <c r="G36" s="36" t="n">
        <v>58.19</v>
      </c>
      <c r="H36" s="37" t="n">
        <v>56.95</v>
      </c>
      <c r="I36" s="36" t="n">
        <v>209.45</v>
      </c>
      <c r="J36" s="36" t="n">
        <v>0</v>
      </c>
    </row>
    <row r="37" ht="15.75" customHeight="1" s="98">
      <c r="A37" s="38" t="inlineStr">
        <is>
          <t>Balliu</t>
        </is>
      </c>
      <c r="B37" s="38" t="inlineStr">
        <is>
          <t>balliu-silla-exterior-resina-estilo-minimalista-484cbea0</t>
        </is>
      </c>
      <c r="C37" s="38" t="inlineStr">
        <is>
          <t>BALLIU_DUNA_SILLA_BLANCA_484CBEA0</t>
        </is>
      </c>
      <c r="D37" s="39" t="inlineStr">
        <is>
          <t>Silla exterior resina · estilo minimalista</t>
        </is>
      </c>
      <c r="E37" s="40" t="n">
        <v>41.58</v>
      </c>
      <c r="F37" s="40" t="n">
        <v>85.23999999999999</v>
      </c>
      <c r="G37" s="40" t="n">
        <v>23.68</v>
      </c>
      <c r="H37" s="41" t="n">
        <v>56.95</v>
      </c>
      <c r="I37" s="40" t="n">
        <v>85.23999999999999</v>
      </c>
      <c r="J37" s="40" t="n">
        <v>0</v>
      </c>
    </row>
    <row r="38" ht="15.75" customHeight="1" s="98">
      <c r="A38" s="34" t="inlineStr">
        <is>
          <t>Balliu</t>
        </is>
      </c>
      <c r="B38" s="34" t="inlineStr">
        <is>
          <t>balliu-silla-exterior-resina-estilo-minimalista-484cbea0</t>
        </is>
      </c>
      <c r="C38" s="34" t="inlineStr">
        <is>
          <t>BALLIU_DUNA_SILLA_COLOR_NEGRO_TORT_611D28CC</t>
        </is>
      </c>
      <c r="D38" s="35" t="inlineStr">
        <is>
          <t>Silla exterior resina · estilo minimalista</t>
        </is>
      </c>
      <c r="E38" s="36" t="n">
        <v>43.92</v>
      </c>
      <c r="F38" s="36" t="n">
        <v>90.04000000000001</v>
      </c>
      <c r="G38" s="36" t="n">
        <v>25.01</v>
      </c>
      <c r="H38" s="37" t="n">
        <v>56.95</v>
      </c>
      <c r="I38" s="36" t="n">
        <v>90.04000000000001</v>
      </c>
      <c r="J38" s="36" t="n">
        <v>0</v>
      </c>
    </row>
    <row r="39" ht="15.75" customHeight="1" s="98">
      <c r="A39" s="38" t="inlineStr">
        <is>
          <t>Balliu</t>
        </is>
      </c>
      <c r="B39" s="38" t="inlineStr">
        <is>
          <t>balliu-silla-exterior-resina-estilo-clasico-57-cm-8164cc65</t>
        </is>
      </c>
      <c r="C39" s="38" t="inlineStr">
        <is>
          <t>BALLIU_BIMBA_SILLA_BLANCA_8164CC65</t>
        </is>
      </c>
      <c r="D39" s="39" t="inlineStr">
        <is>
          <t>Silla exterior resina · estilo clásico | 57 cm</t>
        </is>
      </c>
      <c r="E39" s="40" t="n">
        <v>54.81</v>
      </c>
      <c r="F39" s="40" t="n">
        <v>112.36</v>
      </c>
      <c r="G39" s="40" t="n">
        <v>31.21</v>
      </c>
      <c r="H39" s="41" t="n">
        <v>56.95</v>
      </c>
      <c r="I39" s="40" t="n">
        <v>112.36</v>
      </c>
      <c r="J39" s="40" t="n">
        <v>0</v>
      </c>
    </row>
    <row r="40" ht="15.75" customHeight="1" s="98">
      <c r="A40" s="34" t="inlineStr">
        <is>
          <t>Balliu</t>
        </is>
      </c>
      <c r="B40" s="34" t="inlineStr">
        <is>
          <t>balliu-silla-exterior-resina-estilo-clasico-57-cm-8164cc65</t>
        </is>
      </c>
      <c r="C40" s="34" t="inlineStr">
        <is>
          <t>BALLIU_BIMBA_SILLA_NEGRA_5F329445</t>
        </is>
      </c>
      <c r="D40" s="35" t="inlineStr">
        <is>
          <t>Silla exterior resina · estilo clásico | 57 cm</t>
        </is>
      </c>
      <c r="E40" s="36" t="n">
        <v>55.63</v>
      </c>
      <c r="F40" s="36" t="n">
        <v>114.04</v>
      </c>
      <c r="G40" s="36" t="n">
        <v>31.68</v>
      </c>
      <c r="H40" s="37" t="n">
        <v>56.95</v>
      </c>
      <c r="I40" s="36" t="n">
        <v>114.04</v>
      </c>
      <c r="J40" s="36" t="n">
        <v>0</v>
      </c>
    </row>
    <row r="41" ht="15.75" customHeight="1" s="98">
      <c r="A41" s="38" t="inlineStr">
        <is>
          <t>Balliu</t>
        </is>
      </c>
      <c r="B41" s="38" t="inlineStr">
        <is>
          <t>balliu-silla-exterior-resina-estilo-funcional-0b607ec7</t>
        </is>
      </c>
      <c r="C41" s="38" t="inlineStr">
        <is>
          <t>BALLIU_SELVA_SILLA_BLANCA_0B607EC7</t>
        </is>
      </c>
      <c r="D41" s="39" t="inlineStr">
        <is>
          <t>Silla exterior resina · estilo funcional</t>
        </is>
      </c>
      <c r="E41" s="40" t="n">
        <v>17.17</v>
      </c>
      <c r="F41" s="40" t="n">
        <v>35.2</v>
      </c>
      <c r="G41" s="40" t="n">
        <v>9.779999999999999</v>
      </c>
      <c r="H41" s="41" t="n">
        <v>56.95</v>
      </c>
      <c r="I41" s="40" t="n">
        <v>35.2</v>
      </c>
      <c r="J41" s="40" t="n">
        <v>0</v>
      </c>
    </row>
    <row r="42" ht="15.75" customHeight="1" s="98">
      <c r="A42" s="34" t="inlineStr">
        <is>
          <t>Balliu</t>
        </is>
      </c>
      <c r="B42" s="34" t="inlineStr">
        <is>
          <t>balliu-silla-exterior-resina-estilo-funcional-0b607ec7</t>
        </is>
      </c>
      <c r="C42" s="34" t="inlineStr">
        <is>
          <t>BALLIU_SELVA_SILLA_COLOR_5FDA60B0</t>
        </is>
      </c>
      <c r="D42" s="35" t="inlineStr">
        <is>
          <t>Silla exterior resina · estilo funcional</t>
        </is>
      </c>
      <c r="E42" s="36" t="n">
        <v>20.77</v>
      </c>
      <c r="F42" s="36" t="n">
        <v>42.58</v>
      </c>
      <c r="G42" s="36" t="n">
        <v>11.83</v>
      </c>
      <c r="H42" s="37" t="n">
        <v>56.95</v>
      </c>
      <c r="I42" s="36" t="n">
        <v>42.58</v>
      </c>
      <c r="J42" s="36" t="n">
        <v>0</v>
      </c>
    </row>
    <row r="43" ht="15.75" customHeight="1" s="98">
      <c r="A43" s="38" t="inlineStr">
        <is>
          <t>Balliu</t>
        </is>
      </c>
      <c r="B43" s="38" t="inlineStr">
        <is>
          <t>balliu-silla-exterior-sin-brazos-resina-estilo-contemporaneo-49-cm-af080e9c</t>
        </is>
      </c>
      <c r="C43" s="38" t="inlineStr">
        <is>
          <t>BALLIU_BRUNA_SILLA_SIN_BRAZOS_AF080E9C</t>
        </is>
      </c>
      <c r="D43" s="39" t="inlineStr">
        <is>
          <t>Silla exterior sin brazos resina · estilo contemporáneo | 49 cm</t>
        </is>
      </c>
      <c r="E43" s="40" t="n">
        <v>43.89</v>
      </c>
      <c r="F43" s="40" t="n">
        <v>89.97</v>
      </c>
      <c r="G43" s="40" t="n">
        <v>25</v>
      </c>
      <c r="H43" s="41" t="n">
        <v>56.95</v>
      </c>
      <c r="I43" s="40" t="n">
        <v>89.97</v>
      </c>
      <c r="J43" s="40" t="n">
        <v>0</v>
      </c>
    </row>
    <row r="44" ht="15.75" customHeight="1" s="98">
      <c r="A44" s="34" t="inlineStr">
        <is>
          <t>Balliu</t>
        </is>
      </c>
      <c r="B44" s="34" t="inlineStr">
        <is>
          <t>balliu-silla-exterior-sin-brazos-resina-estilo-contemporaneo-49-cm-af080e9c</t>
        </is>
      </c>
      <c r="C44" s="34" t="inlineStr">
        <is>
          <t>BALLIU_BRUNA_SILLA_CON_BRAZOS_D52BECC5</t>
        </is>
      </c>
      <c r="D44" s="35" t="inlineStr">
        <is>
          <t>Silla exterior con brazos resina · estilo contemporáneo | 49 cm</t>
        </is>
      </c>
      <c r="E44" s="36" t="n">
        <v>52.19</v>
      </c>
      <c r="F44" s="36" t="n">
        <v>106.99</v>
      </c>
      <c r="G44" s="36" t="n">
        <v>29.72</v>
      </c>
      <c r="H44" s="37" t="n">
        <v>56.95</v>
      </c>
      <c r="I44" s="36" t="n">
        <v>106.99</v>
      </c>
      <c r="J44" s="36" t="n">
        <v>0</v>
      </c>
    </row>
    <row r="45" ht="15.75" customHeight="1" s="98">
      <c r="A45" s="38" t="inlineStr">
        <is>
          <t>Balliu</t>
        </is>
      </c>
      <c r="B45" s="38" t="inlineStr">
        <is>
          <t>balliu-silla-exterior-sin-brazos-resina-estilo-funcional-daabcdaf</t>
        </is>
      </c>
      <c r="C45" s="38" t="inlineStr">
        <is>
          <t>BALLIU_VERA_SILLA_SIN_BRAZOS_DAABCDAF</t>
        </is>
      </c>
      <c r="D45" s="39" t="inlineStr">
        <is>
          <t>Silla exterior sin brazos resina · estilo funcional</t>
        </is>
      </c>
      <c r="E45" s="40" t="n">
        <v>48.33</v>
      </c>
      <c r="F45" s="40" t="n">
        <v>99.08</v>
      </c>
      <c r="G45" s="40" t="n">
        <v>27.52</v>
      </c>
      <c r="H45" s="41" t="n">
        <v>56.95</v>
      </c>
      <c r="I45" s="40" t="n">
        <v>99.08</v>
      </c>
      <c r="J45" s="40" t="n">
        <v>0</v>
      </c>
    </row>
    <row r="46" ht="15.75" customHeight="1" s="98">
      <c r="A46" s="34" t="inlineStr">
        <is>
          <t>Balliu</t>
        </is>
      </c>
      <c r="B46" s="34" t="inlineStr">
        <is>
          <t>balliu-silla-exterior-sin-brazos-resina-estilo-funcional-daabcdaf</t>
        </is>
      </c>
      <c r="C46" s="34" t="inlineStr">
        <is>
          <t>BALLIU_VERA_SILLA_CON_BRAZOS_75353330</t>
        </is>
      </c>
      <c r="D46" s="35" t="inlineStr">
        <is>
          <t>Silla exterior con brazos resina · estilo funcional</t>
        </is>
      </c>
      <c r="E46" s="36" t="n">
        <v>49.44</v>
      </c>
      <c r="F46" s="36" t="n">
        <v>101.35</v>
      </c>
      <c r="G46" s="36" t="n">
        <v>28.16</v>
      </c>
      <c r="H46" s="37" t="n">
        <v>56.95</v>
      </c>
      <c r="I46" s="36" t="n">
        <v>101.35</v>
      </c>
      <c r="J46" s="36" t="n">
        <v>0</v>
      </c>
    </row>
    <row r="47" ht="15.75" customHeight="1" s="98">
      <c r="A47" s="38" t="inlineStr">
        <is>
          <t>Balliu</t>
        </is>
      </c>
      <c r="B47" s="38" t="inlineStr">
        <is>
          <t>balliu-silla-exterior-sin-brazos-resina-estilo-funcional-daabcdaf</t>
        </is>
      </c>
      <c r="C47" s="38" t="inlineStr">
        <is>
          <t>BALLIU_VERA_SILLA_L_CON_BRAZOS_51F30794</t>
        </is>
      </c>
      <c r="D47" s="39" t="inlineStr">
        <is>
          <t>Silla exterior con brazos resina · estilo funcional</t>
        </is>
      </c>
      <c r="E47" s="40" t="n">
        <v>71.33</v>
      </c>
      <c r="F47" s="40" t="n">
        <v>146.23</v>
      </c>
      <c r="G47" s="40" t="n">
        <v>40.62</v>
      </c>
      <c r="H47" s="41" t="n">
        <v>56.95</v>
      </c>
      <c r="I47" s="40" t="n">
        <v>146.23</v>
      </c>
      <c r="J47" s="40" t="n">
        <v>0</v>
      </c>
    </row>
    <row r="48" ht="15.75" customHeight="1" s="98">
      <c r="A48" s="34" t="inlineStr">
        <is>
          <t>Balliu</t>
        </is>
      </c>
      <c r="B48" s="34" t="inlineStr">
        <is>
          <t>balliu-silla-exterior-sin-brazos-estilo-contemporaneo-53-cm-cd07e7d6</t>
        </is>
      </c>
      <c r="C48" s="34" t="inlineStr">
        <is>
          <t>BALLIU_SILLA_VENUS_SIN_BRAZOS_CD07E7D6</t>
        </is>
      </c>
      <c r="D48" s="35" t="inlineStr">
        <is>
          <t>Silla exterior sin brazos · estilo contemporáneo | 53 cm</t>
        </is>
      </c>
      <c r="E48" s="36" t="n">
        <v>40.56</v>
      </c>
      <c r="F48" s="36" t="n">
        <v>83.15000000000001</v>
      </c>
      <c r="G48" s="36" t="n">
        <v>23.1</v>
      </c>
      <c r="H48" s="37" t="n">
        <v>56.95</v>
      </c>
      <c r="I48" s="36" t="n">
        <v>83.15000000000001</v>
      </c>
      <c r="J48" s="36" t="n">
        <v>0</v>
      </c>
    </row>
    <row r="49" ht="15.75" customHeight="1" s="98">
      <c r="A49" s="38" t="inlineStr">
        <is>
          <t>Balliu</t>
        </is>
      </c>
      <c r="B49" s="38" t="inlineStr">
        <is>
          <t>balliu-silla-exterior-con-brazos-estilo-contemporaneo-53-cm-c654c52f</t>
        </is>
      </c>
      <c r="C49" s="38" t="inlineStr">
        <is>
          <t>BALLIU_SILLA_VENUS_CON_BRAZOS_C654C52F</t>
        </is>
      </c>
      <c r="D49" s="39" t="inlineStr">
        <is>
          <t>Silla exterior con brazos · estilo contemporáneo | 53 cm</t>
        </is>
      </c>
      <c r="E49" s="40" t="n">
        <v>43.83</v>
      </c>
      <c r="F49" s="40" t="n">
        <v>89.84999999999999</v>
      </c>
      <c r="G49" s="40" t="n">
        <v>24.96</v>
      </c>
      <c r="H49" s="41" t="n">
        <v>56.95</v>
      </c>
      <c r="I49" s="40" t="n">
        <v>89.84999999999999</v>
      </c>
      <c r="J49" s="40" t="n">
        <v>0</v>
      </c>
    </row>
    <row r="50" ht="15.75" customHeight="1" s="98">
      <c r="A50" s="34" t="inlineStr">
        <is>
          <t>Balliu</t>
        </is>
      </c>
      <c r="B50" s="34" t="inlineStr">
        <is>
          <t>balliu-silla-exterior-con-brazos-resina-estilo-funcional-94b6e5b5-2</t>
        </is>
      </c>
      <c r="C50" s="34" t="inlineStr">
        <is>
          <t>BALLIU_BRUNA_SILLA_CON_BRAZ_94B6E5B5</t>
        </is>
      </c>
      <c r="D50" s="35" t="inlineStr">
        <is>
          <t>Silla exterior con brazos resina · estilo funcional</t>
        </is>
      </c>
      <c r="E50" s="36" t="n">
        <v>55.51</v>
      </c>
      <c r="F50" s="36" t="n">
        <v>113.8</v>
      </c>
      <c r="G50" s="36" t="n">
        <v>31.61</v>
      </c>
      <c r="H50" s="37" t="n">
        <v>56.95</v>
      </c>
      <c r="I50" s="36" t="n">
        <v>113.8</v>
      </c>
      <c r="J50" s="36" t="n">
        <v>0</v>
      </c>
    </row>
    <row r="51" ht="15.75" customHeight="1" s="98">
      <c r="A51" s="38" t="inlineStr">
        <is>
          <t>Balliu</t>
        </is>
      </c>
      <c r="B51" s="38" t="inlineStr">
        <is>
          <t>balliu-silla-exterior-con-brazos-aluminio-estilo-elegante-58-cm-bc0c02ec</t>
        </is>
      </c>
      <c r="C51" s="38" t="inlineStr">
        <is>
          <t>BALLIU_MILA_SILLA_CON_BRAZOS_BC0C02EC</t>
        </is>
      </c>
      <c r="D51" s="39" t="inlineStr">
        <is>
          <t>Silla exterior con brazos aluminio · estilo elegante | 58 cm</t>
        </is>
      </c>
      <c r="E51" s="40" t="n">
        <v>60.67</v>
      </c>
      <c r="F51" s="40" t="n">
        <v>124.37</v>
      </c>
      <c r="G51" s="40" t="n">
        <v>34.55</v>
      </c>
      <c r="H51" s="41" t="n">
        <v>56.95</v>
      </c>
      <c r="I51" s="40" t="n">
        <v>124.37</v>
      </c>
      <c r="J51" s="40" t="n">
        <v>0</v>
      </c>
    </row>
    <row r="52" ht="15.75" customHeight="1" s="98">
      <c r="A52" s="34" t="inlineStr">
        <is>
          <t>Balliu</t>
        </is>
      </c>
      <c r="B52" s="34" t="inlineStr">
        <is>
          <t>balliu-silla-exterior-con-brazos-resina-estilo-funcional-94b6e5b5-2</t>
        </is>
      </c>
      <c r="C52" s="34" t="inlineStr">
        <is>
          <t>BALLIU_BRUNA_SILLA_CON_BRAZ_94B6E5B5</t>
        </is>
      </c>
      <c r="D52" s="35" t="inlineStr">
        <is>
          <t>Silla exterior con brazos resina · estilo funcional</t>
        </is>
      </c>
      <c r="E52" s="36" t="n">
        <v>122.56</v>
      </c>
      <c r="F52" s="36" t="n">
        <v>251.25</v>
      </c>
      <c r="G52" s="36" t="n">
        <v>69.8</v>
      </c>
      <c r="H52" s="37" t="n">
        <v>56.95</v>
      </c>
      <c r="I52" s="36" t="n">
        <v>251.25</v>
      </c>
      <c r="J52" s="36" t="n">
        <v>0</v>
      </c>
    </row>
    <row r="53" ht="15.75" customHeight="1" s="98">
      <c r="A53" s="38" t="inlineStr">
        <is>
          <t>Balliu</t>
        </is>
      </c>
      <c r="B53" s="38" t="inlineStr">
        <is>
          <t>balliu-silla-exterior-aluminio-estilo-contemporaneo-afd89221</t>
        </is>
      </c>
      <c r="C53" s="38" t="inlineStr">
        <is>
          <t>BALLIU_GRETA_SILLA_ALUMINIO_AFD89221</t>
        </is>
      </c>
      <c r="D53" s="39" t="inlineStr">
        <is>
          <t>Silla exterior aluminio · estilo contemporáneo</t>
        </is>
      </c>
      <c r="E53" s="40" t="n">
        <v>96.11</v>
      </c>
      <c r="F53" s="40" t="n">
        <v>197.03</v>
      </c>
      <c r="G53" s="40" t="n">
        <v>54.73</v>
      </c>
      <c r="H53" s="41" t="n">
        <v>56.95</v>
      </c>
      <c r="I53" s="40" t="n">
        <v>197.03</v>
      </c>
      <c r="J53" s="40" t="n">
        <v>0</v>
      </c>
    </row>
    <row r="54" ht="15.75" customHeight="1" s="98">
      <c r="A54" s="34" t="inlineStr">
        <is>
          <t>Balliu</t>
        </is>
      </c>
      <c r="B54" s="34" t="inlineStr">
        <is>
          <t>balliu-mesa-exterior-aluminio-9e30ca7f</t>
        </is>
      </c>
      <c r="C54" s="34" t="inlineStr">
        <is>
          <t>BALLIU_GRETA_MESA_TABLERO_ALUMINIO_9E30CA7F</t>
        </is>
      </c>
      <c r="D54" s="35" t="inlineStr">
        <is>
          <t>Mesa exterior aluminio</t>
        </is>
      </c>
      <c r="E54" s="36" t="n">
        <v>67.33</v>
      </c>
      <c r="F54" s="36" t="n">
        <v>138.03</v>
      </c>
      <c r="G54" s="36" t="n">
        <v>38.34</v>
      </c>
      <c r="H54" s="37" t="n">
        <v>56.95</v>
      </c>
      <c r="I54" s="36" t="n">
        <v>138.03</v>
      </c>
      <c r="J54" s="36" t="n">
        <v>0</v>
      </c>
    </row>
    <row r="55" ht="15.75" customHeight="1" s="98">
      <c r="A55" s="38" t="inlineStr">
        <is>
          <t>Balliu</t>
        </is>
      </c>
      <c r="B55" s="38" t="inlineStr">
        <is>
          <t>balliu-mesa-exterior-5d0fb586</t>
        </is>
      </c>
      <c r="C55" s="38" t="inlineStr">
        <is>
          <t>BALLIU_MINI_MESA_COLOR_BLANCO_5D0FB586</t>
        </is>
      </c>
      <c r="D55" s="39" t="inlineStr">
        <is>
          <t>Mesa exterior</t>
        </is>
      </c>
      <c r="E55" s="40" t="n">
        <v>14.17</v>
      </c>
      <c r="F55" s="40" t="n">
        <v>29.05</v>
      </c>
      <c r="G55" s="40" t="n">
        <v>8.07</v>
      </c>
      <c r="H55" s="41" t="n">
        <v>56.95</v>
      </c>
      <c r="I55" s="40" t="n">
        <v>29.05</v>
      </c>
      <c r="J55" s="40" t="n">
        <v>0</v>
      </c>
    </row>
    <row r="56" ht="15.75" customHeight="1" s="98">
      <c r="A56" s="34" t="inlineStr">
        <is>
          <t>Balliu</t>
        </is>
      </c>
      <c r="B56" s="34" t="inlineStr">
        <is>
          <t>balliu-mesa-exterior-1cf4d3d5</t>
        </is>
      </c>
      <c r="C56" s="34" t="inlineStr">
        <is>
          <t>BALLIU_MINI_MESA_COLOR_NATURAL_PR_1CF4D3D5</t>
        </is>
      </c>
      <c r="D56" s="35" t="inlineStr">
        <is>
          <t>Mesa exterior</t>
        </is>
      </c>
      <c r="E56" s="36" t="n">
        <v>14.95</v>
      </c>
      <c r="F56" s="36" t="n">
        <v>30.65</v>
      </c>
      <c r="G56" s="36" t="n">
        <v>8.51</v>
      </c>
      <c r="H56" s="37" t="n">
        <v>56.95</v>
      </c>
      <c r="I56" s="36" t="n">
        <v>30.65</v>
      </c>
      <c r="J56" s="36" t="n">
        <v>0</v>
      </c>
    </row>
    <row r="57" ht="15.75" customHeight="1" s="98">
      <c r="A57" s="38" t="inlineStr">
        <is>
          <t>Balliu</t>
        </is>
      </c>
      <c r="B57" s="38" t="inlineStr">
        <is>
          <t>balliu-mesa-auxiliar-exterior-resina-48-cm-de421a42</t>
        </is>
      </c>
      <c r="C57" s="38" t="inlineStr">
        <is>
          <t>BALLIU_EVA_PRO_MINI_MESA_AU_COLOR_BLANCO_DE421A42</t>
        </is>
      </c>
      <c r="D57" s="39" t="inlineStr">
        <is>
          <t>Mesa auxiliar exterior resina | 48 cm</t>
        </is>
      </c>
      <c r="E57" s="40" t="n">
        <v>17.13</v>
      </c>
      <c r="F57" s="40" t="n">
        <v>35.12</v>
      </c>
      <c r="G57" s="40" t="n">
        <v>9.75</v>
      </c>
      <c r="H57" s="41" t="n">
        <v>56.95</v>
      </c>
      <c r="I57" s="40" t="n">
        <v>35.12</v>
      </c>
      <c r="J57" s="40" t="n">
        <v>0</v>
      </c>
    </row>
    <row r="58" ht="15.75" customHeight="1" s="98">
      <c r="A58" s="34" t="inlineStr">
        <is>
          <t>Balliu</t>
        </is>
      </c>
      <c r="B58" s="34" t="inlineStr">
        <is>
          <t>balliu-mesa-auxiliar-exterior-resina-48-cm-911a77ba</t>
        </is>
      </c>
      <c r="C58" s="34" t="inlineStr">
        <is>
          <t>BALLIU_EVA_PRO_MINI_MESA_AU_COLOR_NATURAL_PR_911A77BA</t>
        </is>
      </c>
      <c r="D58" s="35" t="inlineStr">
        <is>
          <t>Mesa auxiliar exterior resina | 48 cm</t>
        </is>
      </c>
      <c r="E58" s="36" t="n">
        <v>17.63</v>
      </c>
      <c r="F58" s="36" t="n">
        <v>36.14</v>
      </c>
      <c r="G58" s="36" t="n">
        <v>10.04</v>
      </c>
      <c r="H58" s="37" t="n">
        <v>56.95</v>
      </c>
      <c r="I58" s="36" t="n">
        <v>36.14</v>
      </c>
      <c r="J58" s="36" t="n">
        <v>0</v>
      </c>
    </row>
    <row r="59" ht="15.75" customHeight="1" s="98">
      <c r="A59" s="38" t="inlineStr">
        <is>
          <t>Balliu</t>
        </is>
      </c>
      <c r="B59" s="38" t="inlineStr">
        <is>
          <t>balliu-mesa-auxiliar-exterior-resina-48-cm-35554775</t>
        </is>
      </c>
      <c r="C59" s="38" t="inlineStr">
        <is>
          <t>BALLIU_EVA_PRO_BCN_MESA_AUX_COLOR_BLANCO_35554775</t>
        </is>
      </c>
      <c r="D59" s="39" t="inlineStr">
        <is>
          <t>Mesa auxiliar exterior resina | 48 cm</t>
        </is>
      </c>
      <c r="E59" s="40" t="n">
        <v>18.44</v>
      </c>
      <c r="F59" s="40" t="n">
        <v>37.8</v>
      </c>
      <c r="G59" s="40" t="n">
        <v>10.5</v>
      </c>
      <c r="H59" s="41" t="n">
        <v>56.95</v>
      </c>
      <c r="I59" s="40" t="n">
        <v>37.8</v>
      </c>
      <c r="J59" s="40" t="n">
        <v>0</v>
      </c>
    </row>
    <row r="60" ht="15.75" customHeight="1" s="98">
      <c r="A60" s="34" t="inlineStr">
        <is>
          <t>Balliu</t>
        </is>
      </c>
      <c r="B60" s="34" t="inlineStr">
        <is>
          <t>balliu-mesa-auxiliar-exterior-resina-48-cm-25cd2ede</t>
        </is>
      </c>
      <c r="C60" s="34" t="inlineStr">
        <is>
          <t>BALLIU_EVA_PRO_BCN_MESA_AUX_COLOR_NATURAL_PR_25CD2EDE</t>
        </is>
      </c>
      <c r="D60" s="35" t="inlineStr">
        <is>
          <t>Mesa auxiliar exterior resina | 48 cm</t>
        </is>
      </c>
      <c r="E60" s="36" t="n">
        <v>19.36</v>
      </c>
      <c r="F60" s="36" t="n">
        <v>39.69</v>
      </c>
      <c r="G60" s="36" t="n">
        <v>11.03</v>
      </c>
      <c r="H60" s="37" t="n">
        <v>56.95</v>
      </c>
      <c r="I60" s="36" t="n">
        <v>39.69</v>
      </c>
      <c r="J60" s="36" t="n">
        <v>0</v>
      </c>
    </row>
    <row r="61" ht="15.75" customHeight="1" s="98">
      <c r="A61" s="38" t="inlineStr">
        <is>
          <t>Balliu</t>
        </is>
      </c>
      <c r="B61" s="38" t="inlineStr">
        <is>
          <t>balliu-mesa-auxiliar-exterior-aluminio-54-cm-6c7a42d9</t>
        </is>
      </c>
      <c r="C61" s="38" t="inlineStr">
        <is>
          <t>BALLIU_OLIMPIA_MESA_AUXILIA_TELA_BALLIU_6C7A42D9</t>
        </is>
      </c>
      <c r="D61" s="39" t="inlineStr">
        <is>
          <t>Mesa auxiliar exterior aluminio | 54 cm</t>
        </is>
      </c>
      <c r="E61" s="40" t="n">
        <v>84.68000000000001</v>
      </c>
      <c r="F61" s="40" t="n">
        <v>173.59</v>
      </c>
      <c r="G61" s="40" t="n">
        <v>48.23</v>
      </c>
      <c r="H61" s="41" t="n">
        <v>56.95</v>
      </c>
      <c r="I61" s="40" t="n">
        <v>173.59</v>
      </c>
      <c r="J61" s="40" t="n">
        <v>0</v>
      </c>
    </row>
    <row r="62" ht="15.75" customHeight="1" s="98">
      <c r="A62" s="34" t="inlineStr">
        <is>
          <t>Balliu</t>
        </is>
      </c>
      <c r="B62" s="34" t="inlineStr">
        <is>
          <t>balliu-mesa-auxiliar-exterior-aluminio-90b11e5b</t>
        </is>
      </c>
      <c r="C62" s="34" t="inlineStr">
        <is>
          <t>BALLIU_NOA_MESA_AUXILIAR_COLOR_BLANCO_90B11E5B</t>
        </is>
      </c>
      <c r="D62" s="35" t="inlineStr">
        <is>
          <t>Mesa auxiliar exterior aluminio</t>
        </is>
      </c>
      <c r="E62" s="36" t="n">
        <v>69.97</v>
      </c>
      <c r="F62" s="36" t="n">
        <v>143.44</v>
      </c>
      <c r="G62" s="36" t="n">
        <v>39.85</v>
      </c>
      <c r="H62" s="37" t="n">
        <v>56.95</v>
      </c>
      <c r="I62" s="36" t="n">
        <v>143.44</v>
      </c>
      <c r="J62" s="36" t="n">
        <v>0</v>
      </c>
    </row>
    <row r="63" ht="15.75" customHeight="1" s="98">
      <c r="A63" s="38" t="inlineStr">
        <is>
          <t>Balliu</t>
        </is>
      </c>
      <c r="B63" s="38" t="inlineStr">
        <is>
          <t>balliu-mesa-auxiliar-exterior-aluminio-27ce9446</t>
        </is>
      </c>
      <c r="C63" s="38" t="inlineStr">
        <is>
          <t>BALLIU_NOA_MESA_AUXILIAR_COLOR_NATURAL_PR_27CE9446</t>
        </is>
      </c>
      <c r="D63" s="39" t="inlineStr">
        <is>
          <t>Mesa auxiliar exterior aluminio</t>
        </is>
      </c>
      <c r="E63" s="40" t="n">
        <v>73.58</v>
      </c>
      <c r="F63" s="40" t="n">
        <v>150.84</v>
      </c>
      <c r="G63" s="40" t="n">
        <v>41.9</v>
      </c>
      <c r="H63" s="41" t="n">
        <v>56.95</v>
      </c>
      <c r="I63" s="40" t="n">
        <v>150.84</v>
      </c>
      <c r="J63" s="40" t="n">
        <v>0</v>
      </c>
    </row>
    <row r="64" ht="15.75" customHeight="1" s="98">
      <c r="A64" s="34" t="inlineStr">
        <is>
          <t>Balliu</t>
        </is>
      </c>
      <c r="B64" s="34" t="inlineStr">
        <is>
          <t>balliu-mesa-auxiliar-exterior-aluminio-60-cm-9c991818</t>
        </is>
      </c>
      <c r="C64" s="34" t="inlineStr">
        <is>
          <t>BALLIU_ETNA_MESA_AUXILIAR_TABLERO_HPL_C5331CE8</t>
        </is>
      </c>
      <c r="D64" s="35" t="inlineStr">
        <is>
          <t>Mesa auxiliar exterior aluminio | 60 cm</t>
        </is>
      </c>
      <c r="E64" s="36" t="n">
        <v>89.70999999999999</v>
      </c>
      <c r="F64" s="36" t="n">
        <v>183.91</v>
      </c>
      <c r="G64" s="36" t="n">
        <v>51.09</v>
      </c>
      <c r="H64" s="37" t="n">
        <v>56.95</v>
      </c>
      <c r="I64" s="36" t="n">
        <v>183.91</v>
      </c>
      <c r="J64" s="36" t="n">
        <v>0</v>
      </c>
    </row>
    <row r="65" ht="15.75" customHeight="1" s="98">
      <c r="A65" s="38" t="inlineStr">
        <is>
          <t>Balliu</t>
        </is>
      </c>
      <c r="B65" s="38" t="inlineStr">
        <is>
          <t>balliu-mesa-auxiliar-exterior-aluminio-60-cm-9c991818</t>
        </is>
      </c>
      <c r="C65" s="38" t="inlineStr">
        <is>
          <t>BALLIU_ETNA_MESA_AUXILIAR_TABLERO_HPL_GD_7664D255</t>
        </is>
      </c>
      <c r="D65" s="39" t="inlineStr">
        <is>
          <t>Mesa auxiliar exterior aluminio | 60 cm</t>
        </is>
      </c>
      <c r="E65" s="40" t="n">
        <v>94.05</v>
      </c>
      <c r="F65" s="40" t="n">
        <v>192.8</v>
      </c>
      <c r="G65" s="40" t="n">
        <v>53.56</v>
      </c>
      <c r="H65" s="41" t="n">
        <v>56.95</v>
      </c>
      <c r="I65" s="40" t="n">
        <v>192.8</v>
      </c>
      <c r="J65" s="40" t="n">
        <v>0</v>
      </c>
    </row>
    <row r="66" ht="15.75" customHeight="1" s="98">
      <c r="A66" s="34" t="inlineStr">
        <is>
          <t>Balliu</t>
        </is>
      </c>
      <c r="B66" s="34" t="inlineStr">
        <is>
          <t>balliu-mesa-auxiliar-exterior-aluminio-60-cm-9c991818</t>
        </is>
      </c>
      <c r="C66" s="34" t="inlineStr">
        <is>
          <t>BALLIU_ETNA_MESA_AUXILIAR_DIAMETRO_60_WERZ_9C991818</t>
        </is>
      </c>
      <c r="D66" s="35" t="inlineStr">
        <is>
          <t>Mesa auxiliar exterior aluminio | 60 cm</t>
        </is>
      </c>
      <c r="E66" s="36" t="n">
        <v>84.79000000000001</v>
      </c>
      <c r="F66" s="36" t="n">
        <v>173.82</v>
      </c>
      <c r="G66" s="36" t="n">
        <v>48.29</v>
      </c>
      <c r="H66" s="37" t="n">
        <v>56.95</v>
      </c>
      <c r="I66" s="36" t="n">
        <v>173.82</v>
      </c>
      <c r="J66" s="36" t="n">
        <v>0</v>
      </c>
    </row>
    <row r="67" ht="15.75" customHeight="1" s="98">
      <c r="A67" s="38" t="inlineStr">
        <is>
          <t>Balliu</t>
        </is>
      </c>
      <c r="B67" s="38" t="inlineStr">
        <is>
          <t>balliu-mesa-exterior-resina-70-cm-33ce1613</t>
        </is>
      </c>
      <c r="C67" s="38" t="inlineStr">
        <is>
          <t>BALLIU_SELVA_MESA_DIAMETRO_70_WERZ_33CE1613</t>
        </is>
      </c>
      <c r="D67" s="39" t="inlineStr">
        <is>
          <t>Mesa exterior resina | Ø70 cm</t>
        </is>
      </c>
      <c r="E67" s="40" t="n">
        <v>97.55</v>
      </c>
      <c r="F67" s="40" t="n">
        <v>199.98</v>
      </c>
      <c r="G67" s="40" t="n">
        <v>55.55</v>
      </c>
      <c r="H67" s="41" t="n">
        <v>56.95</v>
      </c>
      <c r="I67" s="40" t="n">
        <v>199.98</v>
      </c>
      <c r="J67" s="40" t="n">
        <v>0</v>
      </c>
    </row>
    <row r="68" ht="15.75" customHeight="1" s="98">
      <c r="A68" s="34" t="inlineStr">
        <is>
          <t>Balliu</t>
        </is>
      </c>
      <c r="B68" s="34" t="inlineStr">
        <is>
          <t>balliu-mesa-exterior-resina-80-cm-eb565c3e</t>
        </is>
      </c>
      <c r="C68" s="34" t="inlineStr">
        <is>
          <t>BALLIU_SELVA_MESA_DIAMETRO_80_WERZ_EB565C3E</t>
        </is>
      </c>
      <c r="D68" s="35" t="inlineStr">
        <is>
          <t>Mesa exterior resina | Ø80 cm</t>
        </is>
      </c>
      <c r="E68" s="36" t="n">
        <v>101.49</v>
      </c>
      <c r="F68" s="36" t="n">
        <v>208.05</v>
      </c>
      <c r="G68" s="36" t="n">
        <v>57.8</v>
      </c>
      <c r="H68" s="37" t="n">
        <v>56.95</v>
      </c>
      <c r="I68" s="36" t="n">
        <v>208.05</v>
      </c>
      <c r="J68" s="36" t="n">
        <v>0</v>
      </c>
    </row>
    <row r="69" ht="15.75" customHeight="1" s="98">
      <c r="A69" s="38" t="inlineStr">
        <is>
          <t>Balliu</t>
        </is>
      </c>
      <c r="B69" s="38" t="inlineStr">
        <is>
          <t>balliu-mesa-exterior-resina-90-cm-871df608</t>
        </is>
      </c>
      <c r="C69" s="38" t="inlineStr">
        <is>
          <t>BALLIU_SELVA_MESA_DIAMETRO_90_WERZ_871DF608</t>
        </is>
      </c>
      <c r="D69" s="39" t="inlineStr">
        <is>
          <t>Mesa exterior resina | Ø90 cm</t>
        </is>
      </c>
      <c r="E69" s="40" t="n">
        <v>118.78</v>
      </c>
      <c r="F69" s="40" t="n">
        <v>243.5</v>
      </c>
      <c r="G69" s="40" t="n">
        <v>67.65000000000001</v>
      </c>
      <c r="H69" s="41" t="n">
        <v>56.95</v>
      </c>
      <c r="I69" s="40" t="n">
        <v>243.5</v>
      </c>
      <c r="J69" s="40" t="n">
        <v>0</v>
      </c>
    </row>
    <row r="70" ht="15.75" customHeight="1" s="98">
      <c r="A70" s="34" t="inlineStr">
        <is>
          <t>Balliu</t>
        </is>
      </c>
      <c r="B70" s="34" t="inlineStr">
        <is>
          <t>balliu-mesa-exterior-resina-7070-cm-7ab14c9a</t>
        </is>
      </c>
      <c r="C70" s="34" t="inlineStr">
        <is>
          <t>BALLIU_SELVA_MESA_70_X_70_WERZALIT_7AB14C9A</t>
        </is>
      </c>
      <c r="D70" s="35" t="inlineStr">
        <is>
          <t>Mesa exterior resina | 70×70 cm</t>
        </is>
      </c>
      <c r="E70" s="36" t="n">
        <v>118.31</v>
      </c>
      <c r="F70" s="36" t="n">
        <v>242.54</v>
      </c>
      <c r="G70" s="36" t="n">
        <v>67.38</v>
      </c>
      <c r="H70" s="37" t="n">
        <v>56.95</v>
      </c>
      <c r="I70" s="36" t="n">
        <v>242.54</v>
      </c>
      <c r="J70" s="36" t="n">
        <v>0</v>
      </c>
    </row>
    <row r="71" ht="15.75" customHeight="1" s="98">
      <c r="A71" s="38" t="inlineStr">
        <is>
          <t>Balliu</t>
        </is>
      </c>
      <c r="B71" s="38" t="inlineStr">
        <is>
          <t>balliu-mesa-exterior-resina-8080-cm-1a5a5005</t>
        </is>
      </c>
      <c r="C71" s="38" t="inlineStr">
        <is>
          <t>BALLIU_SELVA_MESA_80_X_80_WERZALIT_1A5A5005</t>
        </is>
      </c>
      <c r="D71" s="39" t="inlineStr">
        <is>
          <t>Mesa exterior resina | 80×80 cm</t>
        </is>
      </c>
      <c r="E71" s="40" t="n">
        <v>131.01</v>
      </c>
      <c r="F71" s="40" t="n">
        <v>268.57</v>
      </c>
      <c r="G71" s="40" t="n">
        <v>74.61</v>
      </c>
      <c r="H71" s="41" t="n">
        <v>56.95</v>
      </c>
      <c r="I71" s="40" t="n">
        <v>268.57</v>
      </c>
      <c r="J71" s="40" t="n">
        <v>0</v>
      </c>
    </row>
    <row r="72" ht="15.75" customHeight="1" s="98">
      <c r="A72" s="34" t="inlineStr">
        <is>
          <t>Balliu</t>
        </is>
      </c>
      <c r="B72" s="34" t="inlineStr">
        <is>
          <t>balliu-mesa-exterior-resina-12080-cm-747885bd</t>
        </is>
      </c>
      <c r="C72" s="34" t="inlineStr">
        <is>
          <t>BALLIU_SELVA_MESA_120_X_80_WERZALI_747885BD</t>
        </is>
      </c>
      <c r="D72" s="35" t="inlineStr">
        <is>
          <t>Mesa exterior resina | 120×80 cm</t>
        </is>
      </c>
      <c r="E72" s="36" t="n">
        <v>169.64</v>
      </c>
      <c r="F72" s="36" t="n">
        <v>347.76</v>
      </c>
      <c r="G72" s="36" t="n">
        <v>96.61</v>
      </c>
      <c r="H72" s="37" t="n">
        <v>56.95</v>
      </c>
      <c r="I72" s="36" t="n">
        <v>347.76</v>
      </c>
      <c r="J72" s="36" t="n">
        <v>0</v>
      </c>
    </row>
    <row r="73" ht="15.75" customHeight="1" s="98">
      <c r="A73" s="38" t="inlineStr">
        <is>
          <t>Balliu</t>
        </is>
      </c>
      <c r="B73" s="38" t="inlineStr">
        <is>
          <t>balliu-mesa-exterior-aluminio-8080-cm-ef580ae2</t>
        </is>
      </c>
      <c r="C73" s="38" t="inlineStr">
        <is>
          <t>BALLIU_BRUNEI_MESA_80X80_TABLERO_HP_EF580AE2</t>
        </is>
      </c>
      <c r="D73" s="39" t="inlineStr">
        <is>
          <t>Mesa exterior aluminio | 80×80 cm</t>
        </is>
      </c>
      <c r="E73" s="40" t="n">
        <v>257.19</v>
      </c>
      <c r="F73" s="40" t="n">
        <v>527.24</v>
      </c>
      <c r="G73" s="40" t="n">
        <v>146.47</v>
      </c>
      <c r="H73" s="41" t="n">
        <v>56.95</v>
      </c>
      <c r="I73" s="40" t="n">
        <v>527.24</v>
      </c>
      <c r="J73" s="40" t="n">
        <v>0</v>
      </c>
    </row>
    <row r="74" ht="15.75" customHeight="1" s="98">
      <c r="A74" s="34" t="inlineStr">
        <is>
          <t>Balliu</t>
        </is>
      </c>
      <c r="B74" s="34" t="inlineStr">
        <is>
          <t>balliu-mesa-exterior-aluminio-8080-cm-ef580ae2</t>
        </is>
      </c>
      <c r="C74" s="34" t="inlineStr">
        <is>
          <t>BALLIU_BRUNEI_MESA_80X80_TABLERO_HP_FCE3B8BD</t>
        </is>
      </c>
      <c r="D74" s="35" t="inlineStr">
        <is>
          <t>Mesa exterior aluminio | 80×80 cm</t>
        </is>
      </c>
      <c r="E74" s="36" t="n">
        <v>290.22</v>
      </c>
      <c r="F74" s="36" t="n">
        <v>594.95</v>
      </c>
      <c r="G74" s="36" t="n">
        <v>165.28</v>
      </c>
      <c r="H74" s="37" t="n">
        <v>56.95</v>
      </c>
      <c r="I74" s="36" t="n">
        <v>594.95</v>
      </c>
      <c r="J74" s="36" t="n">
        <v>0</v>
      </c>
    </row>
    <row r="75" ht="15.75" customHeight="1" s="98">
      <c r="A75" s="38" t="inlineStr">
        <is>
          <t>Balliu</t>
        </is>
      </c>
      <c r="B75" s="38" t="inlineStr">
        <is>
          <t>balliu-mesa-exterior-aluminio-8080-cm-ef580ae2</t>
        </is>
      </c>
      <c r="C75" s="38" t="inlineStr">
        <is>
          <t>BALLIU_BRUNEI_MESA_130X80_TABLERO_H_DF7C872B</t>
        </is>
      </c>
      <c r="D75" s="39" t="inlineStr">
        <is>
          <t>Mesa exterior aluminio | 130×80 cm</t>
        </is>
      </c>
      <c r="E75" s="40" t="n">
        <v>342.68</v>
      </c>
      <c r="F75" s="40" t="n">
        <v>702.49</v>
      </c>
      <c r="G75" s="40" t="n">
        <v>195.16</v>
      </c>
      <c r="H75" s="41" t="n">
        <v>56.95</v>
      </c>
      <c r="I75" s="40" t="n">
        <v>702.49</v>
      </c>
      <c r="J75" s="40" t="n">
        <v>0</v>
      </c>
    </row>
    <row r="76" ht="15.75" customHeight="1" s="98">
      <c r="A76" s="34" t="inlineStr">
        <is>
          <t>Balliu</t>
        </is>
      </c>
      <c r="B76" s="34" t="inlineStr">
        <is>
          <t>balliu-mesa-exterior-aluminio-8080-cm-ef580ae2</t>
        </is>
      </c>
      <c r="C76" s="34" t="inlineStr">
        <is>
          <t>BALLIU_BRUNEI_MESA_130X80_TABLERO_H_5068224E</t>
        </is>
      </c>
      <c r="D76" s="35" t="inlineStr">
        <is>
          <t>Mesa exterior aluminio | 130×80 cm</t>
        </is>
      </c>
      <c r="E76" s="36" t="n">
        <v>396.09</v>
      </c>
      <c r="F76" s="36" t="n">
        <v>811.98</v>
      </c>
      <c r="G76" s="36" t="n">
        <v>225.57</v>
      </c>
      <c r="H76" s="37" t="n">
        <v>56.95</v>
      </c>
      <c r="I76" s="36" t="n">
        <v>811.98</v>
      </c>
      <c r="J76" s="36" t="n">
        <v>0</v>
      </c>
    </row>
    <row r="77" ht="15.75" customHeight="1" s="98">
      <c r="A77" s="38" t="inlineStr">
        <is>
          <t>Balliu</t>
        </is>
      </c>
      <c r="B77" s="38" t="inlineStr">
        <is>
          <t>balliu-mesa-exterior-aluminio-8080-cm-ef580ae2</t>
        </is>
      </c>
      <c r="C77" s="38" t="inlineStr">
        <is>
          <t>BALLIU_BRUNEI_MESA_160X90_TABLERO_H_11303F43</t>
        </is>
      </c>
      <c r="D77" s="39" t="inlineStr">
        <is>
          <t>Mesa exterior aluminio | 160×90 cm</t>
        </is>
      </c>
      <c r="E77" s="40" t="n">
        <v>412.95</v>
      </c>
      <c r="F77" s="40" t="n">
        <v>846.55</v>
      </c>
      <c r="G77" s="40" t="n">
        <v>235.17</v>
      </c>
      <c r="H77" s="41" t="n">
        <v>56.95</v>
      </c>
      <c r="I77" s="40" t="n">
        <v>846.55</v>
      </c>
      <c r="J77" s="40" t="n">
        <v>0</v>
      </c>
    </row>
    <row r="78" ht="15.75" customHeight="1" s="98">
      <c r="A78" s="34" t="inlineStr">
        <is>
          <t>Balliu</t>
        </is>
      </c>
      <c r="B78" s="34" t="inlineStr">
        <is>
          <t>balliu-mesa-exterior-aluminio-8080-cm-ef580ae2</t>
        </is>
      </c>
      <c r="C78" s="34" t="inlineStr">
        <is>
          <t>BALLIU_BRUNEI_MESA_160X90_TABLERO_H_C39E3349</t>
        </is>
      </c>
      <c r="D78" s="35" t="inlineStr">
        <is>
          <t>Mesa exterior aluminio | 160×90 cm</t>
        </is>
      </c>
      <c r="E78" s="36" t="n">
        <v>479.59</v>
      </c>
      <c r="F78" s="36" t="n">
        <v>983.16</v>
      </c>
      <c r="G78" s="36" t="n">
        <v>273.13</v>
      </c>
      <c r="H78" s="37" t="n">
        <v>56.95</v>
      </c>
      <c r="I78" s="36" t="n">
        <v>983.16</v>
      </c>
      <c r="J78" s="36" t="n">
        <v>0</v>
      </c>
    </row>
    <row r="79" ht="15.75" customHeight="1" s="98">
      <c r="A79" s="38" t="inlineStr">
        <is>
          <t>Balliu</t>
        </is>
      </c>
      <c r="B79" s="38" t="inlineStr">
        <is>
          <t>balliu-mesa-exterior-aluminio-8080-cm-ef580ae2</t>
        </is>
      </c>
      <c r="C79" s="38" t="inlineStr">
        <is>
          <t>BALLIU_BRUNEI_MESA_190X90_TABLERO_H_4D2D1E60</t>
        </is>
      </c>
      <c r="D79" s="39" t="inlineStr">
        <is>
          <t>Mesa exterior aluminio | 190×90 cm</t>
        </is>
      </c>
      <c r="E79" s="40" t="n">
        <v>506.65</v>
      </c>
      <c r="F79" s="40" t="n">
        <v>1038.63</v>
      </c>
      <c r="G79" s="40" t="n">
        <v>288.54</v>
      </c>
      <c r="H79" s="41" t="n">
        <v>56.95</v>
      </c>
      <c r="I79" s="40" t="n">
        <v>1038.63</v>
      </c>
      <c r="J79" s="40" t="n">
        <v>0</v>
      </c>
    </row>
    <row r="80" ht="15.75" customHeight="1" s="98">
      <c r="A80" s="34" t="inlineStr">
        <is>
          <t>Balliu</t>
        </is>
      </c>
      <c r="B80" s="34" t="inlineStr">
        <is>
          <t>balliu-mesa-exterior-aluminio-8080-cm-ef580ae2</t>
        </is>
      </c>
      <c r="C80" s="34" t="inlineStr">
        <is>
          <t>BALLIU_BRUNEI_MESA_190X90_TABLERO_H_7FCC116E</t>
        </is>
      </c>
      <c r="D80" s="35" t="inlineStr">
        <is>
          <t>Mesa exterior aluminio | 190×90 cm</t>
        </is>
      </c>
      <c r="E80" s="36" t="n">
        <v>603.5</v>
      </c>
      <c r="F80" s="36" t="n">
        <v>1237.18</v>
      </c>
      <c r="G80" s="36" t="n">
        <v>343.69</v>
      </c>
      <c r="H80" s="37" t="n">
        <v>56.95</v>
      </c>
      <c r="I80" s="36" t="n">
        <v>1237.18</v>
      </c>
      <c r="J80" s="36" t="n">
        <v>0</v>
      </c>
    </row>
    <row r="81" ht="15.75" customHeight="1" s="98">
      <c r="A81" s="38" t="inlineStr">
        <is>
          <t>Balliu</t>
        </is>
      </c>
      <c r="B81" s="38" t="inlineStr">
        <is>
          <t>balliu-mesa-exterior-hpl-24090-cm-78358691</t>
        </is>
      </c>
      <c r="C81" s="38" t="inlineStr">
        <is>
          <t>BALLIU_ATLANTA_MESA_240X90_TABLERO_H_78358691</t>
        </is>
      </c>
      <c r="D81" s="39" t="inlineStr">
        <is>
          <t>Mesa exterior HPL | 240×90 cm</t>
        </is>
      </c>
      <c r="E81" s="40" t="n">
        <v>689</v>
      </c>
      <c r="F81" s="40" t="n">
        <v>1412.45</v>
      </c>
      <c r="G81" s="40" t="n">
        <v>392.39</v>
      </c>
      <c r="H81" s="41" t="n">
        <v>56.95</v>
      </c>
      <c r="I81" s="40" t="n">
        <v>1412.45</v>
      </c>
      <c r="J81" s="40" t="n">
        <v>0</v>
      </c>
    </row>
    <row r="82" ht="15.75" customHeight="1" s="98">
      <c r="A82" s="34" t="inlineStr">
        <is>
          <t>Balliu</t>
        </is>
      </c>
      <c r="B82" s="34" t="inlineStr">
        <is>
          <t>balliu-mesa-exterior-hpl-24090-cm-d4e471c5</t>
        </is>
      </c>
      <c r="C82" s="34" t="inlineStr">
        <is>
          <t>BALLIU_ATLANTA_MESA_240X90_TABLERO_H_D4E471C5</t>
        </is>
      </c>
      <c r="D82" s="35" t="inlineStr">
        <is>
          <t>Mesa exterior HPL | 240×90 cm</t>
        </is>
      </c>
      <c r="E82" s="36" t="n">
        <v>694.04</v>
      </c>
      <c r="F82" s="36" t="n">
        <v>1422.78</v>
      </c>
      <c r="G82" s="36" t="n">
        <v>395.26</v>
      </c>
      <c r="H82" s="37" t="n">
        <v>56.95</v>
      </c>
      <c r="I82" s="36" t="n">
        <v>1422.78</v>
      </c>
      <c r="J82" s="36" t="n">
        <v>0</v>
      </c>
    </row>
    <row r="83" ht="15.75" customHeight="1" s="98">
      <c r="A83" s="38" t="inlineStr">
        <is>
          <t>Balliu</t>
        </is>
      </c>
      <c r="B83" s="38" t="inlineStr">
        <is>
          <t>balliu-mesa-exterior-140-18090-cm-e4ec7d7c</t>
        </is>
      </c>
      <c r="C83" s="38" t="inlineStr">
        <is>
          <t>BALLIU_ATLANTA_MESA_140_180X90_EXTEN_E4EC7D7C</t>
        </is>
      </c>
      <c r="D83" s="39" t="inlineStr">
        <is>
          <t>Mesa exterior | 140/180×90 cm</t>
        </is>
      </c>
      <c r="E83" s="40" t="n">
        <v>789.72</v>
      </c>
      <c r="F83" s="40" t="n">
        <v>1618.93</v>
      </c>
      <c r="G83" s="40" t="n">
        <v>449.74</v>
      </c>
      <c r="H83" s="41" t="n">
        <v>56.95</v>
      </c>
      <c r="I83" s="40" t="n">
        <v>1618.93</v>
      </c>
      <c r="J83" s="40" t="n">
        <v>0</v>
      </c>
    </row>
    <row r="84" ht="15.75" customHeight="1" s="98">
      <c r="A84" s="34" t="inlineStr">
        <is>
          <t>Balliu</t>
        </is>
      </c>
      <c r="B84" s="34" t="inlineStr">
        <is>
          <t>balliu-mesa-exterior-200-260100-cm-9d798e50</t>
        </is>
      </c>
      <c r="C84" s="34" t="inlineStr">
        <is>
          <t>BALLIU_ATLANTA_MESA_200_260X100_EXTE_9D798E50</t>
        </is>
      </c>
      <c r="D84" s="35" t="inlineStr">
        <is>
          <t>Mesa exterior | 200/260×100 cm</t>
        </is>
      </c>
      <c r="E84" s="36" t="n">
        <v>1035.01</v>
      </c>
      <c r="F84" s="36" t="n">
        <v>2121.77</v>
      </c>
      <c r="G84" s="36" t="n">
        <v>589.4400000000001</v>
      </c>
      <c r="H84" s="37" t="n">
        <v>56.95</v>
      </c>
      <c r="I84" s="36" t="n">
        <v>2121.77</v>
      </c>
      <c r="J84" s="36" t="n">
        <v>0</v>
      </c>
    </row>
    <row r="85" ht="15.75" customHeight="1" s="98">
      <c r="A85" s="38" t="inlineStr">
        <is>
          <t>Balliu</t>
        </is>
      </c>
      <c r="B85" s="38" t="inlineStr">
        <is>
          <t>balliu-mesa-exterior-hpl-140-180100-cm-8e073aab</t>
        </is>
      </c>
      <c r="C85" s="38" t="inlineStr">
        <is>
          <t>BALLIU_MESA_JAVA_140_180X100_EXTE_8E073AAB</t>
        </is>
      </c>
      <c r="D85" s="39" t="inlineStr">
        <is>
          <t>Mesa exterior HPL | 140/180×100 cm</t>
        </is>
      </c>
      <c r="E85" s="40" t="n">
        <v>975.21</v>
      </c>
      <c r="F85" s="40" t="n">
        <v>1999.18</v>
      </c>
      <c r="G85" s="40" t="n">
        <v>555.38</v>
      </c>
      <c r="H85" s="41" t="n">
        <v>56.95</v>
      </c>
      <c r="I85" s="40" t="n">
        <v>1999.18</v>
      </c>
      <c r="J85" s="40" t="n">
        <v>0</v>
      </c>
    </row>
    <row r="86" ht="15.75" customHeight="1" s="98">
      <c r="A86" s="34" t="inlineStr">
        <is>
          <t>Balliu</t>
        </is>
      </c>
      <c r="B86" s="34" t="inlineStr">
        <is>
          <t>balliu-mesa-exterior-hpl-140-180100-cm-e5e3bb40</t>
        </is>
      </c>
      <c r="C86" s="34" t="inlineStr">
        <is>
          <t>BALLIU_MESA_JAVA_140_180X100_EXTE_E5E3BB40</t>
        </is>
      </c>
      <c r="D86" s="35" t="inlineStr">
        <is>
          <t>Mesa exterior HPL | 140/180×100 cm</t>
        </is>
      </c>
      <c r="E86" s="36" t="n">
        <v>987.5599999999999</v>
      </c>
      <c r="F86" s="36" t="n">
        <v>2024.5</v>
      </c>
      <c r="G86" s="36" t="n">
        <v>562.42</v>
      </c>
      <c r="H86" s="37" t="n">
        <v>56.95</v>
      </c>
      <c r="I86" s="36" t="n">
        <v>2024.5</v>
      </c>
      <c r="J86" s="36" t="n">
        <v>0</v>
      </c>
    </row>
    <row r="87" ht="15.75" customHeight="1" s="98">
      <c r="A87" s="38" t="inlineStr">
        <is>
          <t>Balliu</t>
        </is>
      </c>
      <c r="B87" s="38" t="inlineStr">
        <is>
          <t>balliu-mesa-exterior-hpl-200-260100-cm-23187ea9</t>
        </is>
      </c>
      <c r="C87" s="38" t="inlineStr">
        <is>
          <t>BALLIU_MESA_JAVA_200_260X100_EXTE_23187EA9</t>
        </is>
      </c>
      <c r="D87" s="39" t="inlineStr">
        <is>
          <t>Mesa exterior HPL | 200/260×100 cm</t>
        </is>
      </c>
      <c r="E87" s="40" t="n">
        <v>1250.19</v>
      </c>
      <c r="F87" s="40" t="n">
        <v>2562.89</v>
      </c>
      <c r="G87" s="40" t="n">
        <v>711.98</v>
      </c>
      <c r="H87" s="41" t="n">
        <v>56.95</v>
      </c>
      <c r="I87" s="40" t="n">
        <v>2562.89</v>
      </c>
      <c r="J87" s="40" t="n">
        <v>0</v>
      </c>
    </row>
    <row r="88" ht="15.75" customHeight="1" s="98">
      <c r="A88" s="34" t="inlineStr">
        <is>
          <t>Balliu</t>
        </is>
      </c>
      <c r="B88" s="34" t="inlineStr">
        <is>
          <t>balliu-mesa-exterior-hpl-200-260100-cm-4a63be2f</t>
        </is>
      </c>
      <c r="C88" s="34" t="inlineStr">
        <is>
          <t>BALLIU_MESA_JAVA_200_260X100_EXTE_4A63BE2F</t>
        </is>
      </c>
      <c r="D88" s="35" t="inlineStr">
        <is>
          <t>Mesa exterior HPL | 200/260×100 cm</t>
        </is>
      </c>
      <c r="E88" s="36" t="n">
        <v>1423.37</v>
      </c>
      <c r="F88" s="36" t="n">
        <v>2917.91</v>
      </c>
      <c r="G88" s="36" t="n">
        <v>810.61</v>
      </c>
      <c r="H88" s="37" t="n">
        <v>56.95</v>
      </c>
      <c r="I88" s="36" t="n">
        <v>2917.91</v>
      </c>
      <c r="J88" s="36" t="n">
        <v>0</v>
      </c>
    </row>
    <row r="89" ht="15.75" customHeight="1" s="98">
      <c r="A89" s="38" t="inlineStr">
        <is>
          <t>Balliu</t>
        </is>
      </c>
      <c r="B89" s="38" t="inlineStr">
        <is>
          <t>balliu-mesa-alta-exterior-hpl-45c511e9</t>
        </is>
      </c>
      <c r="C89" s="38" t="inlineStr">
        <is>
          <t>BALLIU_DIAM_70_MESA_ALTA_TABLERO_HPL_45C511E9</t>
        </is>
      </c>
      <c r="D89" s="39" t="inlineStr">
        <is>
          <t>Mesa alta exterior HPL</t>
        </is>
      </c>
      <c r="E89" s="40" t="n">
        <v>273.99</v>
      </c>
      <c r="F89" s="40" t="n">
        <v>561.6799999999999</v>
      </c>
      <c r="G89" s="40" t="n">
        <v>156.04</v>
      </c>
      <c r="H89" s="41" t="n">
        <v>56.95</v>
      </c>
      <c r="I89" s="40" t="n">
        <v>561.6799999999999</v>
      </c>
      <c r="J89" s="40" t="n">
        <v>0</v>
      </c>
    </row>
    <row r="90" ht="15.75" customHeight="1" s="98">
      <c r="A90" s="34" t="inlineStr">
        <is>
          <t>Balliu</t>
        </is>
      </c>
      <c r="B90" s="34" t="inlineStr">
        <is>
          <t>balliu-mesa-alta-exterior-hpl-f99491ce</t>
        </is>
      </c>
      <c r="C90" s="34" t="inlineStr">
        <is>
          <t>BALLIU_DIAM_70_MESA_ALTA_TABLERO_HPL_GD_F99491CE</t>
        </is>
      </c>
      <c r="D90" s="35" t="inlineStr">
        <is>
          <t>Mesa alta exterior HPL</t>
        </is>
      </c>
      <c r="E90" s="36" t="n">
        <v>279.99</v>
      </c>
      <c r="F90" s="36" t="n">
        <v>573.98</v>
      </c>
      <c r="G90" s="36" t="n">
        <v>159.45</v>
      </c>
      <c r="H90" s="37" t="n">
        <v>56.95</v>
      </c>
      <c r="I90" s="36" t="n">
        <v>573.98</v>
      </c>
      <c r="J90" s="36" t="n">
        <v>0</v>
      </c>
    </row>
    <row r="91" ht="15.75" customHeight="1" s="98">
      <c r="A91" s="38" t="inlineStr">
        <is>
          <t>Balliu</t>
        </is>
      </c>
      <c r="B91" s="38" t="inlineStr">
        <is>
          <t>balliu-mesa-exterior-hpl-451e7ba8</t>
        </is>
      </c>
      <c r="C91" s="38" t="inlineStr">
        <is>
          <t>BALLIU_DIAM_70_MESA_TABLERO_HPL_451E7BA8</t>
        </is>
      </c>
      <c r="D91" s="39" t="inlineStr">
        <is>
          <t>Mesa exterior HPL</t>
        </is>
      </c>
      <c r="E91" s="40" t="n">
        <v>187.58</v>
      </c>
      <c r="F91" s="40" t="n">
        <v>384.54</v>
      </c>
      <c r="G91" s="40" t="n">
        <v>106.83</v>
      </c>
      <c r="H91" s="41" t="n">
        <v>56.95</v>
      </c>
      <c r="I91" s="40" t="n">
        <v>384.54</v>
      </c>
      <c r="J91" s="40" t="n">
        <v>0</v>
      </c>
    </row>
    <row r="92" ht="15.75" customHeight="1" s="98">
      <c r="A92" s="34" t="inlineStr">
        <is>
          <t>Balliu</t>
        </is>
      </c>
      <c r="B92" s="34" t="inlineStr">
        <is>
          <t>balliu-mesa-exterior-hpl-3adfe773</t>
        </is>
      </c>
      <c r="C92" s="34" t="inlineStr">
        <is>
          <t>BALLIU_DIAM_70_MESA_TABLERO_HPL_GD_3ADFE773</t>
        </is>
      </c>
      <c r="D92" s="35" t="inlineStr">
        <is>
          <t>Mesa exterior HPL</t>
        </is>
      </c>
      <c r="E92" s="36" t="n">
        <v>208.21</v>
      </c>
      <c r="F92" s="36" t="n">
        <v>426.83</v>
      </c>
      <c r="G92" s="36" t="n">
        <v>118.58</v>
      </c>
      <c r="H92" s="37" t="n">
        <v>56.95</v>
      </c>
      <c r="I92" s="36" t="n">
        <v>426.83</v>
      </c>
      <c r="J92" s="36" t="n">
        <v>0</v>
      </c>
    </row>
    <row r="93" ht="15.75" customHeight="1" s="98">
      <c r="A93" s="38" t="inlineStr">
        <is>
          <t>Balliu</t>
        </is>
      </c>
      <c r="B93" s="38" t="inlineStr">
        <is>
          <t>balliu-mesa-exterior-hpl-65e3ca13</t>
        </is>
      </c>
      <c r="C93" s="38" t="inlineStr">
        <is>
          <t>BALLIU_DIAM_80_MESA_TABLERO_HPL_65E3CA13</t>
        </is>
      </c>
      <c r="D93" s="39" t="inlineStr">
        <is>
          <t>Mesa exterior HPL</t>
        </is>
      </c>
      <c r="E93" s="40" t="n">
        <v>207.97</v>
      </c>
      <c r="F93" s="40" t="n">
        <v>426.34</v>
      </c>
      <c r="G93" s="40" t="n">
        <v>118.44</v>
      </c>
      <c r="H93" s="41" t="n">
        <v>56.95</v>
      </c>
      <c r="I93" s="40" t="n">
        <v>426.34</v>
      </c>
      <c r="J93" s="40" t="n">
        <v>0</v>
      </c>
    </row>
    <row r="94" ht="15.75" customHeight="1" s="98">
      <c r="A94" s="34" t="inlineStr">
        <is>
          <t>Balliu</t>
        </is>
      </c>
      <c r="B94" s="34" t="inlineStr">
        <is>
          <t>balliu-mesa-exterior-hpl-1b4f3962</t>
        </is>
      </c>
      <c r="C94" s="34" t="inlineStr">
        <is>
          <t>BALLIU_DIAM_80_MESA_TABLERO_HPL_GD_1B4F3962</t>
        </is>
      </c>
      <c r="D94" s="35" t="inlineStr">
        <is>
          <t>Mesa exterior HPL</t>
        </is>
      </c>
      <c r="E94" s="36" t="n">
        <v>235.95</v>
      </c>
      <c r="F94" s="36" t="n">
        <v>483.7</v>
      </c>
      <c r="G94" s="36" t="n">
        <v>134.37</v>
      </c>
      <c r="H94" s="37" t="n">
        <v>56.95</v>
      </c>
      <c r="I94" s="36" t="n">
        <v>483.7</v>
      </c>
      <c r="J94" s="36" t="n">
        <v>0</v>
      </c>
    </row>
    <row r="95" ht="15.75" customHeight="1" s="98">
      <c r="A95" s="38" t="inlineStr">
        <is>
          <t>Balliu</t>
        </is>
      </c>
      <c r="B95" s="38" t="inlineStr">
        <is>
          <t>balliu-mesa-exterior-aluminio-90-cm-22901f1b</t>
        </is>
      </c>
      <c r="C95" s="38" t="inlineStr">
        <is>
          <t>BALLIU_CAPRI_MESA_DIAM_90_TABLE_HP_22901F1B</t>
        </is>
      </c>
      <c r="D95" s="39" t="inlineStr">
        <is>
          <t>Mesa exterior aluminio | Ø90 cm</t>
        </is>
      </c>
      <c r="E95" s="40" t="n">
        <v>209.41</v>
      </c>
      <c r="F95" s="40" t="n">
        <v>429.29</v>
      </c>
      <c r="G95" s="40" t="n">
        <v>119.26</v>
      </c>
      <c r="H95" s="41" t="n">
        <v>56.95</v>
      </c>
      <c r="I95" s="40" t="n">
        <v>429.29</v>
      </c>
      <c r="J95" s="40" t="n">
        <v>0</v>
      </c>
    </row>
    <row r="96" ht="15.75" customHeight="1" s="98">
      <c r="A96" s="34" t="inlineStr">
        <is>
          <t>Balliu</t>
        </is>
      </c>
      <c r="B96" s="34" t="inlineStr">
        <is>
          <t>balliu-mesa-exterior-aluminio-90-cm-22901f1b</t>
        </is>
      </c>
      <c r="C96" s="34" t="inlineStr">
        <is>
          <t>BALLIU_CAPRI_MESA_DIAM_90_TABLE_HP_6C6DFD1C</t>
        </is>
      </c>
      <c r="D96" s="35" t="inlineStr">
        <is>
          <t>Mesa exterior aluminio | Ø90 cm</t>
        </is>
      </c>
      <c r="E96" s="36" t="n">
        <v>237.88</v>
      </c>
      <c r="F96" s="36" t="n">
        <v>487.65</v>
      </c>
      <c r="G96" s="36" t="n">
        <v>135.47</v>
      </c>
      <c r="H96" s="37" t="n">
        <v>56.95</v>
      </c>
      <c r="I96" s="36" t="n">
        <v>487.65</v>
      </c>
      <c r="J96" s="36" t="n">
        <v>0</v>
      </c>
    </row>
    <row r="97" ht="15.75" customHeight="1" s="98">
      <c r="A97" s="38" t="inlineStr">
        <is>
          <t>Balliu</t>
        </is>
      </c>
      <c r="B97" s="38" t="inlineStr">
        <is>
          <t>balliu-mesa-exterior-aluminio-7070-cm-724b0db0</t>
        </is>
      </c>
      <c r="C97" s="38" t="inlineStr">
        <is>
          <t>BALLIU_CAPRI_MESA_70X70_PIE_SIMPLE_724B0DB0</t>
        </is>
      </c>
      <c r="D97" s="39" t="inlineStr">
        <is>
          <t>Mesa exterior aluminio | 70×70 cm</t>
        </is>
      </c>
      <c r="E97" s="40" t="n">
        <v>203.29</v>
      </c>
      <c r="F97" s="40" t="n">
        <v>416.74</v>
      </c>
      <c r="G97" s="40" t="n">
        <v>115.77</v>
      </c>
      <c r="H97" s="41" t="n">
        <v>56.95</v>
      </c>
      <c r="I97" s="40" t="n">
        <v>416.74</v>
      </c>
      <c r="J97" s="40" t="n">
        <v>0</v>
      </c>
    </row>
    <row r="98" ht="15.75" customHeight="1" s="98">
      <c r="A98" s="34" t="inlineStr">
        <is>
          <t>Balliu</t>
        </is>
      </c>
      <c r="B98" s="34" t="inlineStr">
        <is>
          <t>balliu-mesa-exterior-aluminio-7070-cm-724b0db0</t>
        </is>
      </c>
      <c r="C98" s="34" t="inlineStr">
        <is>
          <t>BALLIU_CAPRI_MESA_70X70_PIE_SIMPLE_A0A23F40</t>
        </is>
      </c>
      <c r="D98" s="35" t="inlineStr">
        <is>
          <t>Mesa exterior aluminio | 70×70 cm</t>
        </is>
      </c>
      <c r="E98" s="36" t="n">
        <v>232.21</v>
      </c>
      <c r="F98" s="36" t="n">
        <v>476.03</v>
      </c>
      <c r="G98" s="36" t="n">
        <v>132.24</v>
      </c>
      <c r="H98" s="37" t="n">
        <v>56.95</v>
      </c>
      <c r="I98" s="36" t="n">
        <v>476.03</v>
      </c>
      <c r="J98" s="36" t="n">
        <v>0</v>
      </c>
    </row>
    <row r="99" ht="15.75" customHeight="1" s="98">
      <c r="A99" s="38" t="inlineStr">
        <is>
          <t>Balliu</t>
        </is>
      </c>
      <c r="B99" s="38" t="inlineStr">
        <is>
          <t>balliu-mesa-exterior-aluminio-7070-cm-724b0db0</t>
        </is>
      </c>
      <c r="C99" s="38" t="inlineStr">
        <is>
          <t>BALLIU_CAPRI_MESA_80X80_PIE_SIMPLE_2A80CB3A</t>
        </is>
      </c>
      <c r="D99" s="39" t="inlineStr">
        <is>
          <t>Mesa exterior aluminio | 80×80 cm</t>
        </is>
      </c>
      <c r="E99" s="40" t="n">
        <v>218.28</v>
      </c>
      <c r="F99" s="40" t="n">
        <v>447.47</v>
      </c>
      <c r="G99" s="40" t="n">
        <v>124.31</v>
      </c>
      <c r="H99" s="41" t="n">
        <v>56.95</v>
      </c>
      <c r="I99" s="40" t="n">
        <v>447.47</v>
      </c>
      <c r="J99" s="40" t="n">
        <v>0</v>
      </c>
    </row>
    <row r="100" ht="15.75" customHeight="1" s="98">
      <c r="A100" s="34" t="inlineStr">
        <is>
          <t>Balliu</t>
        </is>
      </c>
      <c r="B100" s="34" t="inlineStr">
        <is>
          <t>balliu-mesa-exterior-aluminio-7070-cm-724b0db0</t>
        </is>
      </c>
      <c r="C100" s="34" t="inlineStr">
        <is>
          <t>BALLIU_CAPRI_MESA_80X80_PIE_SIMPLE_8CA835FF</t>
        </is>
      </c>
      <c r="D100" s="35" t="inlineStr">
        <is>
          <t>Mesa exterior aluminio | 80×80 cm</t>
        </is>
      </c>
      <c r="E100" s="36" t="n">
        <v>228.9</v>
      </c>
      <c r="F100" s="36" t="n">
        <v>469.25</v>
      </c>
      <c r="G100" s="36" t="n">
        <v>130.36</v>
      </c>
      <c r="H100" s="37" t="n">
        <v>56.95</v>
      </c>
      <c r="I100" s="36" t="n">
        <v>469.25</v>
      </c>
      <c r="J100" s="36" t="n">
        <v>0</v>
      </c>
    </row>
    <row r="101" ht="15.75" customHeight="1" s="98">
      <c r="A101" s="38" t="inlineStr">
        <is>
          <t>Balliu</t>
        </is>
      </c>
      <c r="B101" s="38" t="inlineStr">
        <is>
          <t>balliu-mesa-exterior-aluminio-7070-cm-724b0db0</t>
        </is>
      </c>
      <c r="C101" s="38" t="inlineStr">
        <is>
          <t>BALLIU_CAPRI_MESA_120X80_PIE_DOBLE_5C848C82</t>
        </is>
      </c>
      <c r="D101" s="39" t="inlineStr">
        <is>
          <t>Mesa exterior aluminio | 120×80 cm</t>
        </is>
      </c>
      <c r="E101" s="40" t="n">
        <v>285.53</v>
      </c>
      <c r="F101" s="40" t="n">
        <v>585.34</v>
      </c>
      <c r="G101" s="40" t="n">
        <v>162.61</v>
      </c>
      <c r="H101" s="41" t="n">
        <v>56.95</v>
      </c>
      <c r="I101" s="40" t="n">
        <v>585.34</v>
      </c>
      <c r="J101" s="40" t="n">
        <v>0</v>
      </c>
    </row>
    <row r="102" ht="15.75" customHeight="1" s="98">
      <c r="A102" s="34" t="inlineStr">
        <is>
          <t>Balliu</t>
        </is>
      </c>
      <c r="B102" s="34" t="inlineStr">
        <is>
          <t>balliu-mesa-exterior-aluminio-7070-cm-724b0db0</t>
        </is>
      </c>
      <c r="C102" s="34" t="inlineStr">
        <is>
          <t>BALLIU_CAPRI_MESA_120X80_PIE_DOBLE_798DCADF</t>
        </is>
      </c>
      <c r="D102" s="35" t="inlineStr">
        <is>
          <t>Mesa exterior aluminio | 120×80 cm</t>
        </is>
      </c>
      <c r="E102" s="36" t="n">
        <v>334.63</v>
      </c>
      <c r="F102" s="36" t="n">
        <v>685.99</v>
      </c>
      <c r="G102" s="36" t="n">
        <v>190.57</v>
      </c>
      <c r="H102" s="37" t="n">
        <v>56.95</v>
      </c>
      <c r="I102" s="36" t="n">
        <v>685.99</v>
      </c>
      <c r="J102" s="36" t="n">
        <v>0</v>
      </c>
    </row>
    <row r="103" ht="15.75" customHeight="1" s="98">
      <c r="A103" s="38" t="inlineStr">
        <is>
          <t>Balliu</t>
        </is>
      </c>
      <c r="B103" s="38" t="inlineStr">
        <is>
          <t>balliu-mesa-exterior-aluminio-7070-cm-724b0db0</t>
        </is>
      </c>
      <c r="C103" s="38" t="inlineStr">
        <is>
          <t>BALLIU_CAPRI_MESA_120X80_PIE_DOBLE_3C3BF077</t>
        </is>
      </c>
      <c r="D103" s="39" t="inlineStr">
        <is>
          <t>Mesa exterior aluminio | 120×80 cm</t>
        </is>
      </c>
      <c r="E103" s="40" t="n">
        <v>325.1</v>
      </c>
      <c r="F103" s="40" t="n">
        <v>666.46</v>
      </c>
      <c r="G103" s="40" t="n">
        <v>185.14</v>
      </c>
      <c r="H103" s="41" t="n">
        <v>56.95</v>
      </c>
      <c r="I103" s="40" t="n">
        <v>666.46</v>
      </c>
      <c r="J103" s="40" t="n">
        <v>0</v>
      </c>
    </row>
    <row r="104" ht="15.75" customHeight="1" s="98">
      <c r="A104" s="34" t="inlineStr">
        <is>
          <t>Balliu</t>
        </is>
      </c>
      <c r="B104" s="34" t="inlineStr">
        <is>
          <t>balliu-mesa-exterior-aluminio-7070-cm-724b0db0</t>
        </is>
      </c>
      <c r="C104" s="34" t="inlineStr">
        <is>
          <t>BALLIU_CAPRI_MESA_120X80_PIE_DOBLE_05C442CF</t>
        </is>
      </c>
      <c r="D104" s="35" t="inlineStr">
        <is>
          <t>Mesa exterior aluminio | 120×80 cm</t>
        </is>
      </c>
      <c r="E104" s="36" t="n">
        <v>358.03</v>
      </c>
      <c r="F104" s="36" t="n">
        <v>733.96</v>
      </c>
      <c r="G104" s="36" t="n">
        <v>203.9</v>
      </c>
      <c r="H104" s="37" t="n">
        <v>56.95</v>
      </c>
      <c r="I104" s="36" t="n">
        <v>733.96</v>
      </c>
      <c r="J104" s="36" t="n">
        <v>0</v>
      </c>
    </row>
    <row r="105" ht="15.75" customHeight="1" s="98">
      <c r="A105" s="38" t="inlineStr">
        <is>
          <t>Balliu</t>
        </is>
      </c>
      <c r="B105" s="38" t="inlineStr">
        <is>
          <t>balliu-mesa-alta-exterior-hpl-a3352658-2</t>
        </is>
      </c>
      <c r="C105" s="38" t="inlineStr">
        <is>
          <t>BALLIU_60X60_MESA_ALTA_TABLERO_HPL_GD_A3352658</t>
        </is>
      </c>
      <c r="D105" s="39" t="inlineStr">
        <is>
          <t>Mesa alta exterior HPL</t>
        </is>
      </c>
      <c r="E105" s="40" t="n">
        <v>245.33</v>
      </c>
      <c r="F105" s="40" t="n">
        <v>502.93</v>
      </c>
      <c r="G105" s="40" t="n">
        <v>139.71</v>
      </c>
      <c r="H105" s="41" t="n">
        <v>56.95</v>
      </c>
      <c r="I105" s="40" t="n">
        <v>502.93</v>
      </c>
      <c r="J105" s="40" t="n">
        <v>0</v>
      </c>
    </row>
    <row r="106" ht="15.75" customHeight="1" s="98">
      <c r="A106" s="34" t="inlineStr">
        <is>
          <t>Balliu</t>
        </is>
      </c>
      <c r="B106" s="34" t="inlineStr">
        <is>
          <t>balliu-mesa-alta-exterior-hpl-a3352658-2</t>
        </is>
      </c>
      <c r="C106" s="34" t="inlineStr">
        <is>
          <t>BALLIU_60X60_MESA_ALTA_TABLERO_HPL_GD_A3352658</t>
        </is>
      </c>
      <c r="D106" s="35" t="inlineStr">
        <is>
          <t>Mesa alta exterior HPL</t>
        </is>
      </c>
      <c r="E106" s="36" t="n">
        <v>263.01</v>
      </c>
      <c r="F106" s="36" t="n">
        <v>539.17</v>
      </c>
      <c r="G106" s="36" t="n">
        <v>149.78</v>
      </c>
      <c r="H106" s="37" t="n">
        <v>56.95</v>
      </c>
      <c r="I106" s="36" t="n">
        <v>539.17</v>
      </c>
      <c r="J106" s="36" t="n">
        <v>0</v>
      </c>
    </row>
    <row r="107" ht="15.75" customHeight="1" s="98">
      <c r="A107" s="38" t="inlineStr">
        <is>
          <t>Balliu</t>
        </is>
      </c>
      <c r="B107" s="38" t="inlineStr">
        <is>
          <t>balliu-mesa-alta-exterior-hpl-94512eab</t>
        </is>
      </c>
      <c r="C107" s="38" t="inlineStr">
        <is>
          <t>BALLIU_70X70_MESA_ALTA_TABLERO_HPL_94512EAB</t>
        </is>
      </c>
      <c r="D107" s="39" t="inlineStr">
        <is>
          <t>Mesa alta exterior HPL</t>
        </is>
      </c>
      <c r="E107" s="40" t="n">
        <v>283.88</v>
      </c>
      <c r="F107" s="40" t="n">
        <v>581.95</v>
      </c>
      <c r="G107" s="40" t="n">
        <v>161.67</v>
      </c>
      <c r="H107" s="41" t="n">
        <v>56.95</v>
      </c>
      <c r="I107" s="40" t="n">
        <v>581.95</v>
      </c>
      <c r="J107" s="40" t="n">
        <v>0</v>
      </c>
    </row>
    <row r="108" ht="15.75" customHeight="1" s="98">
      <c r="A108" s="34" t="inlineStr">
        <is>
          <t>Balliu</t>
        </is>
      </c>
      <c r="B108" s="34" t="inlineStr">
        <is>
          <t>balliu-mesa-alta-exterior-hpl-5d74130e</t>
        </is>
      </c>
      <c r="C108" s="34" t="inlineStr">
        <is>
          <t>BALLIU_70X70_MESA_ALTA_TABLERO_HPL_GD_5D74130E</t>
        </is>
      </c>
      <c r="D108" s="35" t="inlineStr">
        <is>
          <t>Mesa alta exterior HPL</t>
        </is>
      </c>
      <c r="E108" s="36" t="n">
        <v>317.28</v>
      </c>
      <c r="F108" s="36" t="n">
        <v>650.42</v>
      </c>
      <c r="G108" s="36" t="n">
        <v>180.69</v>
      </c>
      <c r="H108" s="37" t="n">
        <v>56.95</v>
      </c>
      <c r="I108" s="36" t="n">
        <v>650.42</v>
      </c>
      <c r="J108" s="36" t="n">
        <v>0</v>
      </c>
    </row>
    <row r="109" ht="15.75" customHeight="1" s="98">
      <c r="A109" s="38" t="inlineStr">
        <is>
          <t>Balliu</t>
        </is>
      </c>
      <c r="B109" s="38" t="inlineStr">
        <is>
          <t>balliu-mesa-exterior-hpl-7070-cm-9d14e31f</t>
        </is>
      </c>
      <c r="C109" s="38" t="inlineStr">
        <is>
          <t>BALLIU_SOFIA_MESA_70X70_TABLERO_HP_9D14E31F</t>
        </is>
      </c>
      <c r="D109" s="39" t="inlineStr">
        <is>
          <t>Mesa exterior HPL | 70×70 cm</t>
        </is>
      </c>
      <c r="E109" s="40" t="n">
        <v>178.35</v>
      </c>
      <c r="F109" s="40" t="n">
        <v>365.62</v>
      </c>
      <c r="G109" s="40" t="n">
        <v>101.57</v>
      </c>
      <c r="H109" s="41" t="n">
        <v>56.95</v>
      </c>
      <c r="I109" s="40" t="n">
        <v>365.62</v>
      </c>
      <c r="J109" s="40" t="n">
        <v>0</v>
      </c>
    </row>
    <row r="110" ht="15.75" customHeight="1" s="98">
      <c r="A110" s="34" t="inlineStr">
        <is>
          <t>Balliu</t>
        </is>
      </c>
      <c r="B110" s="34" t="inlineStr">
        <is>
          <t>balliu-mesa-exterior-hpl-7070-cm-146f72ca</t>
        </is>
      </c>
      <c r="C110" s="34" t="inlineStr">
        <is>
          <t>BALLIU_SOFIA_MESA_70X70_TABLERO_HP_146F72CA</t>
        </is>
      </c>
      <c r="D110" s="35" t="inlineStr">
        <is>
          <t>Mesa exterior HPL | 70×70 cm</t>
        </is>
      </c>
      <c r="E110" s="36" t="n">
        <v>177.5</v>
      </c>
      <c r="F110" s="36" t="n">
        <v>363.88</v>
      </c>
      <c r="G110" s="36" t="n">
        <v>101.09</v>
      </c>
      <c r="H110" s="37" t="n">
        <v>56.95</v>
      </c>
      <c r="I110" s="36" t="n">
        <v>363.88</v>
      </c>
      <c r="J110" s="36" t="n">
        <v>0</v>
      </c>
    </row>
    <row r="111" ht="15.75" customHeight="1" s="98">
      <c r="A111" s="38" t="inlineStr">
        <is>
          <t>Balliu</t>
        </is>
      </c>
      <c r="B111" s="38" t="inlineStr">
        <is>
          <t>balliu-mesa-exterior-hpl-8080-cm-1a2fe7b5</t>
        </is>
      </c>
      <c r="C111" s="38" t="inlineStr">
        <is>
          <t>BALLIU_SOFIA_MESA_80X80_TABLERO_HP_1A2FE7B5</t>
        </is>
      </c>
      <c r="D111" s="39" t="inlineStr">
        <is>
          <t>Mesa exterior HPL | 80×80 cm</t>
        </is>
      </c>
      <c r="E111" s="40" t="n">
        <v>186.98</v>
      </c>
      <c r="F111" s="40" t="n">
        <v>383.31</v>
      </c>
      <c r="G111" s="40" t="n">
        <v>106.48</v>
      </c>
      <c r="H111" s="41" t="n">
        <v>56.95</v>
      </c>
      <c r="I111" s="40" t="n">
        <v>383.31</v>
      </c>
      <c r="J111" s="40" t="n">
        <v>0</v>
      </c>
    </row>
    <row r="112" ht="15.75" customHeight="1" s="98">
      <c r="A112" s="34" t="inlineStr">
        <is>
          <t>Balliu</t>
        </is>
      </c>
      <c r="B112" s="34" t="inlineStr">
        <is>
          <t>balliu-mesa-exterior-hpl-8080-cm-96593887</t>
        </is>
      </c>
      <c r="C112" s="34" t="inlineStr">
        <is>
          <t>BALLIU_SOFIA_MESA_80X80_TABLERO_HP_96593887</t>
        </is>
      </c>
      <c r="D112" s="35" t="inlineStr">
        <is>
          <t>Mesa exterior HPL | 80×80 cm</t>
        </is>
      </c>
      <c r="E112" s="36" t="n">
        <v>206.53</v>
      </c>
      <c r="F112" s="36" t="n">
        <v>423.39</v>
      </c>
      <c r="G112" s="36" t="n">
        <v>117.62</v>
      </c>
      <c r="H112" s="37" t="n">
        <v>56.95</v>
      </c>
      <c r="I112" s="36" t="n">
        <v>423.39</v>
      </c>
      <c r="J112" s="36" t="n">
        <v>0</v>
      </c>
    </row>
    <row r="113" ht="15.75" customHeight="1" s="98">
      <c r="A113" s="38" t="inlineStr">
        <is>
          <t>Balliu</t>
        </is>
      </c>
      <c r="B113" s="38" t="inlineStr">
        <is>
          <t>balliu-mesa-exterior-hpl-7070-cm-f6074154</t>
        </is>
      </c>
      <c r="C113" s="38" t="inlineStr">
        <is>
          <t>BALLIU_SOFIA_MESA_70X70_HPL_F6074154</t>
        </is>
      </c>
      <c r="D113" s="39" t="inlineStr">
        <is>
          <t>Mesa exterior HPL | 70×70 cm</t>
        </is>
      </c>
      <c r="E113" s="40" t="n">
        <v>226.39</v>
      </c>
      <c r="F113" s="40" t="n">
        <v>464.1</v>
      </c>
      <c r="G113" s="40" t="n">
        <v>128.93</v>
      </c>
      <c r="H113" s="41" t="n">
        <v>56.95</v>
      </c>
      <c r="I113" s="40" t="n">
        <v>464.1</v>
      </c>
      <c r="J113" s="40" t="n">
        <v>0</v>
      </c>
    </row>
    <row r="114" ht="15.75" customHeight="1" s="98">
      <c r="A114" s="34" t="inlineStr">
        <is>
          <t>Balliu</t>
        </is>
      </c>
      <c r="B114" s="34" t="inlineStr">
        <is>
          <t>balliu-mesa-exterior-aluminio-7070-cm-1b61e6b6</t>
        </is>
      </c>
      <c r="C114" s="34" t="inlineStr">
        <is>
          <t>BALLIU_ALTEA_MESA_70_X_70_HPL_GD_1B61E6B6</t>
        </is>
      </c>
      <c r="D114" s="35" t="inlineStr">
        <is>
          <t>Mesa exterior aluminio | 70×70 cm</t>
        </is>
      </c>
      <c r="E114" s="36" t="n">
        <v>258.36</v>
      </c>
      <c r="F114" s="36" t="n">
        <v>529.64</v>
      </c>
      <c r="G114" s="36" t="n">
        <v>147.14</v>
      </c>
      <c r="H114" s="37" t="n">
        <v>56.95</v>
      </c>
      <c r="I114" s="36" t="n">
        <v>529.64</v>
      </c>
      <c r="J114" s="36" t="n">
        <v>0</v>
      </c>
    </row>
    <row r="115" ht="15.75" customHeight="1" s="98">
      <c r="A115" s="38" t="inlineStr">
        <is>
          <t>Balliu</t>
        </is>
      </c>
      <c r="B115" s="38" t="inlineStr">
        <is>
          <t>balliu-mesa-exterior-aluminio-8080-cm-a05618ad</t>
        </is>
      </c>
      <c r="C115" s="38" t="inlineStr">
        <is>
          <t>BALLIU_ALTEA_MESA_80_X_80_HPL_A05618AD</t>
        </is>
      </c>
      <c r="D115" s="39" t="inlineStr">
        <is>
          <t>Mesa exterior aluminio | 80×80 cm</t>
        </is>
      </c>
      <c r="E115" s="40" t="n">
        <v>226.79</v>
      </c>
      <c r="F115" s="40" t="n">
        <v>464.92</v>
      </c>
      <c r="G115" s="40" t="n">
        <v>129.16</v>
      </c>
      <c r="H115" s="41" t="n">
        <v>56.95</v>
      </c>
      <c r="I115" s="40" t="n">
        <v>464.92</v>
      </c>
      <c r="J115" s="40" t="n">
        <v>0</v>
      </c>
    </row>
    <row r="116" ht="15.75" customHeight="1" s="98">
      <c r="A116" s="34" t="inlineStr">
        <is>
          <t>Balliu</t>
        </is>
      </c>
      <c r="B116" s="34" t="inlineStr">
        <is>
          <t>balliu-mesa-exterior-aluminio-8080-cm-0a3ee957</t>
        </is>
      </c>
      <c r="C116" s="34" t="inlineStr">
        <is>
          <t>BALLIU_ALTEA_MESA_80_X_80_HPL_GD_0A3EE957</t>
        </is>
      </c>
      <c r="D116" s="35" t="inlineStr">
        <is>
          <t>Mesa exterior aluminio | 80×80 cm</t>
        </is>
      </c>
      <c r="E116" s="36" t="n">
        <v>258.75</v>
      </c>
      <c r="F116" s="36" t="n">
        <v>530.4400000000001</v>
      </c>
      <c r="G116" s="36" t="n">
        <v>147.36</v>
      </c>
      <c r="H116" s="37" t="n">
        <v>56.95</v>
      </c>
      <c r="I116" s="36" t="n">
        <v>530.4400000000001</v>
      </c>
      <c r="J116" s="36" t="n">
        <v>0</v>
      </c>
    </row>
    <row r="117" ht="15.75" customHeight="1" s="98">
      <c r="A117" s="38" t="inlineStr">
        <is>
          <t>Balliu</t>
        </is>
      </c>
      <c r="B117" s="38" t="inlineStr">
        <is>
          <t>balliu-mesa-exterior-aluminio-80-cm-50525e0b</t>
        </is>
      </c>
      <c r="C117" s="38" t="inlineStr">
        <is>
          <t>BALLIU_ALTEA_MESA_DIAM_80_HPL_50525E0B</t>
        </is>
      </c>
      <c r="D117" s="39" t="inlineStr">
        <is>
          <t>Mesa exterior aluminio | Ø80 cm</t>
        </is>
      </c>
      <c r="E117" s="40" t="n">
        <v>205.19</v>
      </c>
      <c r="F117" s="40" t="n">
        <v>420.64</v>
      </c>
      <c r="G117" s="40" t="n">
        <v>116.86</v>
      </c>
      <c r="H117" s="41" t="n">
        <v>56.95</v>
      </c>
      <c r="I117" s="40" t="n">
        <v>420.64</v>
      </c>
      <c r="J117" s="40" t="n">
        <v>0</v>
      </c>
    </row>
    <row r="118" ht="15.75" customHeight="1" s="98">
      <c r="A118" s="34" t="inlineStr">
        <is>
          <t>Balliu</t>
        </is>
      </c>
      <c r="B118" s="34" t="inlineStr">
        <is>
          <t>balliu-mesa-exterior-aluminio-80-cm-b06218ca</t>
        </is>
      </c>
      <c r="C118" s="34" t="inlineStr">
        <is>
          <t>BALLIU_ALTEA_MESA_DIAM_80_HPL_GD_B06218CA</t>
        </is>
      </c>
      <c r="D118" s="35" t="inlineStr">
        <is>
          <t>Mesa exterior aluminio | Ø80 cm</t>
        </is>
      </c>
      <c r="E118" s="36" t="n">
        <v>211.05</v>
      </c>
      <c r="F118" s="36" t="n">
        <v>432.65</v>
      </c>
      <c r="G118" s="36" t="n">
        <v>120.19</v>
      </c>
      <c r="H118" s="37" t="n">
        <v>56.95</v>
      </c>
      <c r="I118" s="36" t="n">
        <v>432.65</v>
      </c>
      <c r="J118" s="36" t="n">
        <v>0</v>
      </c>
    </row>
    <row r="119" ht="15.75" customHeight="1" s="98">
      <c r="A119" s="38" t="inlineStr">
        <is>
          <t>Balliu</t>
        </is>
      </c>
      <c r="B119" s="38" t="inlineStr">
        <is>
          <t>balliu-mesa-exterior-aluminio-12080-cm-bf75a33d</t>
        </is>
      </c>
      <c r="C119" s="38" t="inlineStr">
        <is>
          <t>BALLIU_ALTEA_MESA_120_X_80_HPL_BF75A33D</t>
        </is>
      </c>
      <c r="D119" s="39" t="inlineStr">
        <is>
          <t>Mesa exterior aluminio | 120×80 cm</t>
        </is>
      </c>
      <c r="E119" s="40" t="n">
        <v>361.89</v>
      </c>
      <c r="F119" s="40" t="n">
        <v>741.87</v>
      </c>
      <c r="G119" s="40" t="n">
        <v>206.1</v>
      </c>
      <c r="H119" s="41" t="n">
        <v>56.95</v>
      </c>
      <c r="I119" s="40" t="n">
        <v>741.87</v>
      </c>
      <c r="J119" s="40" t="n">
        <v>0</v>
      </c>
    </row>
    <row r="120" ht="15.75" customHeight="1" s="98">
      <c r="A120" s="34" t="inlineStr">
        <is>
          <t>Balliu</t>
        </is>
      </c>
      <c r="B120" s="34" t="inlineStr">
        <is>
          <t>balliu-mesa-exterior-aluminio-75-cm-d7ab6e04</t>
        </is>
      </c>
      <c r="C120" s="34" t="inlineStr">
        <is>
          <t>BALLIU_AGATA_MESA_120_X_80_HPL_GD_D7AB6E04</t>
        </is>
      </c>
      <c r="D120" s="35" t="inlineStr">
        <is>
          <t>Mesa exterior aluminio | 75 cm</t>
        </is>
      </c>
      <c r="E120" s="36" t="n">
        <v>368.6</v>
      </c>
      <c r="F120" s="36" t="n">
        <v>755.63</v>
      </c>
      <c r="G120" s="36" t="n">
        <v>209.92</v>
      </c>
      <c r="H120" s="37" t="n">
        <v>56.95</v>
      </c>
      <c r="I120" s="36" t="n">
        <v>755.63</v>
      </c>
      <c r="J120" s="36" t="n">
        <v>0</v>
      </c>
    </row>
    <row r="121" ht="15.75" customHeight="1" s="98">
      <c r="A121" s="38" t="inlineStr">
        <is>
          <t>Balliu</t>
        </is>
      </c>
      <c r="B121" s="38" t="inlineStr">
        <is>
          <t>balliu-mesa-exterior-aluminio-75-cm-dd745448</t>
        </is>
      </c>
      <c r="C121" s="38" t="inlineStr">
        <is>
          <t>BALLIU_AGATA_MESA_70X70_ENCIMERA_A_DD745448</t>
        </is>
      </c>
      <c r="D121" s="39" t="inlineStr">
        <is>
          <t>Mesa exterior aluminio | 75 cm</t>
        </is>
      </c>
      <c r="E121" s="40" t="n">
        <v>186.62</v>
      </c>
      <c r="F121" s="40" t="n">
        <v>382.57</v>
      </c>
      <c r="G121" s="40" t="n">
        <v>106.28</v>
      </c>
      <c r="H121" s="41" t="n">
        <v>56.95</v>
      </c>
      <c r="I121" s="40" t="n">
        <v>382.57</v>
      </c>
      <c r="J121" s="40" t="n">
        <v>0</v>
      </c>
    </row>
    <row r="122" ht="15.75" customHeight="1" s="98">
      <c r="A122" s="34" t="inlineStr">
        <is>
          <t>Balliu</t>
        </is>
      </c>
      <c r="B122" s="34" t="inlineStr">
        <is>
          <t>balliu-mesa-exterior-aluminio-75-cm-c0092e17</t>
        </is>
      </c>
      <c r="C122" s="34" t="inlineStr">
        <is>
          <t>BALLIU_AGATA_MESA_180_X_90_ENCIMER_C0092E17</t>
        </is>
      </c>
      <c r="D122" s="35" t="inlineStr">
        <is>
          <t>Mesa exterior aluminio | 75 cm</t>
        </is>
      </c>
      <c r="E122" s="36" t="n">
        <v>270.76</v>
      </c>
      <c r="F122" s="36" t="n">
        <v>555.0599999999999</v>
      </c>
      <c r="G122" s="36" t="n">
        <v>154.2</v>
      </c>
      <c r="H122" s="37" t="n">
        <v>56.95</v>
      </c>
      <c r="I122" s="36" t="n">
        <v>555.0599999999999</v>
      </c>
      <c r="J122" s="36" t="n">
        <v>0</v>
      </c>
    </row>
    <row r="123" ht="15.75" customHeight="1" s="98">
      <c r="A123" s="38" t="inlineStr">
        <is>
          <t>Balliu</t>
        </is>
      </c>
      <c r="B123" s="38" t="inlineStr">
        <is>
          <t>balliu-mesa-exterior-aluminio-72-cm-72514f40</t>
        </is>
      </c>
      <c r="C123" s="38" t="inlineStr">
        <is>
          <t>BALLIU_NORA_MESA_DIAMETRO_70_ALUM_72514F40</t>
        </is>
      </c>
      <c r="D123" s="39" t="inlineStr">
        <is>
          <t>Mesa exterior aluminio | 72 cm</t>
        </is>
      </c>
      <c r="E123" s="40" t="n">
        <v>120.39</v>
      </c>
      <c r="F123" s="40" t="n">
        <v>246.8</v>
      </c>
      <c r="G123" s="40" t="n">
        <v>68.56</v>
      </c>
      <c r="H123" s="41" t="n">
        <v>56.95</v>
      </c>
      <c r="I123" s="40" t="n">
        <v>246.8</v>
      </c>
      <c r="J123" s="40" t="n">
        <v>0</v>
      </c>
    </row>
    <row r="124" ht="15.75" customHeight="1" s="98">
      <c r="A124" s="34" t="inlineStr">
        <is>
          <t>Balliu</t>
        </is>
      </c>
      <c r="B124" s="34" t="inlineStr">
        <is>
          <t>balliu-sofa-exterior-3-plazas-aluminio-estilo-elegante-62-cm-5e2ef268</t>
        </is>
      </c>
      <c r="C124" s="34" t="inlineStr">
        <is>
          <t>BALLIU_OLIMPIA_SOFA_INDIVIDUAL_TELA__5E2EF268</t>
        </is>
      </c>
      <c r="D124" s="35" t="inlineStr">
        <is>
          <t>Sofá exterior 3 plazas aluminio · estilo elegante | 62 cm</t>
        </is>
      </c>
      <c r="E124" s="36" t="n">
        <v>279.44</v>
      </c>
      <c r="F124" s="36" t="n">
        <v>572.85</v>
      </c>
      <c r="G124" s="36" t="n">
        <v>159.14</v>
      </c>
      <c r="H124" s="37" t="n">
        <v>56.95</v>
      </c>
      <c r="I124" s="36" t="n">
        <v>572.85</v>
      </c>
      <c r="J124" s="36" t="n">
        <v>0</v>
      </c>
    </row>
    <row r="125" ht="15.75" customHeight="1" s="98">
      <c r="A125" s="38" t="inlineStr">
        <is>
          <t>Balliu</t>
        </is>
      </c>
      <c r="B125" s="38" t="inlineStr">
        <is>
          <t>balliu-sofa-exterior-3-plazas-aluminio-estilo-elegante-62-cm-5e2ef268</t>
        </is>
      </c>
      <c r="C125" s="38" t="inlineStr">
        <is>
          <t>BALLIU_OLIMPIA_SOFA_DOBLE_TELA_BALLI_4C82D31E</t>
        </is>
      </c>
      <c r="D125" s="39" t="inlineStr">
        <is>
          <t>Sofá exterior 3 plazas aluminio · estilo elegante | 62 cm</t>
        </is>
      </c>
      <c r="E125" s="40" t="n">
        <v>356.97</v>
      </c>
      <c r="F125" s="40" t="n">
        <v>731.79</v>
      </c>
      <c r="G125" s="40" t="n">
        <v>203.29</v>
      </c>
      <c r="H125" s="41" t="n">
        <v>56.95</v>
      </c>
      <c r="I125" s="40" t="n">
        <v>731.79</v>
      </c>
      <c r="J125" s="40" t="n">
        <v>0</v>
      </c>
    </row>
    <row r="126" ht="15.75" customHeight="1" s="98">
      <c r="A126" s="34" t="inlineStr">
        <is>
          <t>Balliu</t>
        </is>
      </c>
      <c r="B126" s="34" t="inlineStr">
        <is>
          <t>balliu-sofa-exterior-3-plazas-aluminio-estilo-elegante-62-cm-5e2ef268</t>
        </is>
      </c>
      <c r="C126" s="34" t="inlineStr">
        <is>
          <t>BALLIU_OLIMPIA_SOFA_TRIPLE_TELA_BALL_CACE2317</t>
        </is>
      </c>
      <c r="D126" s="35" t="inlineStr">
        <is>
          <t>Sofá exterior 3 plazas aluminio · estilo elegante | 62 cm</t>
        </is>
      </c>
      <c r="E126" s="36" t="n">
        <v>534.41</v>
      </c>
      <c r="F126" s="36" t="n">
        <v>1095.54</v>
      </c>
      <c r="G126" s="36" t="n">
        <v>304.35</v>
      </c>
      <c r="H126" s="37" t="n">
        <v>56.95</v>
      </c>
      <c r="I126" s="36" t="n">
        <v>1095.54</v>
      </c>
      <c r="J126" s="36" t="n">
        <v>0</v>
      </c>
    </row>
    <row r="127" ht="15.75" customHeight="1" s="98">
      <c r="A127" s="38" t="inlineStr">
        <is>
          <t>Balliu</t>
        </is>
      </c>
      <c r="B127" s="38" t="inlineStr">
        <is>
          <t>balliu-mesa-auxiliar-exterior-aluminio-54-cm-19d3d0ee</t>
        </is>
      </c>
      <c r="C127" s="38" t="inlineStr">
        <is>
          <t>BALLIU_OLIMPIA_MESA_AUXILIA_CENTRAL_TABLERO__19D3D0EE</t>
        </is>
      </c>
      <c r="D127" s="39" t="inlineStr">
        <is>
          <t>Mesa auxiliar exterior aluminio | 54 cm</t>
        </is>
      </c>
      <c r="E127" s="40" t="n">
        <v>122.04</v>
      </c>
      <c r="F127" s="40" t="n">
        <v>250.18</v>
      </c>
      <c r="G127" s="40" t="n">
        <v>69.5</v>
      </c>
      <c r="H127" s="41" t="n">
        <v>56.95</v>
      </c>
      <c r="I127" s="40" t="n">
        <v>250.18</v>
      </c>
      <c r="J127" s="40" t="n">
        <v>0</v>
      </c>
    </row>
    <row r="128" ht="15.75" customHeight="1" s="98">
      <c r="A128" s="34" t="inlineStr">
        <is>
          <t>Balliu</t>
        </is>
      </c>
      <c r="B128" s="34" t="inlineStr">
        <is>
          <t>balliu-mesa-auxiliar-exterior-aluminio-54-cm-9e2a2ecb</t>
        </is>
      </c>
      <c r="C128" s="34" t="inlineStr">
        <is>
          <t>BALLIU_OLIMPIA_MESA_AUXILIA_CENTRAL_TABLERO__9E2A2ECB</t>
        </is>
      </c>
      <c r="D128" s="35" t="inlineStr">
        <is>
          <t>Mesa auxiliar exterior aluminio | 54 cm</t>
        </is>
      </c>
      <c r="E128" s="36" t="n">
        <v>130.35</v>
      </c>
      <c r="F128" s="36" t="n">
        <v>267.22</v>
      </c>
      <c r="G128" s="36" t="n">
        <v>74.23</v>
      </c>
      <c r="H128" s="37" t="n">
        <v>56.95</v>
      </c>
      <c r="I128" s="36" t="n">
        <v>267.22</v>
      </c>
      <c r="J128" s="36" t="n">
        <v>0</v>
      </c>
    </row>
    <row r="129" ht="15.75" customHeight="1" s="98">
      <c r="A129" s="38" t="inlineStr">
        <is>
          <t>Balliu</t>
        </is>
      </c>
      <c r="B129" s="38" t="inlineStr">
        <is>
          <t>balliu-mesa-auxiliar-exterior-aluminio-54-cm-5ad43bf2</t>
        </is>
      </c>
      <c r="C129" s="38" t="inlineStr">
        <is>
          <t>BALLIU_OLIMPIA_MESA_AUXILIA_ESQUINERA_TABLER_5AD43BF2</t>
        </is>
      </c>
      <c r="D129" s="39" t="inlineStr">
        <is>
          <t>Mesa auxiliar exterior aluminio | 54 cm</t>
        </is>
      </c>
      <c r="E129" s="40" t="n">
        <v>123.32</v>
      </c>
      <c r="F129" s="40" t="n">
        <v>252.81</v>
      </c>
      <c r="G129" s="40" t="n">
        <v>70.23</v>
      </c>
      <c r="H129" s="41" t="n">
        <v>56.95</v>
      </c>
      <c r="I129" s="40" t="n">
        <v>252.81</v>
      </c>
      <c r="J129" s="40" t="n">
        <v>0</v>
      </c>
    </row>
    <row r="130" ht="15.75" customHeight="1" s="98">
      <c r="A130" s="34" t="inlineStr">
        <is>
          <t>Balliu</t>
        </is>
      </c>
      <c r="B130" s="34" t="inlineStr">
        <is>
          <t>balliu-mesa-auxiliar-exterior-aluminio-54-cm-2ad5a2df</t>
        </is>
      </c>
      <c r="C130" s="34" t="inlineStr">
        <is>
          <t>BALLIU_OLIMPIA_MESA_AUXILIA_ESQUINERA_TABLER_2AD5A2DF</t>
        </is>
      </c>
      <c r="D130" s="35" t="inlineStr">
        <is>
          <t>Mesa auxiliar exterior aluminio | 54 cm</t>
        </is>
      </c>
      <c r="E130" s="36" t="n">
        <v>136.79</v>
      </c>
      <c r="F130" s="36" t="n">
        <v>280.42</v>
      </c>
      <c r="G130" s="36" t="n">
        <v>77.90000000000001</v>
      </c>
      <c r="H130" s="37" t="n">
        <v>56.95</v>
      </c>
      <c r="I130" s="36" t="n">
        <v>280.42</v>
      </c>
      <c r="J130" s="36" t="n">
        <v>0</v>
      </c>
    </row>
    <row r="131" ht="15.75" customHeight="1" s="98">
      <c r="A131" s="38" t="inlineStr">
        <is>
          <t>Balliu</t>
        </is>
      </c>
      <c r="B131" s="38" t="inlineStr">
        <is>
          <t>balliu-sofa-exterior-3-plazas-aluminio-estilo-contemporaneo-77-cm-674ab9a1</t>
        </is>
      </c>
      <c r="C131" s="38" t="inlineStr">
        <is>
          <t>BALLIU_ETNA_SOFA_INDIVIDUAL_ACRIL_674AB9A1</t>
        </is>
      </c>
      <c r="D131" s="39" t="inlineStr">
        <is>
          <t>Sofá exterior 3 plazas aluminio · estilo contemporáneo | 77 cm</t>
        </is>
      </c>
      <c r="E131" s="40" t="n">
        <v>367.06</v>
      </c>
      <c r="F131" s="40" t="n">
        <v>752.47</v>
      </c>
      <c r="G131" s="40" t="n">
        <v>209.04</v>
      </c>
      <c r="H131" s="41" t="n">
        <v>56.95</v>
      </c>
      <c r="I131" s="40" t="n">
        <v>752.47</v>
      </c>
      <c r="J131" s="40" t="n">
        <v>0</v>
      </c>
    </row>
    <row r="132" ht="15.75" customHeight="1" s="98">
      <c r="A132" s="34" t="inlineStr">
        <is>
          <t>Balliu</t>
        </is>
      </c>
      <c r="B132" s="34" t="inlineStr">
        <is>
          <t>balliu-sofa-exterior-3-plazas-aluminio-estilo-contemporaneo-77-cm-674ab9a1</t>
        </is>
      </c>
      <c r="C132" s="34" t="inlineStr">
        <is>
          <t>BALLIU_ETNA_SOFA_DOBLE_ACRILICO_AED77E2A</t>
        </is>
      </c>
      <c r="D132" s="35" t="inlineStr">
        <is>
          <t>Sofá exterior 3 plazas aluminio · estilo contemporáneo | 77 cm</t>
        </is>
      </c>
      <c r="E132" s="36" t="n">
        <v>611.77</v>
      </c>
      <c r="F132" s="36" t="n">
        <v>1254.13</v>
      </c>
      <c r="G132" s="36" t="n">
        <v>348.4</v>
      </c>
      <c r="H132" s="37" t="n">
        <v>56.95</v>
      </c>
      <c r="I132" s="36" t="n">
        <v>1254.13</v>
      </c>
      <c r="J132" s="36" t="n">
        <v>0</v>
      </c>
    </row>
    <row r="133" ht="15.75" customHeight="1" s="98">
      <c r="A133" s="38" t="inlineStr">
        <is>
          <t>Balliu</t>
        </is>
      </c>
      <c r="B133" s="38" t="inlineStr">
        <is>
          <t>balliu-sofa-exterior-3-plazas-aluminio-estilo-contemporaneo-77-cm-674ab9a1</t>
        </is>
      </c>
      <c r="C133" s="38" t="inlineStr">
        <is>
          <t>BALLIU_ETNA_SOFA_TRIPLE_ACRILICO_E58D825A</t>
        </is>
      </c>
      <c r="D133" s="39" t="inlineStr">
        <is>
          <t>Sofá exterior 3 plazas aluminio · estilo contemporáneo | 77 cm</t>
        </is>
      </c>
      <c r="E133" s="40" t="n">
        <v>837.52</v>
      </c>
      <c r="F133" s="40" t="n">
        <v>1716.92</v>
      </c>
      <c r="G133" s="40" t="n">
        <v>476.97</v>
      </c>
      <c r="H133" s="41" t="n">
        <v>56.95</v>
      </c>
      <c r="I133" s="40" t="n">
        <v>1716.92</v>
      </c>
      <c r="J133" s="40" t="n">
        <v>0</v>
      </c>
    </row>
    <row r="134" ht="15.75" customHeight="1" s="98">
      <c r="A134" s="34" t="inlineStr">
        <is>
          <t>Balliu</t>
        </is>
      </c>
      <c r="B134" s="34" t="inlineStr">
        <is>
          <t>balliu-mesa-de-centro-exterior-aluminio-60-cm-510b363e</t>
        </is>
      </c>
      <c r="C134" s="34" t="inlineStr">
        <is>
          <t>BALLIU_ETNA_MESA_CENTRAL_TABLERO_HPL_510B363E</t>
        </is>
      </c>
      <c r="D134" s="35" t="inlineStr">
        <is>
          <t>Mesa de centro exterior aluminio | 60 cm</t>
        </is>
      </c>
      <c r="E134" s="36" t="n">
        <v>194.7</v>
      </c>
      <c r="F134" s="36" t="n">
        <v>399.14</v>
      </c>
      <c r="G134" s="36" t="n">
        <v>110.88</v>
      </c>
      <c r="H134" s="37" t="n">
        <v>56.95</v>
      </c>
      <c r="I134" s="36" t="n">
        <v>399.14</v>
      </c>
      <c r="J134" s="36" t="n">
        <v>0</v>
      </c>
    </row>
    <row r="135" ht="15.75" customHeight="1" s="98">
      <c r="A135" s="38" t="inlineStr">
        <is>
          <t>Balliu</t>
        </is>
      </c>
      <c r="B135" s="38" t="inlineStr">
        <is>
          <t>balliu-mesa-de-centro-exterior-aluminio-60-cm-510b363e</t>
        </is>
      </c>
      <c r="C135" s="38" t="inlineStr">
        <is>
          <t>BALLIU_ETNA_MESA_CENTRAL_TABLERO_HPL_GD_BC53F712</t>
        </is>
      </c>
      <c r="D135" s="39" t="inlineStr">
        <is>
          <t>Mesa de centro exterior aluminio | 60 cm</t>
        </is>
      </c>
      <c r="E135" s="40" t="n">
        <v>226.66</v>
      </c>
      <c r="F135" s="40" t="n">
        <v>464.65</v>
      </c>
      <c r="G135" s="40" t="n">
        <v>129.08</v>
      </c>
      <c r="H135" s="41" t="n">
        <v>56.95</v>
      </c>
      <c r="I135" s="40" t="n">
        <v>464.65</v>
      </c>
      <c r="J135" s="40" t="n">
        <v>0</v>
      </c>
    </row>
    <row r="136" ht="15.75" customHeight="1" s="98">
      <c r="A136" s="34" t="inlineStr">
        <is>
          <t>Balliu</t>
        </is>
      </c>
      <c r="B136" s="34" t="inlineStr">
        <is>
          <t>balliu-parasol-para-terraza-acrilico-236bd5f0-3</t>
        </is>
      </c>
      <c r="C136" s="34" t="inlineStr">
        <is>
          <t>BALLIU_PARASOL_TELA_ACRILICA_236BD5F0</t>
        </is>
      </c>
      <c r="D136" s="35" t="inlineStr">
        <is>
          <t>Parasol para terraza acrílico</t>
        </is>
      </c>
      <c r="E136" s="36" t="n">
        <v>221.96</v>
      </c>
      <c r="F136" s="36" t="n">
        <v>455.02</v>
      </c>
      <c r="G136" s="36" t="n">
        <v>126.41</v>
      </c>
      <c r="H136" s="37" t="n">
        <v>56.95</v>
      </c>
      <c r="I136" s="36" t="n">
        <v>455.02</v>
      </c>
      <c r="J136" s="36" t="n">
        <v>0</v>
      </c>
    </row>
    <row r="137" ht="15.75" customHeight="1" s="98">
      <c r="A137" s="38" t="inlineStr">
        <is>
          <t>Balliu</t>
        </is>
      </c>
      <c r="B137" s="38" t="inlineStr">
        <is>
          <t>balliu-parasol-para-terraza-82e48b2d-3</t>
        </is>
      </c>
      <c r="C137" s="38" t="inlineStr">
        <is>
          <t>BALLIU_PARASOL_TELA_BALLIU_82E48B2D</t>
        </is>
      </c>
      <c r="D137" s="39" t="inlineStr">
        <is>
          <t>Parasol para terraza</t>
        </is>
      </c>
      <c r="E137" s="40" t="n">
        <v>206.48</v>
      </c>
      <c r="F137" s="40" t="n">
        <v>423.28</v>
      </c>
      <c r="G137" s="40" t="n">
        <v>117.59</v>
      </c>
      <c r="H137" s="41" t="n">
        <v>56.95</v>
      </c>
      <c r="I137" s="40" t="n">
        <v>423.28</v>
      </c>
      <c r="J137" s="40" t="n">
        <v>0</v>
      </c>
    </row>
    <row r="138" ht="15.75" customHeight="1" s="98">
      <c r="A138" s="34" t="inlineStr">
        <is>
          <t>Balliu</t>
        </is>
      </c>
      <c r="B138" s="34" t="inlineStr">
        <is>
          <t>balliu-parasol-para-terraza-acrilico-236bd5f0-3</t>
        </is>
      </c>
      <c r="C138" s="34" t="inlineStr">
        <is>
          <t>BALLIU_PARASOL_TELA_ACRILICA_236BD5F0</t>
        </is>
      </c>
      <c r="D138" s="35" t="inlineStr">
        <is>
          <t>Parasol para terraza acrílico</t>
        </is>
      </c>
      <c r="E138" s="36" t="n">
        <v>213.86</v>
      </c>
      <c r="F138" s="36" t="n">
        <v>438.41</v>
      </c>
      <c r="G138" s="36" t="n">
        <v>121.79</v>
      </c>
      <c r="H138" s="37" t="n">
        <v>56.95</v>
      </c>
      <c r="I138" s="36" t="n">
        <v>438.41</v>
      </c>
      <c r="J138" s="36" t="n">
        <v>0</v>
      </c>
    </row>
    <row r="139" ht="15.75" customHeight="1" s="98">
      <c r="A139" s="38" t="inlineStr">
        <is>
          <t>Balliu</t>
        </is>
      </c>
      <c r="B139" s="38" t="inlineStr">
        <is>
          <t>balliu-parasol-para-terraza-82e48b2d-3</t>
        </is>
      </c>
      <c r="C139" s="38" t="inlineStr">
        <is>
          <t>BALLIU_PARASOL_TELA_BALLIU_82E48B2D</t>
        </is>
      </c>
      <c r="D139" s="39" t="inlineStr">
        <is>
          <t>Parasol para terraza</t>
        </is>
      </c>
      <c r="E139" s="40" t="n">
        <v>163.38</v>
      </c>
      <c r="F139" s="40" t="n">
        <v>334.93</v>
      </c>
      <c r="G139" s="40" t="n">
        <v>93.04000000000001</v>
      </c>
      <c r="H139" s="41" t="n">
        <v>56.95</v>
      </c>
      <c r="I139" s="40" t="n">
        <v>334.93</v>
      </c>
      <c r="J139" s="40" t="n">
        <v>0</v>
      </c>
    </row>
    <row r="140" ht="15.75" customHeight="1" s="98">
      <c r="A140" s="34" t="inlineStr">
        <is>
          <t>Balliu</t>
        </is>
      </c>
      <c r="B140" s="34" t="inlineStr">
        <is>
          <t>balliu-parasol-para-terraza-f1ed8b8b</t>
        </is>
      </c>
      <c r="C140" s="34" t="inlineStr">
        <is>
          <t>BALLIU_PARASOL_TELA_BALLIU_250__F1ED8B8B</t>
        </is>
      </c>
      <c r="D140" s="35" t="inlineStr">
        <is>
          <t>Parasol para terraza</t>
        </is>
      </c>
      <c r="E140" s="36" t="n">
        <v>204.95</v>
      </c>
      <c r="F140" s="36" t="n">
        <v>420.15</v>
      </c>
      <c r="G140" s="36" t="n">
        <v>116.72</v>
      </c>
      <c r="H140" s="37" t="n">
        <v>56.95</v>
      </c>
      <c r="I140" s="36" t="n">
        <v>420.15</v>
      </c>
      <c r="J140" s="36" t="n">
        <v>0</v>
      </c>
    </row>
    <row r="141" ht="15.75" customHeight="1" s="98">
      <c r="A141" s="38" t="inlineStr">
        <is>
          <t>Balliu</t>
        </is>
      </c>
      <c r="B141" s="38" t="inlineStr">
        <is>
          <t>balliu-parasol-para-terraza-acrilico-c8dd492d</t>
        </is>
      </c>
      <c r="C141" s="38" t="inlineStr">
        <is>
          <t>BALLIU_PARASOL_TELA_ACRILICA_25_C8DD492D</t>
        </is>
      </c>
      <c r="D141" s="39" t="inlineStr">
        <is>
          <t>Parasol para terraza acrílico</t>
        </is>
      </c>
      <c r="E141" s="40" t="n">
        <v>222.76</v>
      </c>
      <c r="F141" s="40" t="n">
        <v>456.66</v>
      </c>
      <c r="G141" s="40" t="n">
        <v>126.86</v>
      </c>
      <c r="H141" s="41" t="n">
        <v>56.95</v>
      </c>
      <c r="I141" s="40" t="n">
        <v>456.66</v>
      </c>
      <c r="J141" s="40" t="n">
        <v>0</v>
      </c>
    </row>
    <row r="142" ht="15.75" customHeight="1" s="98">
      <c r="A142" s="34" t="inlineStr">
        <is>
          <t>Balliu</t>
        </is>
      </c>
      <c r="B142" s="34" t="inlineStr">
        <is>
          <t>balliu-parasol-para-terraza-acrilico-236bd5f0-3</t>
        </is>
      </c>
      <c r="C142" s="34" t="inlineStr">
        <is>
          <t>BALLIU_PARASOL_TELA_ACRILICA_236BD5F0</t>
        </is>
      </c>
      <c r="D142" s="35" t="inlineStr">
        <is>
          <t>Parasol para terraza acrílico</t>
        </is>
      </c>
      <c r="E142" s="36" t="n">
        <v>228.96</v>
      </c>
      <c r="F142" s="36" t="n">
        <v>469.37</v>
      </c>
      <c r="G142" s="36" t="n">
        <v>130.39</v>
      </c>
      <c r="H142" s="37" t="n">
        <v>56.95</v>
      </c>
      <c r="I142" s="36" t="n">
        <v>469.37</v>
      </c>
      <c r="J142" s="36" t="n">
        <v>0</v>
      </c>
    </row>
    <row r="143" ht="15.75" customHeight="1" s="98">
      <c r="A143" s="38" t="inlineStr">
        <is>
          <t>Balliu</t>
        </is>
      </c>
      <c r="B143" s="38" t="inlineStr">
        <is>
          <t>balliu-parasol-para-terraza-82e48b2d-3</t>
        </is>
      </c>
      <c r="C143" s="38" t="inlineStr">
        <is>
          <t>BALLIU_PARASOL_TELA_BALLIU_82E48B2D</t>
        </is>
      </c>
      <c r="D143" s="39" t="inlineStr">
        <is>
          <t>Parasol para terraza</t>
        </is>
      </c>
      <c r="E143" s="40" t="n">
        <v>217.14</v>
      </c>
      <c r="F143" s="40" t="n">
        <v>445.14</v>
      </c>
      <c r="G143" s="40" t="n">
        <v>123.66</v>
      </c>
      <c r="H143" s="41" t="n">
        <v>56.95</v>
      </c>
      <c r="I143" s="40" t="n">
        <v>445.14</v>
      </c>
      <c r="J143" s="40" t="n">
        <v>0</v>
      </c>
    </row>
    <row r="144" ht="15.75" customHeight="1" s="98">
      <c r="A144" s="34" t="inlineStr">
        <is>
          <t>Balliu</t>
        </is>
      </c>
      <c r="B144" s="34" t="inlineStr">
        <is>
          <t>balliu-parasol-para-terraza-aluminio-300-cm-3b7e77d1</t>
        </is>
      </c>
      <c r="C144" s="34" t="inlineStr">
        <is>
          <t>BALLIU_GARBI_PARASOL_DIAM_300_CM_TELA_3B7E77D1</t>
        </is>
      </c>
      <c r="D144" s="35" t="inlineStr">
        <is>
          <t>Parasol para terraza aluminio | Ø300 cm</t>
        </is>
      </c>
      <c r="E144" s="36" t="n">
        <v>561.54</v>
      </c>
      <c r="F144" s="36" t="n">
        <v>1151.16</v>
      </c>
      <c r="G144" s="36" t="n">
        <v>319.8</v>
      </c>
      <c r="H144" s="37" t="n">
        <v>56.95</v>
      </c>
      <c r="I144" s="36" t="n">
        <v>1151.16</v>
      </c>
      <c r="J144" s="36" t="n">
        <v>0</v>
      </c>
    </row>
    <row r="145" ht="15.75" customHeight="1" s="98">
      <c r="A145" s="38" t="inlineStr">
        <is>
          <t>Balliu</t>
        </is>
      </c>
      <c r="B145" s="38" t="inlineStr">
        <is>
          <t>balliu-parasol-para-terraza-aluminio-300-cm-0ceba8e7</t>
        </is>
      </c>
      <c r="C145" s="38" t="inlineStr">
        <is>
          <t>BALLIU_BRISA_PARASOL_PARASOL_TELA_BAL_0CEBA8E7</t>
        </is>
      </c>
      <c r="D145" s="39" t="inlineStr">
        <is>
          <t>Parasol para terraza aluminio | 300 cm</t>
        </is>
      </c>
      <c r="E145" s="40" t="n">
        <v>561.54</v>
      </c>
      <c r="F145" s="40" t="n">
        <v>1151.16</v>
      </c>
      <c r="G145" s="40" t="n">
        <v>319.8</v>
      </c>
      <c r="H145" s="41" t="n">
        <v>56.95</v>
      </c>
      <c r="I145" s="40" t="n">
        <v>1151.16</v>
      </c>
      <c r="J145" s="40" t="n">
        <v>0</v>
      </c>
    </row>
    <row r="146" ht="15.75" customHeight="1" s="98">
      <c r="A146" s="34" t="inlineStr">
        <is>
          <t>Balliu</t>
        </is>
      </c>
      <c r="B146" s="34" t="inlineStr">
        <is>
          <t>balliu-parasol-para-terraza-aluminio-300-cm-6c1e1224</t>
        </is>
      </c>
      <c r="C146" s="34" t="inlineStr">
        <is>
          <t>BALLIU_ROMA_PARASOL_300X300_CM_6C1E1224</t>
        </is>
      </c>
      <c r="D146" s="35" t="inlineStr">
        <is>
          <t>Parasol para terraza aluminio | 300 cm</t>
        </is>
      </c>
      <c r="E146" s="36" t="n">
        <v>1019.5</v>
      </c>
      <c r="F146" s="36" t="n">
        <v>2089.98</v>
      </c>
      <c r="G146" s="36" t="n">
        <v>580.6</v>
      </c>
      <c r="H146" s="37" t="n">
        <v>56.95</v>
      </c>
      <c r="I146" s="36" t="n">
        <v>2089.98</v>
      </c>
      <c r="J146" s="36" t="n">
        <v>0</v>
      </c>
    </row>
    <row r="147" ht="15.75" customHeight="1" s="98">
      <c r="A147" s="38" t="inlineStr">
        <is>
          <t>Balliu</t>
        </is>
      </c>
      <c r="B147" s="38" t="inlineStr">
        <is>
          <t>balliu-accesorio-exterior-resina-da11d420</t>
        </is>
      </c>
      <c r="C147" s="38" t="inlineStr">
        <is>
          <t>BALLIU_PASARELA_RESINA_RECI_METRO_PASARELA_B_DA11D420</t>
        </is>
      </c>
      <c r="D147" s="39" t="inlineStr">
        <is>
          <t>Accesorio exterior resina</t>
        </is>
      </c>
      <c r="E147" s="40" t="n">
        <v>48.25</v>
      </c>
      <c r="F147" s="40" t="n">
        <v>98.91</v>
      </c>
      <c r="G147" s="40" t="n">
        <v>27.48</v>
      </c>
      <c r="H147" s="41" t="n">
        <v>56.95</v>
      </c>
      <c r="I147" s="40" t="n">
        <v>98.91</v>
      </c>
      <c r="J147" s="40" t="n">
        <v>0</v>
      </c>
    </row>
    <row r="148" ht="15.75" customHeight="1" s="98">
      <c r="A148" s="34" t="inlineStr">
        <is>
          <t>Balliu</t>
        </is>
      </c>
      <c r="B148" s="34" t="inlineStr">
        <is>
          <t>balliu-accesorio-exterior-resina-df85d2d1</t>
        </is>
      </c>
      <c r="C148" s="34" t="inlineStr">
        <is>
          <t>BALLIU_PASARELA_RESINA_METRO_PASARELA_1_DF85D2D1</t>
        </is>
      </c>
      <c r="D148" s="35" t="inlineStr">
        <is>
          <t>Accesorio exterior resina</t>
        </is>
      </c>
      <c r="E148" s="36" t="n">
        <v>82.22</v>
      </c>
      <c r="F148" s="36" t="n">
        <v>168.55</v>
      </c>
      <c r="G148" s="36" t="n">
        <v>46.82</v>
      </c>
      <c r="H148" s="37" t="n">
        <v>56.95</v>
      </c>
      <c r="I148" s="36" t="n">
        <v>168.55</v>
      </c>
      <c r="J148" s="36" t="n">
        <v>0</v>
      </c>
    </row>
    <row r="149" ht="15.75" customHeight="1" s="98">
      <c r="A149" s="38" t="inlineStr">
        <is>
          <t>Balliu</t>
        </is>
      </c>
      <c r="B149" s="38" t="inlineStr">
        <is>
          <t>balliu-colchoneta-para-tumbona-0e9a3256</t>
        </is>
      </c>
      <c r="C149" s="38" t="inlineStr">
        <is>
          <t>BALLIU_COLCHONETA_TUMBONA_TEJIDO_ACRILICO_26977CB8</t>
        </is>
      </c>
      <c r="D149" s="39" t="inlineStr">
        <is>
          <t>Colchoneta para tumbona acrílico</t>
        </is>
      </c>
      <c r="E149" s="40" t="n">
        <v>70.56999999999999</v>
      </c>
      <c r="F149" s="40" t="n">
        <v>144.67</v>
      </c>
      <c r="G149" s="40" t="n">
        <v>40.19</v>
      </c>
      <c r="H149" s="41" t="n">
        <v>56.95</v>
      </c>
      <c r="I149" s="40" t="n">
        <v>144.67</v>
      </c>
      <c r="J149" s="40" t="n">
        <v>0</v>
      </c>
    </row>
    <row r="150" ht="15.75" customHeight="1" s="98">
      <c r="A150" s="34" t="inlineStr">
        <is>
          <t>Balliu</t>
        </is>
      </c>
      <c r="B150" s="34" t="inlineStr">
        <is>
          <t>balliu-colchoneta-para-tumbona-0e9a3256</t>
        </is>
      </c>
      <c r="C150" s="34" t="inlineStr">
        <is>
          <t>BALLIU_COLCHONETA_TUMBONA_TELA_BALLIU_GUAT_0E9A3256</t>
        </is>
      </c>
      <c r="D150" s="35" t="inlineStr">
        <is>
          <t>Colchoneta para tumbona</t>
        </is>
      </c>
      <c r="E150" s="36" t="n">
        <v>62.07</v>
      </c>
      <c r="F150" s="36" t="n">
        <v>127.24</v>
      </c>
      <c r="G150" s="36" t="n">
        <v>35.35</v>
      </c>
      <c r="H150" s="37" t="n">
        <v>56.95</v>
      </c>
      <c r="I150" s="36" t="n">
        <v>127.24</v>
      </c>
      <c r="J150" s="36" t="n">
        <v>0</v>
      </c>
    </row>
    <row r="151" ht="15.75" customHeight="1" s="98">
      <c r="A151" s="38" t="inlineStr">
        <is>
          <t>Balliu</t>
        </is>
      </c>
      <c r="B151" s="38" t="inlineStr">
        <is>
          <t>balliu-colchoneta-para-tumbona-0e9a3256</t>
        </is>
      </c>
      <c r="C151" s="38" t="inlineStr">
        <is>
          <t>BALLIU_COLCHONETA_TUMBONA_TELA_BALLIU_DRYF_41269616</t>
        </is>
      </c>
      <c r="D151" s="39" t="inlineStr">
        <is>
          <t>Colchoneta para tumbona</t>
        </is>
      </c>
      <c r="E151" s="40" t="n">
        <v>102.54</v>
      </c>
      <c r="F151" s="40" t="n">
        <v>210.21</v>
      </c>
      <c r="G151" s="40" t="n">
        <v>58.4</v>
      </c>
      <c r="H151" s="41" t="n">
        <v>56.95</v>
      </c>
      <c r="I151" s="40" t="n">
        <v>210.21</v>
      </c>
      <c r="J151" s="40" t="n">
        <v>0</v>
      </c>
    </row>
    <row r="152" ht="15.75" customHeight="1" s="98">
      <c r="A152" s="34" t="inlineStr">
        <is>
          <t>Balliu</t>
        </is>
      </c>
      <c r="B152" s="34" t="inlineStr">
        <is>
          <t>balliu-mobiliario-exterior-resina-28-cm-6264905d</t>
        </is>
      </c>
      <c r="C152" s="34" t="inlineStr">
        <is>
          <t>BALLIU_WEGUARD_CAJA_DE_SEGU_6264905D</t>
        </is>
      </c>
      <c r="D152" s="35" t="inlineStr">
        <is>
          <t>Mobiliario exterior resina | 28 cm</t>
        </is>
      </c>
      <c r="E152" s="36" t="n">
        <v>34.61</v>
      </c>
      <c r="F152" s="36" t="n">
        <v>70.95</v>
      </c>
      <c r="G152" s="36" t="n">
        <v>19.71</v>
      </c>
      <c r="H152" s="37" t="n">
        <v>56.95</v>
      </c>
      <c r="I152" s="36" t="n">
        <v>70.95</v>
      </c>
      <c r="J152" s="36" t="n">
        <v>0</v>
      </c>
    </row>
    <row r="153" ht="15.75" customHeight="1" s="98">
      <c r="A153" s="38" t="inlineStr">
        <is>
          <t>Balliu</t>
        </is>
      </c>
      <c r="B153" s="38" t="inlineStr">
        <is>
          <t>balliu-pie-de-parasol-c2147052</t>
        </is>
      </c>
      <c r="C153" s="38" t="inlineStr">
        <is>
          <t>BALLIU_PIE_PARASOL_40_KG_C2147052</t>
        </is>
      </c>
      <c r="D153" s="39" t="inlineStr">
        <is>
          <t>Pie de parasol</t>
        </is>
      </c>
      <c r="E153" s="40" t="n">
        <v>88.17</v>
      </c>
      <c r="F153" s="40" t="n">
        <v>180.75</v>
      </c>
      <c r="G153" s="40" t="n">
        <v>50.21</v>
      </c>
      <c r="H153" s="41" t="n">
        <v>56.95</v>
      </c>
      <c r="I153" s="40" t="n">
        <v>180.75</v>
      </c>
      <c r="J153" s="40" t="n">
        <v>0</v>
      </c>
    </row>
    <row r="154" ht="15.75" customHeight="1" s="98">
      <c r="A154" s="34" t="inlineStr">
        <is>
          <t>Balliu</t>
        </is>
      </c>
      <c r="B154" s="34" t="inlineStr">
        <is>
          <t>balliu-pie-de-parasol-fab3cac6</t>
        </is>
      </c>
      <c r="C154" s="34" t="inlineStr">
        <is>
          <t>BALLIU_PIE_PARASOL_40_KG_RE_FAB3CAC6</t>
        </is>
      </c>
      <c r="D154" s="35" t="inlineStr">
        <is>
          <t>Pie de parasol</t>
        </is>
      </c>
      <c r="E154" s="36" t="n">
        <v>68.16</v>
      </c>
      <c r="F154" s="36" t="n">
        <v>139.73</v>
      </c>
      <c r="G154" s="36" t="n">
        <v>38.82</v>
      </c>
      <c r="H154" s="37" t="n">
        <v>56.95</v>
      </c>
      <c r="I154" s="36" t="n">
        <v>139.73</v>
      </c>
      <c r="J154" s="36" t="n">
        <v>0</v>
      </c>
    </row>
    <row r="155" ht="15.75" customHeight="1" s="98">
      <c r="A155" s="38" t="inlineStr">
        <is>
          <t>Balliu</t>
        </is>
      </c>
      <c r="B155" s="38" t="inlineStr">
        <is>
          <t>balliu-base-de-parasol-3ee8b72d</t>
        </is>
      </c>
      <c r="C155" s="38" t="inlineStr">
        <is>
          <t>BALLIU_BASE_HORMIGON_25_KG_3EE8B72D</t>
        </is>
      </c>
      <c r="D155" s="39" t="inlineStr">
        <is>
          <t>Base de parasol</t>
        </is>
      </c>
      <c r="E155" s="40" t="n">
        <v>54.88</v>
      </c>
      <c r="F155" s="40" t="n">
        <v>112.5</v>
      </c>
      <c r="G155" s="40" t="n">
        <v>31.26</v>
      </c>
      <c r="H155" s="41" t="n">
        <v>56.95</v>
      </c>
      <c r="I155" s="40" t="n">
        <v>112.5</v>
      </c>
      <c r="J155" s="40" t="n">
        <v>0</v>
      </c>
    </row>
    <row r="156" ht="15.75" customHeight="1" s="98">
      <c r="A156" s="34" t="inlineStr">
        <is>
          <t>Balliu</t>
        </is>
      </c>
      <c r="B156" s="34" t="inlineStr">
        <is>
          <t>balliu-base-de-parasol-890a4cd4</t>
        </is>
      </c>
      <c r="C156" s="34" t="inlineStr">
        <is>
          <t>BALLIU_BASE_HORMIGON_30_KG_890A4CD4</t>
        </is>
      </c>
      <c r="D156" s="35" t="inlineStr">
        <is>
          <t>Base de parasol</t>
        </is>
      </c>
      <c r="E156" s="36" t="n">
        <v>27.52</v>
      </c>
      <c r="F156" s="36" t="n">
        <v>56.42</v>
      </c>
      <c r="G156" s="36" t="n">
        <v>15.67</v>
      </c>
      <c r="H156" s="37" t="n">
        <v>56.95</v>
      </c>
      <c r="I156" s="36" t="n">
        <v>56.42</v>
      </c>
      <c r="J156" s="36" t="n">
        <v>0</v>
      </c>
    </row>
    <row r="157" ht="15.75" customHeight="1" s="98">
      <c r="A157" s="38" t="inlineStr">
        <is>
          <t>Balliu</t>
        </is>
      </c>
      <c r="B157" s="38" t="inlineStr">
        <is>
          <t>balliu-funda-protectora-exterior-686cc405</t>
        </is>
      </c>
      <c r="C157" s="38" t="inlineStr">
        <is>
          <t>BALLIU_FUNDA_TUMBONA_12_UNIDADES_D7D20AB0</t>
        </is>
      </c>
      <c r="D157" s="39" t="inlineStr">
        <is>
          <t>Funda protectora exterior</t>
        </is>
      </c>
      <c r="E157" s="40" t="n">
        <v>137.94</v>
      </c>
      <c r="F157" s="40" t="n">
        <v>282.78</v>
      </c>
      <c r="G157" s="40" t="n">
        <v>78.56</v>
      </c>
      <c r="H157" s="41" t="n">
        <v>56.95</v>
      </c>
      <c r="I157" s="40" t="n">
        <v>282.78</v>
      </c>
      <c r="J157" s="40" t="n">
        <v>0</v>
      </c>
    </row>
    <row r="158" ht="15.75" customHeight="1" s="98">
      <c r="A158" s="34" t="inlineStr">
        <is>
          <t>Balliu</t>
        </is>
      </c>
      <c r="B158" s="34" t="inlineStr">
        <is>
          <t>balliu-funda-protectora-exterior-686cc405</t>
        </is>
      </c>
      <c r="C158" s="34" t="inlineStr">
        <is>
          <t>BALLIU_FUNDA_TUMBONA_24_UNIDADES_287BB1C0</t>
        </is>
      </c>
      <c r="D158" s="35" t="inlineStr">
        <is>
          <t>Funda protectora exterior</t>
        </is>
      </c>
      <c r="E158" s="36" t="n">
        <v>176.97</v>
      </c>
      <c r="F158" s="36" t="n">
        <v>362.79</v>
      </c>
      <c r="G158" s="36" t="n">
        <v>100.78</v>
      </c>
      <c r="H158" s="37" t="n">
        <v>56.95</v>
      </c>
      <c r="I158" s="36" t="n">
        <v>362.79</v>
      </c>
      <c r="J158" s="36" t="n">
        <v>0</v>
      </c>
    </row>
    <row r="159" ht="15.75" customHeight="1" s="98">
      <c r="A159" s="38" t="inlineStr">
        <is>
          <t>Balliu</t>
        </is>
      </c>
      <c r="B159" s="38" t="inlineStr">
        <is>
          <t>balliu-funda-protectora-exterior-686cc405</t>
        </is>
      </c>
      <c r="C159" s="38" t="inlineStr">
        <is>
          <t>BALLIU_FUNDA_TUMBONA_2_UNIDADES_686CC405</t>
        </is>
      </c>
      <c r="D159" s="39" t="inlineStr">
        <is>
          <t>Funda protectora exterior</t>
        </is>
      </c>
      <c r="E159" s="40" t="n">
        <v>42.82</v>
      </c>
      <c r="F159" s="40" t="n">
        <v>87.78</v>
      </c>
      <c r="G159" s="40" t="n">
        <v>24.39</v>
      </c>
      <c r="H159" s="41" t="n">
        <v>56.95</v>
      </c>
      <c r="I159" s="40" t="n">
        <v>87.78</v>
      </c>
      <c r="J159" s="40" t="n">
        <v>0</v>
      </c>
    </row>
    <row r="160" ht="15.75" customHeight="1" s="98">
      <c r="A160" s="34" t="inlineStr">
        <is>
          <t>Balliu</t>
        </is>
      </c>
      <c r="B160" s="34" t="inlineStr">
        <is>
          <t>balliu-funda-protectora-exterior-acrilico-a1c16324</t>
        </is>
      </c>
      <c r="C160" s="34" t="inlineStr">
        <is>
          <t>BALLIU_FUNDA_PARASOL_1_UNIDADES_ACRIL_A1C16324</t>
        </is>
      </c>
      <c r="D160" s="35" t="inlineStr">
        <is>
          <t>Funda protectora exterior acrílico</t>
        </is>
      </c>
      <c r="E160" s="36" t="n">
        <v>19.68</v>
      </c>
      <c r="F160" s="36" t="n">
        <v>40.34</v>
      </c>
      <c r="G160" s="36" t="n">
        <v>11.21</v>
      </c>
      <c r="H160" s="37" t="n">
        <v>56.95</v>
      </c>
      <c r="I160" s="36" t="n">
        <v>40.34</v>
      </c>
      <c r="J160" s="36" t="n">
        <v>0</v>
      </c>
    </row>
    <row r="161" ht="15.75" customHeight="1" s="98">
      <c r="A161" s="38" t="inlineStr">
        <is>
          <t>Balliu</t>
        </is>
      </c>
      <c r="B161" s="38" t="inlineStr">
        <is>
          <t>balliu-funda-protectora-exterior-6f6d4953</t>
        </is>
      </c>
      <c r="C161" s="38" t="inlineStr">
        <is>
          <t>BALLIU_FUNDA_SOFA_SOFA_INDIVIDUAL_6F6D4953</t>
        </is>
      </c>
      <c r="D161" s="39" t="inlineStr">
        <is>
          <t>Funda protectora exterior</t>
        </is>
      </c>
      <c r="E161" s="40" t="n">
        <v>69.70999999999999</v>
      </c>
      <c r="F161" s="40" t="n">
        <v>142.91</v>
      </c>
      <c r="G161" s="40" t="n">
        <v>39.7</v>
      </c>
      <c r="H161" s="41" t="n">
        <v>56.95</v>
      </c>
      <c r="I161" s="40" t="n">
        <v>142.91</v>
      </c>
      <c r="J161" s="40" t="n">
        <v>0</v>
      </c>
    </row>
    <row r="162" ht="15.75" customHeight="1" s="98">
      <c r="A162" s="34" t="inlineStr">
        <is>
          <t>Balliu</t>
        </is>
      </c>
      <c r="B162" s="34" t="inlineStr">
        <is>
          <t>balliu-funda-protectora-exterior-6f6d4953</t>
        </is>
      </c>
      <c r="C162" s="34" t="inlineStr">
        <is>
          <t>BALLIU_FUNDA_SOFA_SOFA_DOBLE_0595C4C0</t>
        </is>
      </c>
      <c r="D162" s="35" t="inlineStr">
        <is>
          <t>Funda protectora exterior</t>
        </is>
      </c>
      <c r="E162" s="36" t="n">
        <v>99.95</v>
      </c>
      <c r="F162" s="36" t="n">
        <v>204.9</v>
      </c>
      <c r="G162" s="36" t="n">
        <v>56.92</v>
      </c>
      <c r="H162" s="37" t="n">
        <v>56.95</v>
      </c>
      <c r="I162" s="36" t="n">
        <v>204.9</v>
      </c>
      <c r="J162" s="36" t="n">
        <v>0</v>
      </c>
    </row>
    <row r="163" ht="15.75" customHeight="1" s="98">
      <c r="A163" s="38" t="inlineStr">
        <is>
          <t>Balliu</t>
        </is>
      </c>
      <c r="B163" s="38" t="inlineStr">
        <is>
          <t>balliu-funda-protectora-exterior-6f6d4953</t>
        </is>
      </c>
      <c r="C163" s="38" t="inlineStr">
        <is>
          <t>BALLIU_FUNDA_SOFA_SOFA_TRIPLE_852AF1C6</t>
        </is>
      </c>
      <c r="D163" s="39" t="inlineStr">
        <is>
          <t>Funda protectora exterior</t>
        </is>
      </c>
      <c r="E163" s="40" t="n">
        <v>122.35</v>
      </c>
      <c r="F163" s="40" t="n">
        <v>250.82</v>
      </c>
      <c r="G163" s="40" t="n">
        <v>69.68000000000001</v>
      </c>
      <c r="H163" s="41" t="n">
        <v>56.95</v>
      </c>
      <c r="I163" s="40" t="n">
        <v>250.82</v>
      </c>
      <c r="J163" s="40" t="n">
        <v>0</v>
      </c>
    </row>
    <row r="164" ht="15.75" customHeight="1" s="98">
      <c r="A164" s="34" t="inlineStr">
        <is>
          <t>Balliu</t>
        </is>
      </c>
      <c r="B164" s="34" t="inlineStr">
        <is>
          <t>balliu-funda-protectora-exterior-340b2844</t>
        </is>
      </c>
      <c r="C164" s="34" t="inlineStr">
        <is>
          <t>BALLIU_FUNDA_SILLA_6_UNIDADES_340B2844</t>
        </is>
      </c>
      <c r="D164" s="35" t="inlineStr">
        <is>
          <t>Funda protectora exterior</t>
        </is>
      </c>
      <c r="E164" s="36" t="n">
        <v>45.21</v>
      </c>
      <c r="F164" s="36" t="n">
        <v>92.68000000000001</v>
      </c>
      <c r="G164" s="36" t="n">
        <v>25.75</v>
      </c>
      <c r="H164" s="37" t="n">
        <v>56.95</v>
      </c>
      <c r="I164" s="36" t="n">
        <v>92.68000000000001</v>
      </c>
      <c r="J164" s="36" t="n">
        <v>0</v>
      </c>
    </row>
    <row r="165" ht="15.75" customHeight="1" s="98">
      <c r="A165" s="38" t="inlineStr">
        <is>
          <t>Balliu</t>
        </is>
      </c>
      <c r="B165" s="38" t="inlineStr">
        <is>
          <t>balliu-cojin-exterior-523e5ae9</t>
        </is>
      </c>
      <c r="C165" s="38" t="inlineStr">
        <is>
          <t>BALLIU_COJIN_40X40_COJIN_CUADRAL_523E5AE9</t>
        </is>
      </c>
      <c r="D165" s="39" t="inlineStr">
        <is>
          <t>Cojín exterior</t>
        </is>
      </c>
      <c r="E165" s="40" t="n">
        <v>28.69</v>
      </c>
      <c r="F165" s="40" t="n">
        <v>58.81</v>
      </c>
      <c r="G165" s="40" t="n">
        <v>16.34</v>
      </c>
      <c r="H165" s="41" t="n">
        <v>56.95</v>
      </c>
      <c r="I165" s="40" t="n">
        <v>58.81</v>
      </c>
      <c r="J165" s="40" t="n">
        <v>0</v>
      </c>
    </row>
    <row r="166" ht="15.75" customHeight="1" s="98">
      <c r="A166" s="34" t="inlineStr">
        <is>
          <t>Balliu</t>
        </is>
      </c>
      <c r="B166" s="34" t="inlineStr">
        <is>
          <t>balliu-limpiador-para-mobiliario-exterior-d0d3fc26</t>
        </is>
      </c>
      <c r="C166" s="34" t="inlineStr">
        <is>
          <t>BALLIU_PRODUCTO_LIMPIADOR_LIMPIADOR_TUMBON_D0D3FC26</t>
        </is>
      </c>
      <c r="D166" s="35" t="inlineStr">
        <is>
          <t>Limpiador para mobiliario exterior</t>
        </is>
      </c>
      <c r="E166" s="36" t="n">
        <v>12.41</v>
      </c>
      <c r="F166" s="36" t="n">
        <v>25.44</v>
      </c>
      <c r="G166" s="36" t="n">
        <v>7.07</v>
      </c>
      <c r="H166" s="37" t="n">
        <v>56.95</v>
      </c>
      <c r="I166" s="36" t="n">
        <v>25.44</v>
      </c>
      <c r="J166" s="36" t="n">
        <v>0</v>
      </c>
    </row>
    <row r="167" ht="15.75" customHeight="1" s="98">
      <c r="D167" s="18" t="inlineStr">
        <is>
          <t>TOTAL / MEDIA</t>
        </is>
      </c>
      <c r="E167" s="19">
        <f>SUM(E2:E166)</f>
        <v/>
      </c>
      <c r="F167" s="19">
        <f>SUM(F2:F166)</f>
        <v/>
      </c>
      <c r="G167" s="19">
        <f>SUM(G2:G166)</f>
        <v/>
      </c>
      <c r="H167" s="20">
        <f>AVERAGE(H2:H166)</f>
        <v/>
      </c>
    </row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98" min="1" max="1"/>
    <col width="14" customWidth="1" style="98" min="2" max="2"/>
    <col width="42" customWidth="1" style="98" min="3" max="3"/>
    <col width="12" customWidth="1" style="98" min="4" max="4"/>
    <col width="14" customWidth="1" style="98" min="5" max="5"/>
    <col width="14" customWidth="1" style="98" min="6" max="6"/>
    <col width="14" customWidth="1" style="98" min="7" max="7"/>
    <col width="14" customWidth="1" style="98" min="8" max="8"/>
    <col width="13" customWidth="1" style="98" min="9" max="9"/>
    <col width="13" customWidth="1" style="98" min="10" max="10"/>
    <col width="12" customWidth="1" style="98" min="11" max="11"/>
    <col width="12" customWidth="1" style="98" min="12" max="12"/>
    <col width="12" customWidth="1" style="98" min="13" max="13"/>
    <col width="12" customWidth="1" style="98" min="14" max="14"/>
  </cols>
  <sheetData>
    <row r="1" ht="30" customHeight="1" s="98">
      <c r="A1" s="103" t="inlineStr">
        <is>
          <t>Proveedor</t>
        </is>
      </c>
      <c r="B1" s="103" t="inlineStr">
        <is>
          <t>SKU</t>
        </is>
      </c>
      <c r="C1" s="103" t="inlineStr">
        <is>
          <t>Producto</t>
        </is>
      </c>
      <c r="D1" s="103" t="inlineStr">
        <is>
          <t>Fecha</t>
        </is>
      </c>
      <c r="E1" s="103" t="inlineStr">
        <is>
          <t>Coste sin IVA €</t>
        </is>
      </c>
      <c r="F1" s="103" t="inlineStr">
        <is>
          <t>PVP rec. sin IVA €</t>
        </is>
      </c>
      <c r="G1" s="103" t="inlineStr">
        <is>
          <t>PVP con IVA 21% €</t>
        </is>
      </c>
      <c r="H1" s="103" t="inlineStr">
        <is>
          <t>Margen € (sin IVA)</t>
        </is>
      </c>
      <c r="I1" s="103" t="inlineStr">
        <is>
          <t>Margen % sobre PVP</t>
        </is>
      </c>
      <c r="J1" s="103" t="inlineStr">
        <is>
          <t>Markup % sobre coste</t>
        </is>
      </c>
      <c r="K1" s="103" t="inlineStr">
        <is>
          <t>Δ Coste €</t>
        </is>
      </c>
      <c r="L1" s="103" t="inlineStr">
        <is>
          <t>Δ Coste %</t>
        </is>
      </c>
      <c r="M1" s="103" t="inlineStr">
        <is>
          <t>Δ PVP €</t>
        </is>
      </c>
      <c r="N1" s="103" t="inlineStr">
        <is>
          <t>Δ PVP %</t>
        </is>
      </c>
    </row>
    <row r="2">
      <c r="A2" s="104" t="inlineStr">
        <is>
          <t>Hevea</t>
        </is>
      </c>
      <c r="B2" s="104" t="inlineStr">
        <is>
          <t>123-0001</t>
        </is>
      </c>
      <c r="C2" s="104" t="inlineStr">
        <is>
          <t>MUNDRA 150</t>
        </is>
      </c>
      <c r="D2" s="105" t="inlineStr">
        <is>
          <t>2026-04-17</t>
        </is>
      </c>
      <c r="E2" s="106" t="n">
        <v>347</v>
      </c>
      <c r="F2" s="106" t="n">
        <v>145</v>
      </c>
      <c r="G2" s="106" t="n">
        <v>175.45</v>
      </c>
      <c r="H2" s="106" t="n">
        <v>-202</v>
      </c>
      <c r="I2" s="107" t="n">
        <v>-139.3103448275862</v>
      </c>
      <c r="J2" s="107" t="n">
        <v>-58.21325648414985</v>
      </c>
      <c r="K2" s="108" t="n"/>
      <c r="L2" s="109" t="n"/>
      <c r="M2" s="108" t="n"/>
      <c r="N2" s="109" t="n"/>
    </row>
    <row r="3">
      <c r="A3" s="110" t="inlineStr">
        <is>
          <t>Hevea</t>
        </is>
      </c>
      <c r="B3" s="110" t="inlineStr">
        <is>
          <t>123-0001</t>
        </is>
      </c>
      <c r="C3" s="110" t="inlineStr">
        <is>
          <t>SILLA CÓRCEGA 3 / CORCEGA CHAIR 3 / CHAISE CORSE 3</t>
        </is>
      </c>
      <c r="D3" s="111" t="inlineStr">
        <is>
          <t>2026-03-06</t>
        </is>
      </c>
      <c r="E3" s="112" t="n">
        <v>80</v>
      </c>
      <c r="F3" s="112" t="n">
        <v>145</v>
      </c>
      <c r="G3" s="112" t="n">
        <v>175.45</v>
      </c>
      <c r="H3" s="112" t="n">
        <v>65</v>
      </c>
      <c r="I3" s="113" t="n">
        <v>44.82758620689656</v>
      </c>
      <c r="J3" s="113" t="n">
        <v>81.25</v>
      </c>
      <c r="K3" s="114" t="n"/>
      <c r="L3" s="115" t="n"/>
      <c r="M3" s="114" t="n"/>
      <c r="N3" s="115" t="n"/>
    </row>
    <row r="4">
      <c r="A4" s="116" t="inlineStr">
        <is>
          <t>Hevea</t>
        </is>
      </c>
      <c r="B4" s="116" t="inlineStr">
        <is>
          <t>123-0001</t>
        </is>
      </c>
      <c r="C4" s="116" t="inlineStr">
        <is>
          <t>SILLA CÓRCEGA 3 / CORCEGA CHAIR 3 / CHAISE CORSE 3</t>
        </is>
      </c>
      <c r="D4" s="117" t="inlineStr">
        <is>
          <t>2026-05-07</t>
        </is>
      </c>
      <c r="E4" s="118" t="n">
        <v>92</v>
      </c>
      <c r="F4" s="118" t="n">
        <v>145</v>
      </c>
      <c r="G4" s="118" t="n">
        <v>175.45</v>
      </c>
      <c r="H4" s="118" t="n">
        <v>53</v>
      </c>
      <c r="I4" s="119" t="n">
        <v>36.55172413793103</v>
      </c>
      <c r="J4" s="119" t="n">
        <v>57.60869565217391</v>
      </c>
      <c r="K4" s="120" t="n">
        <v>12</v>
      </c>
      <c r="L4" s="121" t="n">
        <v>15</v>
      </c>
      <c r="M4" s="120" t="n">
        <v>0</v>
      </c>
      <c r="N4" s="121" t="n">
        <v>0</v>
      </c>
    </row>
    <row r="5">
      <c r="A5" s="104" t="inlineStr">
        <is>
          <t>Hevea</t>
        </is>
      </c>
      <c r="B5" s="104" t="inlineStr">
        <is>
          <t>123-0002</t>
        </is>
      </c>
      <c r="C5" s="104" t="inlineStr">
        <is>
          <t>MUNDRA Ø100</t>
        </is>
      </c>
      <c r="D5" s="105" t="inlineStr">
        <is>
          <t>2026-04-17</t>
        </is>
      </c>
      <c r="E5" s="106" t="n">
        <v>302</v>
      </c>
      <c r="F5" s="106" t="n">
        <v>165</v>
      </c>
      <c r="G5" s="106" t="n">
        <v>199.65</v>
      </c>
      <c r="H5" s="106" t="n">
        <v>-137</v>
      </c>
      <c r="I5" s="107" t="n">
        <v>-83.03030303030303</v>
      </c>
      <c r="J5" s="107" t="n">
        <v>-45.36423841059602</v>
      </c>
      <c r="K5" s="108" t="n"/>
      <c r="L5" s="109" t="n"/>
      <c r="M5" s="108" t="n"/>
      <c r="N5" s="109" t="n"/>
    </row>
    <row r="6">
      <c r="A6" s="110" t="inlineStr">
        <is>
          <t>Hevea</t>
        </is>
      </c>
      <c r="B6" s="110" t="inlineStr">
        <is>
          <t>123-0002</t>
        </is>
      </c>
      <c r="C6" s="110" t="inlineStr">
        <is>
          <t>SILLA JANEIRO 3 / JANEIRO CHAIR 3 / CHAISE JANEIRO 3</t>
        </is>
      </c>
      <c r="D6" s="111" t="inlineStr">
        <is>
          <t>2026-03-06</t>
        </is>
      </c>
      <c r="E6" s="112" t="n">
        <v>91</v>
      </c>
      <c r="F6" s="112" t="n">
        <v>165</v>
      </c>
      <c r="G6" s="112" t="n">
        <v>199.65</v>
      </c>
      <c r="H6" s="112" t="n">
        <v>74</v>
      </c>
      <c r="I6" s="113" t="n">
        <v>44.84848484848485</v>
      </c>
      <c r="J6" s="113" t="n">
        <v>81.31868131868131</v>
      </c>
      <c r="K6" s="114" t="n"/>
      <c r="L6" s="115" t="n"/>
      <c r="M6" s="114" t="n"/>
      <c r="N6" s="115" t="n"/>
    </row>
    <row r="7">
      <c r="A7" s="116" t="inlineStr">
        <is>
          <t>Hevea</t>
        </is>
      </c>
      <c r="B7" s="116" t="inlineStr">
        <is>
          <t>123-0002</t>
        </is>
      </c>
      <c r="C7" s="116" t="inlineStr">
        <is>
          <t>SILLA JANEIRO 3 / JANEIRO CHAIR 3 / CHAISE JANEIRO 3</t>
        </is>
      </c>
      <c r="D7" s="117" t="inlineStr">
        <is>
          <t>2026-05-07</t>
        </is>
      </c>
      <c r="E7" s="118" t="n">
        <v>104</v>
      </c>
      <c r="F7" s="118" t="n">
        <v>165</v>
      </c>
      <c r="G7" s="118" t="n">
        <v>199.65</v>
      </c>
      <c r="H7" s="118" t="n">
        <v>61</v>
      </c>
      <c r="I7" s="119" t="n">
        <v>36.96969696969697</v>
      </c>
      <c r="J7" s="119" t="n">
        <v>58.65384615384615</v>
      </c>
      <c r="K7" s="120" t="n">
        <v>13</v>
      </c>
      <c r="L7" s="121" t="n">
        <v>14.28571428571428</v>
      </c>
      <c r="M7" s="120" t="n">
        <v>0</v>
      </c>
      <c r="N7" s="121" t="n">
        <v>0</v>
      </c>
    </row>
    <row r="8">
      <c r="A8" s="104" t="inlineStr">
        <is>
          <t>Hevea</t>
        </is>
      </c>
      <c r="B8" s="104" t="inlineStr">
        <is>
          <t>123-0011</t>
        </is>
      </c>
      <c r="C8" s="104" t="inlineStr">
        <is>
          <t>PARASOL VIENA 300</t>
        </is>
      </c>
      <c r="D8" s="105" t="inlineStr">
        <is>
          <t>2026-04-17</t>
        </is>
      </c>
      <c r="E8" s="106" t="n">
        <v>189</v>
      </c>
      <c r="F8" s="106" t="n">
        <v>95</v>
      </c>
      <c r="G8" s="106" t="n">
        <v>114.95</v>
      </c>
      <c r="H8" s="106" t="n">
        <v>-94</v>
      </c>
      <c r="I8" s="107" t="n">
        <v>-98.94736842105263</v>
      </c>
      <c r="J8" s="107" t="n">
        <v>-49.73544973544973</v>
      </c>
      <c r="K8" s="108" t="n"/>
      <c r="L8" s="109" t="n"/>
      <c r="M8" s="108" t="n"/>
      <c r="N8" s="109" t="n"/>
    </row>
    <row r="9">
      <c r="A9" s="110" t="inlineStr">
        <is>
          <t>Hevea</t>
        </is>
      </c>
      <c r="B9" s="110" t="inlineStr">
        <is>
          <t>123-0011</t>
        </is>
      </c>
      <c r="C9" s="110" t="inlineStr">
        <is>
          <t>SILLÓN AVALON-3 / AVALON-3 ARMCHAIR / FAUTEUIL AVALON-3</t>
        </is>
      </c>
      <c r="D9" s="111" t="inlineStr">
        <is>
          <t>2026-03-06</t>
        </is>
      </c>
      <c r="E9" s="112" t="n">
        <v>53</v>
      </c>
      <c r="F9" s="112" t="n">
        <v>95</v>
      </c>
      <c r="G9" s="112" t="n">
        <v>114.95</v>
      </c>
      <c r="H9" s="112" t="n">
        <v>42</v>
      </c>
      <c r="I9" s="113" t="n">
        <v>44.21052631578947</v>
      </c>
      <c r="J9" s="113" t="n">
        <v>79.24528301886792</v>
      </c>
      <c r="K9" s="114" t="n"/>
      <c r="L9" s="115" t="n"/>
      <c r="M9" s="114" t="n"/>
      <c r="N9" s="115" t="n"/>
    </row>
    <row r="10">
      <c r="A10" s="116" t="inlineStr">
        <is>
          <t>Hevea</t>
        </is>
      </c>
      <c r="B10" s="116" t="inlineStr">
        <is>
          <t>123-0011</t>
        </is>
      </c>
      <c r="C10" s="116" t="inlineStr">
        <is>
          <t>SILLÓN AVALON-3 / AVALON-3 ARMCHAIR / FAUTEUIL AVALON-3</t>
        </is>
      </c>
      <c r="D10" s="117" t="inlineStr">
        <is>
          <t>2026-05-07</t>
        </is>
      </c>
      <c r="E10" s="118" t="n">
        <v>60</v>
      </c>
      <c r="F10" s="118" t="n">
        <v>95</v>
      </c>
      <c r="G10" s="118" t="n">
        <v>114.95</v>
      </c>
      <c r="H10" s="118" t="n">
        <v>35</v>
      </c>
      <c r="I10" s="119" t="n">
        <v>36.84210526315789</v>
      </c>
      <c r="J10" s="119" t="n">
        <v>58.33333333333334</v>
      </c>
      <c r="K10" s="120" t="n">
        <v>7</v>
      </c>
      <c r="L10" s="121" t="n">
        <v>13.20754716981132</v>
      </c>
      <c r="M10" s="120" t="n">
        <v>0</v>
      </c>
      <c r="N10" s="121" t="n">
        <v>0</v>
      </c>
    </row>
    <row r="11">
      <c r="A11" s="104" t="inlineStr">
        <is>
          <t>Hevea</t>
        </is>
      </c>
      <c r="B11" s="104" t="inlineStr">
        <is>
          <t>123-0013</t>
        </is>
      </c>
      <c r="C11" s="104" t="inlineStr">
        <is>
          <t>AVALON-3</t>
        </is>
      </c>
      <c r="D11" s="105" t="inlineStr">
        <is>
          <t>2026-04-17</t>
        </is>
      </c>
      <c r="E11" s="106" t="n">
        <v>60</v>
      </c>
      <c r="F11" s="106" t="n">
        <v>480</v>
      </c>
      <c r="G11" s="106" t="n">
        <v>580.8</v>
      </c>
      <c r="H11" s="106" t="n">
        <v>420</v>
      </c>
      <c r="I11" s="107" t="n">
        <v>87.5</v>
      </c>
      <c r="J11" s="107" t="n">
        <v>700</v>
      </c>
      <c r="K11" s="108" t="n"/>
      <c r="L11" s="109" t="n"/>
      <c r="M11" s="108" t="n"/>
      <c r="N11" s="109" t="n"/>
    </row>
    <row r="12">
      <c r="A12" s="110" t="inlineStr">
        <is>
          <t>Hevea</t>
        </is>
      </c>
      <c r="B12" s="110" t="inlineStr">
        <is>
          <t>123-0013</t>
        </is>
      </c>
      <c r="C12" s="110" t="inlineStr">
        <is>
          <t>MESA HPL MUNDRA Ø100 x 76H / HPL MUNDRA TABLE Ø100 x 76H / TABLE HPL MUNDRA Ø100 x 76H</t>
        </is>
      </c>
      <c r="D12" s="111" t="inlineStr">
        <is>
          <t>2026-03-06</t>
        </is>
      </c>
      <c r="E12" s="112" t="n">
        <v>264</v>
      </c>
      <c r="F12" s="112" t="n">
        <v>480</v>
      </c>
      <c r="G12" s="112" t="n">
        <v>580.8</v>
      </c>
      <c r="H12" s="112" t="n">
        <v>216</v>
      </c>
      <c r="I12" s="113" t="n">
        <v>45</v>
      </c>
      <c r="J12" s="113" t="n">
        <v>81.81818181818183</v>
      </c>
      <c r="K12" s="114" t="n"/>
      <c r="L12" s="115" t="n"/>
      <c r="M12" s="114" t="n"/>
      <c r="N12" s="115" t="n"/>
    </row>
    <row r="13">
      <c r="A13" s="116" t="inlineStr">
        <is>
          <t>Hevea</t>
        </is>
      </c>
      <c r="B13" s="116" t="inlineStr">
        <is>
          <t>123-0013</t>
        </is>
      </c>
      <c r="C13" s="116" t="inlineStr">
        <is>
          <t>MESA HPL MUNDRA Ø100 x 76H / HPL MUNDRA TABLE Ø100 x 76H / TABLE HPL MUNDRA Ø100 x 76H</t>
        </is>
      </c>
      <c r="D13" s="117" t="inlineStr">
        <is>
          <t>2026-05-07</t>
        </is>
      </c>
      <c r="E13" s="118" t="n">
        <v>303</v>
      </c>
      <c r="F13" s="118" t="n">
        <v>480</v>
      </c>
      <c r="G13" s="118" t="n">
        <v>580.8</v>
      </c>
      <c r="H13" s="118" t="n">
        <v>177</v>
      </c>
      <c r="I13" s="119" t="n">
        <v>36.875</v>
      </c>
      <c r="J13" s="119" t="n">
        <v>58.41584158415841</v>
      </c>
      <c r="K13" s="120" t="n">
        <v>39</v>
      </c>
      <c r="L13" s="121" t="n">
        <v>14.77272727272727</v>
      </c>
      <c r="M13" s="120" t="n">
        <v>0</v>
      </c>
      <c r="N13" s="121" t="n">
        <v>0</v>
      </c>
    </row>
    <row r="14">
      <c r="A14" s="104" t="inlineStr">
        <is>
          <t>Hevea</t>
        </is>
      </c>
      <c r="B14" s="104" t="inlineStr">
        <is>
          <t>123-0017</t>
        </is>
      </c>
      <c r="C14" s="104" t="inlineStr">
        <is>
          <t>CORCEGA-160x90 HPL MESA COMEDOR / HPL DINING TABLE 160x90 / TABLE À MANGER HPL 160x90</t>
        </is>
      </c>
      <c r="D14" s="105" t="inlineStr">
        <is>
          <t>2026-03-06</t>
        </is>
      </c>
      <c r="E14" s="106" t="n">
        <v>328</v>
      </c>
      <c r="F14" s="106" t="n">
        <v>595</v>
      </c>
      <c r="G14" s="106" t="n">
        <v>719.95</v>
      </c>
      <c r="H14" s="106" t="n">
        <v>267</v>
      </c>
      <c r="I14" s="107" t="n">
        <v>44.87394957983194</v>
      </c>
      <c r="J14" s="107" t="n">
        <v>81.40243902439023</v>
      </c>
      <c r="K14" s="108" t="n"/>
      <c r="L14" s="109" t="n"/>
      <c r="M14" s="108" t="n"/>
      <c r="N14" s="109" t="n"/>
    </row>
    <row r="15">
      <c r="A15" s="122" t="inlineStr">
        <is>
          <t>Hevea</t>
        </is>
      </c>
      <c r="B15" s="122" t="inlineStr">
        <is>
          <t>123-0017</t>
        </is>
      </c>
      <c r="C15" s="122" t="inlineStr">
        <is>
          <t>CORCEGA-160x90 HPL MESA COMEDOR / HPL DINING TABLE 160x90 / TABLE À MANGER HPL 160x90</t>
        </is>
      </c>
      <c r="D15" s="123" t="inlineStr">
        <is>
          <t>2026-05-07</t>
        </is>
      </c>
      <c r="E15" s="124" t="n">
        <v>375</v>
      </c>
      <c r="F15" s="124" t="n">
        <v>595</v>
      </c>
      <c r="G15" s="124" t="n">
        <v>719.95</v>
      </c>
      <c r="H15" s="124" t="n">
        <v>220</v>
      </c>
      <c r="I15" s="125" t="n">
        <v>36.97478991596639</v>
      </c>
      <c r="J15" s="125" t="n">
        <v>58.66666666666666</v>
      </c>
      <c r="K15" s="126" t="n">
        <v>47</v>
      </c>
      <c r="L15" s="127" t="n">
        <v>14.32926829268293</v>
      </c>
      <c r="M15" s="126" t="n">
        <v>0</v>
      </c>
      <c r="N15" s="127" t="n">
        <v>0</v>
      </c>
    </row>
    <row r="16">
      <c r="A16" s="110" t="inlineStr">
        <is>
          <t>Hevea</t>
        </is>
      </c>
      <c r="B16" s="110" t="inlineStr">
        <is>
          <t>123-0017</t>
        </is>
      </c>
      <c r="C16" s="110" t="inlineStr">
        <is>
          <t>SILLA CÓRCEGA 3</t>
        </is>
      </c>
      <c r="D16" s="111" t="inlineStr">
        <is>
          <t>2026-04-17</t>
        </is>
      </c>
      <c r="E16" s="112" t="n">
        <v>91</v>
      </c>
      <c r="F16" s="112" t="n">
        <v>595</v>
      </c>
      <c r="G16" s="112" t="n">
        <v>719.95</v>
      </c>
      <c r="H16" s="112" t="n">
        <v>504</v>
      </c>
      <c r="I16" s="113" t="n">
        <v>84.70588235294117</v>
      </c>
      <c r="J16" s="113" t="n">
        <v>553.8461538461538</v>
      </c>
      <c r="K16" s="114" t="n"/>
      <c r="L16" s="115" t="n"/>
      <c r="M16" s="114" t="n"/>
      <c r="N16" s="115" t="n"/>
    </row>
    <row r="17">
      <c r="A17" s="104" t="inlineStr">
        <is>
          <t>Hevea</t>
        </is>
      </c>
      <c r="B17" s="104" t="inlineStr">
        <is>
          <t>123-0038</t>
        </is>
      </c>
      <c r="C17" s="104" t="inlineStr">
        <is>
          <t>BRESCIA-12 TUMBONA / SUNBED / BAIN DE SOLEIL</t>
        </is>
      </c>
      <c r="D17" s="105" t="inlineStr">
        <is>
          <t>2026-03-06</t>
        </is>
      </c>
      <c r="E17" s="106" t="n">
        <v>88</v>
      </c>
      <c r="F17" s="106" t="n">
        <v>160</v>
      </c>
      <c r="G17" s="106" t="n">
        <v>193.6</v>
      </c>
      <c r="H17" s="106" t="n">
        <v>72</v>
      </c>
      <c r="I17" s="107" t="n">
        <v>45</v>
      </c>
      <c r="J17" s="107" t="n">
        <v>81.81818181818183</v>
      </c>
      <c r="K17" s="108" t="n"/>
      <c r="L17" s="109" t="n"/>
      <c r="M17" s="108" t="n"/>
      <c r="N17" s="109" t="n"/>
    </row>
    <row r="18">
      <c r="A18" s="122" t="inlineStr">
        <is>
          <t>Hevea</t>
        </is>
      </c>
      <c r="B18" s="122" t="inlineStr">
        <is>
          <t>123-0038</t>
        </is>
      </c>
      <c r="C18" s="122" t="inlineStr">
        <is>
          <t>BRESCIA-12 TUMBONA / SUNBED / BAIN DE SOLEIL</t>
        </is>
      </c>
      <c r="D18" s="123" t="inlineStr">
        <is>
          <t>2026-05-07</t>
        </is>
      </c>
      <c r="E18" s="124" t="n">
        <v>101</v>
      </c>
      <c r="F18" s="124" t="n">
        <v>160</v>
      </c>
      <c r="G18" s="124" t="n">
        <v>193.6</v>
      </c>
      <c r="H18" s="124" t="n">
        <v>59</v>
      </c>
      <c r="I18" s="125" t="n">
        <v>36.875</v>
      </c>
      <c r="J18" s="125" t="n">
        <v>58.41584158415841</v>
      </c>
      <c r="K18" s="126" t="n">
        <v>13</v>
      </c>
      <c r="L18" s="127" t="n">
        <v>14.77272727272727</v>
      </c>
      <c r="M18" s="126" t="n">
        <v>0</v>
      </c>
      <c r="N18" s="127" t="n">
        <v>0</v>
      </c>
    </row>
    <row r="19">
      <c r="A19" s="110" t="inlineStr">
        <is>
          <t>Hevea</t>
        </is>
      </c>
      <c r="B19" s="110" t="inlineStr">
        <is>
          <t>123-0038</t>
        </is>
      </c>
      <c r="C19" s="110" t="inlineStr">
        <is>
          <t>PARASOL SAMSON Ø350</t>
        </is>
      </c>
      <c r="D19" s="111" t="inlineStr">
        <is>
          <t>2026-04-17</t>
        </is>
      </c>
      <c r="E19" s="112" t="n">
        <v>561</v>
      </c>
      <c r="F19" s="112" t="n">
        <v>160</v>
      </c>
      <c r="G19" s="112" t="n">
        <v>193.6</v>
      </c>
      <c r="H19" s="112" t="n">
        <v>-401</v>
      </c>
      <c r="I19" s="113" t="n">
        <v>-250.625</v>
      </c>
      <c r="J19" s="113" t="n">
        <v>-71.4795008912656</v>
      </c>
      <c r="K19" s="114" t="n"/>
      <c r="L19" s="115" t="n"/>
      <c r="M19" s="114" t="n"/>
      <c r="N19" s="115" t="n"/>
    </row>
    <row r="20">
      <c r="A20" s="104" t="inlineStr">
        <is>
          <t>Hevea</t>
        </is>
      </c>
      <c r="B20" s="104" t="inlineStr">
        <is>
          <t>557-0008</t>
        </is>
      </c>
      <c r="C20" s="104" t="inlineStr">
        <is>
          <t>BOLONIA-4 MESA CENTRO-125X65X42</t>
        </is>
      </c>
      <c r="D20" s="105" t="inlineStr">
        <is>
          <t>2026-03-06</t>
        </is>
      </c>
      <c r="E20" s="106" t="n">
        <v>259</v>
      </c>
      <c r="F20" s="106" t="n">
        <v>470</v>
      </c>
      <c r="G20" s="106" t="n">
        <v>568.7</v>
      </c>
      <c r="H20" s="106" t="n">
        <v>211</v>
      </c>
      <c r="I20" s="107" t="n">
        <v>44.8936170212766</v>
      </c>
      <c r="J20" s="107" t="n">
        <v>81.46718146718148</v>
      </c>
      <c r="K20" s="108" t="n"/>
      <c r="L20" s="109" t="n"/>
      <c r="M20" s="108" t="n"/>
      <c r="N20" s="109" t="n"/>
    </row>
    <row r="21">
      <c r="A21" s="122" t="inlineStr">
        <is>
          <t>Hevea</t>
        </is>
      </c>
      <c r="B21" s="122" t="inlineStr">
        <is>
          <t>557-0008</t>
        </is>
      </c>
      <c r="C21" s="122" t="inlineStr">
        <is>
          <t>BOLONIA-4 MESA CENTRO-125X65X42</t>
        </is>
      </c>
      <c r="D21" s="123" t="inlineStr">
        <is>
          <t>2026-04-17</t>
        </is>
      </c>
      <c r="E21" s="124" t="n">
        <v>296</v>
      </c>
      <c r="F21" s="124" t="n">
        <v>470</v>
      </c>
      <c r="G21" s="124" t="n">
        <v>568.7</v>
      </c>
      <c r="H21" s="124" t="n">
        <v>174</v>
      </c>
      <c r="I21" s="125" t="n">
        <v>37.02127659574468</v>
      </c>
      <c r="J21" s="125" t="n">
        <v>58.78378378378378</v>
      </c>
      <c r="K21" s="126" t="n">
        <v>37</v>
      </c>
      <c r="L21" s="127" t="n">
        <v>14.28571428571428</v>
      </c>
      <c r="M21" s="126" t="n">
        <v>0</v>
      </c>
      <c r="N21" s="127" t="n">
        <v>0</v>
      </c>
    </row>
    <row r="22">
      <c r="A22" s="122" t="inlineStr">
        <is>
          <t>Hevea</t>
        </is>
      </c>
      <c r="B22" s="122" t="inlineStr">
        <is>
          <t>557-0008</t>
        </is>
      </c>
      <c r="C22" s="122" t="inlineStr">
        <is>
          <t>BOLONIA-4 MESA CENTRO-125X65X42</t>
        </is>
      </c>
      <c r="D22" s="123" t="inlineStr">
        <is>
          <t>2026-05-07</t>
        </is>
      </c>
      <c r="E22" s="124" t="n">
        <v>297</v>
      </c>
      <c r="F22" s="124" t="n">
        <v>470</v>
      </c>
      <c r="G22" s="124" t="n">
        <v>568.7</v>
      </c>
      <c r="H22" s="124" t="n">
        <v>173</v>
      </c>
      <c r="I22" s="125" t="n">
        <v>36.80851063829787</v>
      </c>
      <c r="J22" s="125" t="n">
        <v>58.24915824915825</v>
      </c>
      <c r="K22" s="126" t="n">
        <v>1</v>
      </c>
      <c r="L22" s="127" t="n">
        <v>0.3378378378378378</v>
      </c>
      <c r="M22" s="126" t="n">
        <v>0</v>
      </c>
      <c r="N22" s="127" t="n">
        <v>0</v>
      </c>
    </row>
    <row r="23">
      <c r="A23" s="110" t="inlineStr">
        <is>
          <t>Hevea</t>
        </is>
      </c>
      <c r="B23" s="110" t="inlineStr">
        <is>
          <t>557-010016</t>
        </is>
      </c>
      <c r="C23" s="110" t="inlineStr">
        <is>
          <t>GULLIVER BANCO / GULLIVER BENCH / BANC GULLIVER</t>
        </is>
      </c>
      <c r="D23" s="111" t="inlineStr">
        <is>
          <t>2026-03-06</t>
        </is>
      </c>
      <c r="E23" s="112" t="n">
        <v>193</v>
      </c>
      <c r="F23" s="112" t="n">
        <v>350</v>
      </c>
      <c r="G23" s="112" t="n">
        <v>423.5</v>
      </c>
      <c r="H23" s="112" t="n">
        <v>157</v>
      </c>
      <c r="I23" s="113" t="n">
        <v>44.85714285714285</v>
      </c>
      <c r="J23" s="113" t="n">
        <v>81.34715025906736</v>
      </c>
      <c r="K23" s="114" t="n"/>
      <c r="L23" s="115" t="n"/>
      <c r="M23" s="114" t="n"/>
      <c r="N23" s="115" t="n"/>
    </row>
    <row r="24">
      <c r="A24" s="116" t="inlineStr">
        <is>
          <t>Hevea</t>
        </is>
      </c>
      <c r="B24" s="116" t="inlineStr">
        <is>
          <t>557-010016</t>
        </is>
      </c>
      <c r="C24" s="116" t="inlineStr">
        <is>
          <t>GULLIVER BANCO / GULLIVER BENCH / BANC GULLIVER</t>
        </is>
      </c>
      <c r="D24" s="117" t="inlineStr">
        <is>
          <t>2026-05-07</t>
        </is>
      </c>
      <c r="E24" s="118" t="n">
        <v>221</v>
      </c>
      <c r="F24" s="118" t="n">
        <v>350</v>
      </c>
      <c r="G24" s="118" t="n">
        <v>423.5</v>
      </c>
      <c r="H24" s="118" t="n">
        <v>129</v>
      </c>
      <c r="I24" s="119" t="n">
        <v>36.85714285714285</v>
      </c>
      <c r="J24" s="119" t="n">
        <v>58.37104072398191</v>
      </c>
      <c r="K24" s="120" t="n">
        <v>28</v>
      </c>
      <c r="L24" s="121" t="n">
        <v>14.50777202072539</v>
      </c>
      <c r="M24" s="120" t="n">
        <v>0</v>
      </c>
      <c r="N24" s="121" t="n">
        <v>0</v>
      </c>
    </row>
    <row r="25">
      <c r="A25" s="104" t="inlineStr">
        <is>
          <t>Hevea</t>
        </is>
      </c>
      <c r="B25" s="104" t="inlineStr">
        <is>
          <t>557-010016</t>
        </is>
      </c>
      <c r="C25" s="104" t="inlineStr">
        <is>
          <t>SEVILLA BANCO</t>
        </is>
      </c>
      <c r="D25" s="105" t="inlineStr">
        <is>
          <t>2026-04-17</t>
        </is>
      </c>
      <c r="E25" s="106" t="n">
        <v>198</v>
      </c>
      <c r="F25" s="106" t="n">
        <v>350</v>
      </c>
      <c r="G25" s="106" t="n">
        <v>423.5</v>
      </c>
      <c r="H25" s="106" t="n">
        <v>152</v>
      </c>
      <c r="I25" s="107" t="n">
        <v>43.42857142857143</v>
      </c>
      <c r="J25" s="107" t="n">
        <v>76.76767676767676</v>
      </c>
      <c r="K25" s="108" t="n"/>
      <c r="L25" s="109" t="n"/>
      <c r="M25" s="108" t="n"/>
      <c r="N25" s="109" t="n"/>
    </row>
    <row r="26">
      <c r="A26" s="110" t="inlineStr">
        <is>
          <t>Hevea</t>
        </is>
      </c>
      <c r="B26" s="110" t="inlineStr">
        <is>
          <t>557-010026</t>
        </is>
      </c>
      <c r="C26" s="110" t="inlineStr">
        <is>
          <t>ADEL-7</t>
        </is>
      </c>
      <c r="D26" s="111" t="inlineStr">
        <is>
          <t>2026-04-17</t>
        </is>
      </c>
      <c r="E26" s="112" t="n">
        <v>1342</v>
      </c>
      <c r="F26" s="112" t="n">
        <v>3135</v>
      </c>
      <c r="G26" s="112" t="n">
        <v>3793.35</v>
      </c>
      <c r="H26" s="112" t="n">
        <v>1793</v>
      </c>
      <c r="I26" s="113" t="n">
        <v>57.19298245614035</v>
      </c>
      <c r="J26" s="113" t="n">
        <v>133.6065573770492</v>
      </c>
      <c r="K26" s="114" t="n"/>
      <c r="L26" s="115" t="n"/>
      <c r="M26" s="114" t="n"/>
      <c r="N26" s="115" t="n"/>
    </row>
    <row r="27">
      <c r="A27" s="104" t="inlineStr">
        <is>
          <t>Hevea</t>
        </is>
      </c>
      <c r="B27" s="104" t="inlineStr">
        <is>
          <t>557-010026</t>
        </is>
      </c>
      <c r="C27" s="104" t="inlineStr">
        <is>
          <t>LOIRA-8 HPL SET SOFÁ RINCONERA / HPL CORNER SOFA SET / SET CANAPÉ D’ANGLE HPL</t>
        </is>
      </c>
      <c r="D27" s="105" t="inlineStr">
        <is>
          <t>2026-03-06</t>
        </is>
      </c>
      <c r="E27" s="106" t="n">
        <v>1725</v>
      </c>
      <c r="F27" s="106" t="n">
        <v>3135</v>
      </c>
      <c r="G27" s="106" t="n">
        <v>3793.35</v>
      </c>
      <c r="H27" s="106" t="n">
        <v>1410</v>
      </c>
      <c r="I27" s="107" t="n">
        <v>44.97607655502392</v>
      </c>
      <c r="J27" s="107" t="n">
        <v>81.73913043478261</v>
      </c>
      <c r="K27" s="108" t="n"/>
      <c r="L27" s="109" t="n"/>
      <c r="M27" s="108" t="n"/>
      <c r="N27" s="109" t="n"/>
    </row>
    <row r="28">
      <c r="A28" s="122" t="inlineStr">
        <is>
          <t>Hevea</t>
        </is>
      </c>
      <c r="B28" s="122" t="inlineStr">
        <is>
          <t>557-010026</t>
        </is>
      </c>
      <c r="C28" s="122" t="inlineStr">
        <is>
          <t>LOIRA-8 HPL SET SOFÁ RINCONERA / HPL CORNER SOFA SET / SET CANAPÉ D’ANGLE HPL</t>
        </is>
      </c>
      <c r="D28" s="123" t="inlineStr">
        <is>
          <t>2026-05-07</t>
        </is>
      </c>
      <c r="E28" s="124" t="n">
        <v>1976</v>
      </c>
      <c r="F28" s="124" t="n">
        <v>3135</v>
      </c>
      <c r="G28" s="124" t="n">
        <v>3793.35</v>
      </c>
      <c r="H28" s="124" t="n">
        <v>1159</v>
      </c>
      <c r="I28" s="125" t="n">
        <v>36.96969696969697</v>
      </c>
      <c r="J28" s="125" t="n">
        <v>58.65384615384615</v>
      </c>
      <c r="K28" s="126" t="n">
        <v>251</v>
      </c>
      <c r="L28" s="127" t="n">
        <v>14.55072463768116</v>
      </c>
      <c r="M28" s="126" t="n">
        <v>0</v>
      </c>
      <c r="N28" s="127" t="n">
        <v>0</v>
      </c>
    </row>
    <row r="29">
      <c r="A29" s="110" t="inlineStr">
        <is>
          <t>Hevea</t>
        </is>
      </c>
      <c r="B29" s="110" t="inlineStr">
        <is>
          <t>557-010048</t>
        </is>
      </c>
      <c r="C29" s="110" t="inlineStr">
        <is>
          <t>ADEL-30 SET SOFÁ RINCONERA / CORNER SOFA SET / SET CANAPÉ D’ANGLE</t>
        </is>
      </c>
      <c r="D29" s="111" t="inlineStr">
        <is>
          <t>2026-03-06</t>
        </is>
      </c>
      <c r="E29" s="112" t="n">
        <v>1736</v>
      </c>
      <c r="F29" s="112" t="n">
        <v>3155</v>
      </c>
      <c r="G29" s="112" t="n">
        <v>3817.55</v>
      </c>
      <c r="H29" s="112" t="n">
        <v>1419</v>
      </c>
      <c r="I29" s="113" t="n">
        <v>44.97622820919176</v>
      </c>
      <c r="J29" s="113" t="n">
        <v>81.73963133640552</v>
      </c>
      <c r="K29" s="114" t="n"/>
      <c r="L29" s="115" t="n"/>
      <c r="M29" s="114" t="n"/>
      <c r="N29" s="115" t="n"/>
    </row>
    <row r="30">
      <c r="A30" s="116" t="inlineStr">
        <is>
          <t>Hevea</t>
        </is>
      </c>
      <c r="B30" s="116" t="inlineStr">
        <is>
          <t>557-010048</t>
        </is>
      </c>
      <c r="C30" s="116" t="inlineStr">
        <is>
          <t>ADEL-30 SET SOFÁ RINCONERA / CORNER SOFA SET / SET CANAPÉ D’ANGLE</t>
        </is>
      </c>
      <c r="D30" s="117" t="inlineStr">
        <is>
          <t>2026-05-07</t>
        </is>
      </c>
      <c r="E30" s="118" t="n">
        <v>1988</v>
      </c>
      <c r="F30" s="118" t="n">
        <v>3155</v>
      </c>
      <c r="G30" s="118" t="n">
        <v>3817.55</v>
      </c>
      <c r="H30" s="118" t="n">
        <v>1167</v>
      </c>
      <c r="I30" s="119" t="n">
        <v>36.98890649762282</v>
      </c>
      <c r="J30" s="119" t="n">
        <v>58.70221327967807</v>
      </c>
      <c r="K30" s="120" t="n">
        <v>252</v>
      </c>
      <c r="L30" s="121" t="n">
        <v>14.51612903225807</v>
      </c>
      <c r="M30" s="120" t="n">
        <v>0</v>
      </c>
      <c r="N30" s="121" t="n">
        <v>0</v>
      </c>
    </row>
    <row r="31">
      <c r="A31" s="104" t="inlineStr">
        <is>
          <t>Hevea</t>
        </is>
      </c>
      <c r="B31" s="104" t="inlineStr">
        <is>
          <t>557-010048</t>
        </is>
      </c>
      <c r="C31" s="104" t="inlineStr">
        <is>
          <t>CORCEGA-160x90</t>
        </is>
      </c>
      <c r="D31" s="105" t="inlineStr">
        <is>
          <t>2026-04-17</t>
        </is>
      </c>
      <c r="E31" s="106" t="n">
        <v>375</v>
      </c>
      <c r="F31" s="106" t="n">
        <v>3155</v>
      </c>
      <c r="G31" s="106" t="n">
        <v>3817.55</v>
      </c>
      <c r="H31" s="106" t="n">
        <v>2780</v>
      </c>
      <c r="I31" s="107" t="n">
        <v>88.11410459587957</v>
      </c>
      <c r="J31" s="107" t="n">
        <v>741.3333333333333</v>
      </c>
      <c r="K31" s="108" t="n"/>
      <c r="L31" s="109" t="n"/>
      <c r="M31" s="108" t="n"/>
      <c r="N31" s="109" t="n"/>
    </row>
    <row r="32">
      <c r="A32" s="110" t="inlineStr">
        <is>
          <t>Hevea</t>
        </is>
      </c>
      <c r="B32" s="110" t="inlineStr">
        <is>
          <t>557-010103</t>
        </is>
      </c>
      <c r="C32" s="110" t="inlineStr">
        <is>
          <t>DOUNVIL-1 SILLON</t>
        </is>
      </c>
      <c r="D32" s="111" t="inlineStr">
        <is>
          <t>2026-03-06</t>
        </is>
      </c>
      <c r="E32" s="112" t="n">
        <v>264</v>
      </c>
      <c r="F32" s="112" t="n">
        <v>480</v>
      </c>
      <c r="G32" s="112" t="n">
        <v>580.8</v>
      </c>
      <c r="H32" s="112" t="n">
        <v>216</v>
      </c>
      <c r="I32" s="113" t="n">
        <v>45</v>
      </c>
      <c r="J32" s="113" t="n">
        <v>81.81818181818183</v>
      </c>
      <c r="K32" s="114" t="n"/>
      <c r="L32" s="115" t="n"/>
      <c r="M32" s="114" t="n"/>
      <c r="N32" s="115" t="n"/>
    </row>
    <row r="33">
      <c r="A33" s="116" t="inlineStr">
        <is>
          <t>Hevea</t>
        </is>
      </c>
      <c r="B33" s="116" t="inlineStr">
        <is>
          <t>557-010103</t>
        </is>
      </c>
      <c r="C33" s="116" t="inlineStr">
        <is>
          <t>DOUNVIL-1</t>
        </is>
      </c>
      <c r="D33" s="117" t="inlineStr">
        <is>
          <t>2026-04-17</t>
        </is>
      </c>
      <c r="E33" s="118" t="n">
        <v>302</v>
      </c>
      <c r="F33" s="118" t="n">
        <v>480</v>
      </c>
      <c r="G33" s="118" t="n">
        <v>580.8</v>
      </c>
      <c r="H33" s="118" t="n">
        <v>178</v>
      </c>
      <c r="I33" s="119" t="n">
        <v>37.08333333333334</v>
      </c>
      <c r="J33" s="119" t="n">
        <v>58.94039735099338</v>
      </c>
      <c r="K33" s="120" t="n">
        <v>38</v>
      </c>
      <c r="L33" s="121" t="n">
        <v>14.39393939393939</v>
      </c>
      <c r="M33" s="120" t="n">
        <v>0</v>
      </c>
      <c r="N33" s="121" t="n">
        <v>0</v>
      </c>
    </row>
    <row r="34">
      <c r="A34" s="116" t="inlineStr">
        <is>
          <t>Hevea</t>
        </is>
      </c>
      <c r="B34" s="116" t="inlineStr">
        <is>
          <t>557-010103</t>
        </is>
      </c>
      <c r="C34" s="116" t="inlineStr">
        <is>
          <t>DOUNVIL-1 SILLON</t>
        </is>
      </c>
      <c r="D34" s="117" t="inlineStr">
        <is>
          <t>2026-05-07</t>
        </is>
      </c>
      <c r="E34" s="118" t="n">
        <v>303</v>
      </c>
      <c r="F34" s="118" t="n">
        <v>480</v>
      </c>
      <c r="G34" s="118" t="n">
        <v>580.8</v>
      </c>
      <c r="H34" s="118" t="n">
        <v>177</v>
      </c>
      <c r="I34" s="119" t="n">
        <v>36.875</v>
      </c>
      <c r="J34" s="119" t="n">
        <v>58.41584158415841</v>
      </c>
      <c r="K34" s="120" t="n">
        <v>1</v>
      </c>
      <c r="L34" s="121" t="n">
        <v>0.3311258278145696</v>
      </c>
      <c r="M34" s="120" t="n">
        <v>0</v>
      </c>
      <c r="N34" s="121" t="n">
        <v>0</v>
      </c>
    </row>
    <row r="35">
      <c r="A35" s="104" t="inlineStr">
        <is>
          <t>Hevea</t>
        </is>
      </c>
      <c r="B35" s="104" t="inlineStr">
        <is>
          <t>557-010104</t>
        </is>
      </c>
      <c r="C35" s="104" t="inlineStr">
        <is>
          <t>DOUNVIL-2 SOFA 2 PLAZAS</t>
        </is>
      </c>
      <c r="D35" s="105" t="inlineStr">
        <is>
          <t>2026-03-06</t>
        </is>
      </c>
      <c r="E35" s="106" t="n">
        <v>413</v>
      </c>
      <c r="F35" s="106" t="n">
        <v>750</v>
      </c>
      <c r="G35" s="106" t="n">
        <v>907.5</v>
      </c>
      <c r="H35" s="106" t="n">
        <v>337</v>
      </c>
      <c r="I35" s="107" t="n">
        <v>44.93333333333333</v>
      </c>
      <c r="J35" s="107" t="n">
        <v>81.59806295399515</v>
      </c>
      <c r="K35" s="108" t="n"/>
      <c r="L35" s="109" t="n"/>
      <c r="M35" s="108" t="n"/>
      <c r="N35" s="109" t="n"/>
    </row>
    <row r="36">
      <c r="A36" s="122" t="inlineStr">
        <is>
          <t>Hevea</t>
        </is>
      </c>
      <c r="B36" s="122" t="inlineStr">
        <is>
          <t>557-010104</t>
        </is>
      </c>
      <c r="C36" s="122" t="inlineStr">
        <is>
          <t>DOUNVIL-2</t>
        </is>
      </c>
      <c r="D36" s="123" t="inlineStr">
        <is>
          <t>2026-04-17</t>
        </is>
      </c>
      <c r="E36" s="124" t="n">
        <v>473</v>
      </c>
      <c r="F36" s="124" t="n">
        <v>750</v>
      </c>
      <c r="G36" s="124" t="n">
        <v>907.5</v>
      </c>
      <c r="H36" s="124" t="n">
        <v>277</v>
      </c>
      <c r="I36" s="125" t="n">
        <v>36.93333333333334</v>
      </c>
      <c r="J36" s="125" t="n">
        <v>58.56236786469344</v>
      </c>
      <c r="K36" s="126" t="n">
        <v>60</v>
      </c>
      <c r="L36" s="127" t="n">
        <v>14.52784503631961</v>
      </c>
      <c r="M36" s="126" t="n">
        <v>0</v>
      </c>
      <c r="N36" s="127" t="n">
        <v>0</v>
      </c>
    </row>
    <row r="37">
      <c r="A37" s="122" t="inlineStr">
        <is>
          <t>Hevea</t>
        </is>
      </c>
      <c r="B37" s="122" t="inlineStr">
        <is>
          <t>557-010104</t>
        </is>
      </c>
      <c r="C37" s="122" t="inlineStr">
        <is>
          <t>DOUNVIL-2 SOFA 2 PLAZAS</t>
        </is>
      </c>
      <c r="D37" s="123" t="inlineStr">
        <is>
          <t>2026-05-07</t>
        </is>
      </c>
      <c r="E37" s="124" t="n">
        <v>473</v>
      </c>
      <c r="F37" s="124" t="n">
        <v>750</v>
      </c>
      <c r="G37" s="124" t="n">
        <v>907.5</v>
      </c>
      <c r="H37" s="124" t="n">
        <v>277</v>
      </c>
      <c r="I37" s="125" t="n">
        <v>36.93333333333334</v>
      </c>
      <c r="J37" s="125" t="n">
        <v>58.56236786469344</v>
      </c>
      <c r="K37" s="126" t="n">
        <v>0</v>
      </c>
      <c r="L37" s="127" t="n">
        <v>0</v>
      </c>
      <c r="M37" s="126" t="n">
        <v>0</v>
      </c>
      <c r="N37" s="127" t="n">
        <v>0</v>
      </c>
    </row>
    <row r="38">
      <c r="A38" s="110" t="inlineStr">
        <is>
          <t>Hevea</t>
        </is>
      </c>
      <c r="B38" s="110" t="inlineStr">
        <is>
          <t>557-010105</t>
        </is>
      </c>
      <c r="C38" s="110" t="inlineStr">
        <is>
          <t>DOUNVIL-3 SOFA 3 PLAZAS</t>
        </is>
      </c>
      <c r="D38" s="111" t="inlineStr">
        <is>
          <t>2026-03-06</t>
        </is>
      </c>
      <c r="E38" s="112" t="n">
        <v>534</v>
      </c>
      <c r="F38" s="112" t="n">
        <v>970</v>
      </c>
      <c r="G38" s="112" t="n">
        <v>1173.7</v>
      </c>
      <c r="H38" s="112" t="n">
        <v>436</v>
      </c>
      <c r="I38" s="113" t="n">
        <v>44.94845360824743</v>
      </c>
      <c r="J38" s="113" t="n">
        <v>81.64794007490637</v>
      </c>
      <c r="K38" s="114" t="n"/>
      <c r="L38" s="115" t="n"/>
      <c r="M38" s="114" t="n"/>
      <c r="N38" s="115" t="n"/>
    </row>
    <row r="39">
      <c r="A39" s="116" t="inlineStr">
        <is>
          <t>Hevea</t>
        </is>
      </c>
      <c r="B39" s="116" t="inlineStr">
        <is>
          <t>557-010105</t>
        </is>
      </c>
      <c r="C39" s="116" t="inlineStr">
        <is>
          <t>DOUNVIL-3</t>
        </is>
      </c>
      <c r="D39" s="117" t="inlineStr">
        <is>
          <t>2026-04-17</t>
        </is>
      </c>
      <c r="E39" s="118" t="n">
        <v>611</v>
      </c>
      <c r="F39" s="118" t="n">
        <v>970</v>
      </c>
      <c r="G39" s="118" t="n">
        <v>1173.7</v>
      </c>
      <c r="H39" s="118" t="n">
        <v>359</v>
      </c>
      <c r="I39" s="119" t="n">
        <v>37.01030927835052</v>
      </c>
      <c r="J39" s="119" t="n">
        <v>58.75613747954174</v>
      </c>
      <c r="K39" s="120" t="n">
        <v>77</v>
      </c>
      <c r="L39" s="121" t="n">
        <v>14.41947565543071</v>
      </c>
      <c r="M39" s="120" t="n">
        <v>0</v>
      </c>
      <c r="N39" s="121" t="n">
        <v>0</v>
      </c>
    </row>
    <row r="40">
      <c r="A40" s="116" t="inlineStr">
        <is>
          <t>Hevea</t>
        </is>
      </c>
      <c r="B40" s="116" t="inlineStr">
        <is>
          <t>557-010105</t>
        </is>
      </c>
      <c r="C40" s="116" t="inlineStr">
        <is>
          <t>DOUNVIL-3 SOFA 3 PLAZAS</t>
        </is>
      </c>
      <c r="D40" s="117" t="inlineStr">
        <is>
          <t>2026-05-07</t>
        </is>
      </c>
      <c r="E40" s="118" t="n">
        <v>612</v>
      </c>
      <c r="F40" s="118" t="n">
        <v>970</v>
      </c>
      <c r="G40" s="118" t="n">
        <v>1173.7</v>
      </c>
      <c r="H40" s="118" t="n">
        <v>358</v>
      </c>
      <c r="I40" s="119" t="n">
        <v>36.90721649484536</v>
      </c>
      <c r="J40" s="119" t="n">
        <v>58.4967320261438</v>
      </c>
      <c r="K40" s="120" t="n">
        <v>1</v>
      </c>
      <c r="L40" s="121" t="n">
        <v>0.1636661211129296</v>
      </c>
      <c r="M40" s="120" t="n">
        <v>0</v>
      </c>
      <c r="N40" s="121" t="n">
        <v>0</v>
      </c>
    </row>
    <row r="41">
      <c r="A41" s="104" t="inlineStr">
        <is>
          <t>Hevea</t>
        </is>
      </c>
      <c r="B41" s="104" t="inlineStr">
        <is>
          <t>557-010106</t>
        </is>
      </c>
      <c r="C41" s="104" t="inlineStr">
        <is>
          <t>DOUNVIL-7 SET SOFA 2 PLAZAS</t>
        </is>
      </c>
      <c r="D41" s="105" t="inlineStr">
        <is>
          <t>2026-03-06</t>
        </is>
      </c>
      <c r="E41" s="106" t="n">
        <v>1092</v>
      </c>
      <c r="F41" s="106" t="n">
        <v>1985</v>
      </c>
      <c r="G41" s="106" t="n">
        <v>2401.85</v>
      </c>
      <c r="H41" s="106" t="n">
        <v>893</v>
      </c>
      <c r="I41" s="107" t="n">
        <v>44.98740554156171</v>
      </c>
      <c r="J41" s="107" t="n">
        <v>81.77655677655677</v>
      </c>
      <c r="K41" s="108" t="n"/>
      <c r="L41" s="109" t="n"/>
      <c r="M41" s="108" t="n"/>
      <c r="N41" s="109" t="n"/>
    </row>
    <row r="42">
      <c r="A42" s="122" t="inlineStr">
        <is>
          <t>Hevea</t>
        </is>
      </c>
      <c r="B42" s="122" t="inlineStr">
        <is>
          <t>557-010106</t>
        </is>
      </c>
      <c r="C42" s="122" t="inlineStr">
        <is>
          <t>DOUNVIL-7</t>
        </is>
      </c>
      <c r="D42" s="123" t="inlineStr">
        <is>
          <t>2026-04-17</t>
        </is>
      </c>
      <c r="E42" s="124" t="n">
        <v>1251</v>
      </c>
      <c r="F42" s="124" t="n">
        <v>1985</v>
      </c>
      <c r="G42" s="124" t="n">
        <v>2401.85</v>
      </c>
      <c r="H42" s="124" t="n">
        <v>734</v>
      </c>
      <c r="I42" s="125" t="n">
        <v>36.97732997481108</v>
      </c>
      <c r="J42" s="125" t="n">
        <v>58.6730615507594</v>
      </c>
      <c r="K42" s="126" t="n">
        <v>159</v>
      </c>
      <c r="L42" s="127" t="n">
        <v>14.56043956043956</v>
      </c>
      <c r="M42" s="126" t="n">
        <v>0</v>
      </c>
      <c r="N42" s="127" t="n">
        <v>0</v>
      </c>
    </row>
    <row r="43">
      <c r="A43" s="122" t="inlineStr">
        <is>
          <t>Hevea</t>
        </is>
      </c>
      <c r="B43" s="122" t="inlineStr">
        <is>
          <t>557-010106</t>
        </is>
      </c>
      <c r="C43" s="122" t="inlineStr">
        <is>
          <t>DOUNVIL-7 SET SOFA 2 PLAZAS</t>
        </is>
      </c>
      <c r="D43" s="123" t="inlineStr">
        <is>
          <t>2026-05-07</t>
        </is>
      </c>
      <c r="E43" s="124" t="n">
        <v>1251</v>
      </c>
      <c r="F43" s="124" t="n">
        <v>1985</v>
      </c>
      <c r="G43" s="124" t="n">
        <v>2401.85</v>
      </c>
      <c r="H43" s="124" t="n">
        <v>734</v>
      </c>
      <c r="I43" s="125" t="n">
        <v>36.97732997481108</v>
      </c>
      <c r="J43" s="125" t="n">
        <v>58.6730615507594</v>
      </c>
      <c r="K43" s="126" t="n">
        <v>0</v>
      </c>
      <c r="L43" s="127" t="n">
        <v>0</v>
      </c>
      <c r="M43" s="126" t="n">
        <v>0</v>
      </c>
      <c r="N43" s="127" t="n">
        <v>0</v>
      </c>
    </row>
    <row r="44">
      <c r="A44" s="110" t="inlineStr">
        <is>
          <t>Hevea</t>
        </is>
      </c>
      <c r="B44" s="110" t="inlineStr">
        <is>
          <t>557-010107</t>
        </is>
      </c>
      <c r="C44" s="110" t="inlineStr">
        <is>
          <t>DOUNVIL-8 SET SOFA 3 PLAZAS</t>
        </is>
      </c>
      <c r="D44" s="111" t="inlineStr">
        <is>
          <t>2026-03-06</t>
        </is>
      </c>
      <c r="E44" s="112" t="n">
        <v>1263</v>
      </c>
      <c r="F44" s="112" t="n">
        <v>2295</v>
      </c>
      <c r="G44" s="112" t="n">
        <v>2776.95</v>
      </c>
      <c r="H44" s="112" t="n">
        <v>1032</v>
      </c>
      <c r="I44" s="113" t="n">
        <v>44.96732026143791</v>
      </c>
      <c r="J44" s="113" t="n">
        <v>81.71021377672209</v>
      </c>
      <c r="K44" s="114" t="n"/>
      <c r="L44" s="115" t="n"/>
      <c r="M44" s="114" t="n"/>
      <c r="N44" s="115" t="n"/>
    </row>
    <row r="45">
      <c r="A45" s="116" t="inlineStr">
        <is>
          <t>Hevea</t>
        </is>
      </c>
      <c r="B45" s="116" t="inlineStr">
        <is>
          <t>557-010107</t>
        </is>
      </c>
      <c r="C45" s="116" t="inlineStr">
        <is>
          <t>DOUNVIL-8</t>
        </is>
      </c>
      <c r="D45" s="117" t="inlineStr">
        <is>
          <t>2026-04-17</t>
        </is>
      </c>
      <c r="E45" s="118" t="n">
        <v>1446</v>
      </c>
      <c r="F45" s="118" t="n">
        <v>2295</v>
      </c>
      <c r="G45" s="118" t="n">
        <v>2776.95</v>
      </c>
      <c r="H45" s="118" t="n">
        <v>849</v>
      </c>
      <c r="I45" s="119" t="n">
        <v>36.99346405228759</v>
      </c>
      <c r="J45" s="119" t="n">
        <v>58.7136929460581</v>
      </c>
      <c r="K45" s="120" t="n">
        <v>183</v>
      </c>
      <c r="L45" s="121" t="n">
        <v>14.48931116389549</v>
      </c>
      <c r="M45" s="120" t="n">
        <v>0</v>
      </c>
      <c r="N45" s="121" t="n">
        <v>0</v>
      </c>
    </row>
    <row r="46">
      <c r="A46" s="116" t="inlineStr">
        <is>
          <t>Hevea</t>
        </is>
      </c>
      <c r="B46" s="116" t="inlineStr">
        <is>
          <t>557-010107</t>
        </is>
      </c>
      <c r="C46" s="116" t="inlineStr">
        <is>
          <t>DOUNVIL-8 SET SOFA 3 PLAZAS</t>
        </is>
      </c>
      <c r="D46" s="117" t="inlineStr">
        <is>
          <t>2026-05-07</t>
        </is>
      </c>
      <c r="E46" s="118" t="n">
        <v>1446</v>
      </c>
      <c r="F46" s="118" t="n">
        <v>2295</v>
      </c>
      <c r="G46" s="118" t="n">
        <v>2776.95</v>
      </c>
      <c r="H46" s="118" t="n">
        <v>849</v>
      </c>
      <c r="I46" s="119" t="n">
        <v>36.99346405228759</v>
      </c>
      <c r="J46" s="119" t="n">
        <v>58.7136929460581</v>
      </c>
      <c r="K46" s="120" t="n">
        <v>0</v>
      </c>
      <c r="L46" s="121" t="n">
        <v>0</v>
      </c>
      <c r="M46" s="120" t="n">
        <v>0</v>
      </c>
      <c r="N46" s="121" t="n">
        <v>0</v>
      </c>
    </row>
    <row r="47">
      <c r="A47" s="104" t="inlineStr">
        <is>
          <t>Hevea</t>
        </is>
      </c>
      <c r="B47" s="104" t="inlineStr">
        <is>
          <t>557-010123</t>
        </is>
      </c>
      <c r="C47" s="104" t="inlineStr">
        <is>
          <t>ADEL-30</t>
        </is>
      </c>
      <c r="D47" s="105" t="inlineStr">
        <is>
          <t>2026-04-17</t>
        </is>
      </c>
      <c r="E47" s="106" t="n">
        <v>1988</v>
      </c>
      <c r="F47" s="106" t="n">
        <v>3490</v>
      </c>
      <c r="G47" s="106" t="n">
        <v>4222.9</v>
      </c>
      <c r="H47" s="106" t="n">
        <v>1502</v>
      </c>
      <c r="I47" s="107" t="n">
        <v>43.03724928366762</v>
      </c>
      <c r="J47" s="107" t="n">
        <v>75.55331991951711</v>
      </c>
      <c r="K47" s="108" t="n"/>
      <c r="L47" s="109" t="n"/>
      <c r="M47" s="108" t="n"/>
      <c r="N47" s="109" t="n"/>
    </row>
    <row r="48">
      <c r="A48" s="110" t="inlineStr">
        <is>
          <t>Hevea</t>
        </is>
      </c>
      <c r="B48" s="110" t="inlineStr">
        <is>
          <t>557-010123</t>
        </is>
      </c>
      <c r="C48" s="110" t="inlineStr">
        <is>
          <t>LOIRA-30 HPL SET SOFÁ RINCONERA / HPL CORNER SOFA SET / SET CANAPÉ D’ANGLE HPL</t>
        </is>
      </c>
      <c r="D48" s="111" t="inlineStr">
        <is>
          <t>2026-03-06</t>
        </is>
      </c>
      <c r="E48" s="112" t="n">
        <v>1920</v>
      </c>
      <c r="F48" s="112" t="n">
        <v>3490</v>
      </c>
      <c r="G48" s="112" t="n">
        <v>4222.9</v>
      </c>
      <c r="H48" s="112" t="n">
        <v>1570</v>
      </c>
      <c r="I48" s="113" t="n">
        <v>44.98567335243553</v>
      </c>
      <c r="J48" s="113" t="n">
        <v>81.77083333333334</v>
      </c>
      <c r="K48" s="114" t="n"/>
      <c r="L48" s="115" t="n"/>
      <c r="M48" s="114" t="n"/>
      <c r="N48" s="115" t="n"/>
    </row>
    <row r="49">
      <c r="A49" s="116" t="inlineStr">
        <is>
          <t>Hevea</t>
        </is>
      </c>
      <c r="B49" s="116" t="inlineStr">
        <is>
          <t>557-010123</t>
        </is>
      </c>
      <c r="C49" s="116" t="inlineStr">
        <is>
          <t>LOIRA-30 HPL SET SOFÁ RINCONERA / HPL CORNER SOFA SET / SET CANAPÉ D’ANGLE HPL</t>
        </is>
      </c>
      <c r="D49" s="117" t="inlineStr">
        <is>
          <t>2026-05-07</t>
        </is>
      </c>
      <c r="E49" s="118" t="n">
        <v>2199</v>
      </c>
      <c r="F49" s="118" t="n">
        <v>3490</v>
      </c>
      <c r="G49" s="118" t="n">
        <v>4222.9</v>
      </c>
      <c r="H49" s="118" t="n">
        <v>1291</v>
      </c>
      <c r="I49" s="119" t="n">
        <v>36.99140401146132</v>
      </c>
      <c r="J49" s="119" t="n">
        <v>58.70850386539336</v>
      </c>
      <c r="K49" s="120" t="n">
        <v>279</v>
      </c>
      <c r="L49" s="121" t="n">
        <v>14.53125</v>
      </c>
      <c r="M49" s="120" t="n">
        <v>0</v>
      </c>
      <c r="N49" s="121" t="n">
        <v>0</v>
      </c>
    </row>
    <row r="50">
      <c r="A50" s="104" t="inlineStr">
        <is>
          <t>Hevea</t>
        </is>
      </c>
      <c r="B50" s="104" t="inlineStr">
        <is>
          <t>557-010143</t>
        </is>
      </c>
      <c r="C50" s="104" t="inlineStr">
        <is>
          <t>BALANCÍN SIDNEY</t>
        </is>
      </c>
      <c r="D50" s="105" t="inlineStr">
        <is>
          <t>2026-03-06</t>
        </is>
      </c>
      <c r="E50" s="106" t="n">
        <v>820</v>
      </c>
      <c r="F50" s="106" t="n">
        <v>1490</v>
      </c>
      <c r="G50" s="106" t="n">
        <v>1802.9</v>
      </c>
      <c r="H50" s="106" t="n">
        <v>670</v>
      </c>
      <c r="I50" s="107" t="n">
        <v>44.96644295302013</v>
      </c>
      <c r="J50" s="107" t="n">
        <v>81.70731707317073</v>
      </c>
      <c r="K50" s="108" t="n"/>
      <c r="L50" s="109" t="n"/>
      <c r="M50" s="108" t="n"/>
      <c r="N50" s="109" t="n"/>
    </row>
    <row r="51">
      <c r="A51" s="122" t="inlineStr">
        <is>
          <t>Hevea</t>
        </is>
      </c>
      <c r="B51" s="122" t="inlineStr">
        <is>
          <t>557-010143</t>
        </is>
      </c>
      <c r="C51" s="122" t="inlineStr">
        <is>
          <t>BALANCÍN SIDNEY</t>
        </is>
      </c>
      <c r="D51" s="123" t="inlineStr">
        <is>
          <t>2026-05-07</t>
        </is>
      </c>
      <c r="E51" s="124" t="n">
        <v>939</v>
      </c>
      <c r="F51" s="124" t="n">
        <v>1490</v>
      </c>
      <c r="G51" s="124" t="n">
        <v>1802.9</v>
      </c>
      <c r="H51" s="124" t="n">
        <v>551</v>
      </c>
      <c r="I51" s="125" t="n">
        <v>36.97986577181208</v>
      </c>
      <c r="J51" s="125" t="n">
        <v>58.67944621938233</v>
      </c>
      <c r="K51" s="126" t="n">
        <v>119</v>
      </c>
      <c r="L51" s="127" t="n">
        <v>14.51219512195122</v>
      </c>
      <c r="M51" s="126" t="n">
        <v>0</v>
      </c>
      <c r="N51" s="127" t="n">
        <v>0</v>
      </c>
    </row>
    <row r="52">
      <c r="A52" s="110" t="inlineStr">
        <is>
          <t>Hevea</t>
        </is>
      </c>
      <c r="B52" s="110" t="inlineStr">
        <is>
          <t>557-010143</t>
        </is>
      </c>
      <c r="C52" s="110" t="inlineStr">
        <is>
          <t>GULLIVER BANCO</t>
        </is>
      </c>
      <c r="D52" s="111" t="inlineStr">
        <is>
          <t>2026-04-17</t>
        </is>
      </c>
      <c r="E52" s="112" t="n">
        <v>221</v>
      </c>
      <c r="F52" s="112" t="n">
        <v>1490</v>
      </c>
      <c r="G52" s="112" t="n">
        <v>1802.9</v>
      </c>
      <c r="H52" s="112" t="n">
        <v>1269</v>
      </c>
      <c r="I52" s="113" t="n">
        <v>85.16778523489933</v>
      </c>
      <c r="J52" s="113" t="n">
        <v>574.2081447963801</v>
      </c>
      <c r="K52" s="114" t="n"/>
      <c r="L52" s="115" t="n"/>
      <c r="M52" s="114" t="n"/>
      <c r="N52" s="115" t="n"/>
    </row>
    <row r="53">
      <c r="A53" s="104" t="inlineStr">
        <is>
          <t>Hevea</t>
        </is>
      </c>
      <c r="B53" s="104" t="inlineStr">
        <is>
          <t>557-010146</t>
        </is>
      </c>
      <c r="C53" s="104" t="inlineStr">
        <is>
          <t>ACAPULCO-1 SILLÓN / ARMCHAIR / FAUTEUIL</t>
        </is>
      </c>
      <c r="D53" s="105" t="inlineStr">
        <is>
          <t>2026-03-06</t>
        </is>
      </c>
      <c r="E53" s="106" t="n">
        <v>267</v>
      </c>
      <c r="F53" s="106" t="n">
        <v>485</v>
      </c>
      <c r="G53" s="106" t="n">
        <v>586.85</v>
      </c>
      <c r="H53" s="106" t="n">
        <v>218</v>
      </c>
      <c r="I53" s="107" t="n">
        <v>44.94845360824743</v>
      </c>
      <c r="J53" s="107" t="n">
        <v>81.64794007490637</v>
      </c>
      <c r="K53" s="108" t="n"/>
      <c r="L53" s="109" t="n"/>
      <c r="M53" s="108" t="n"/>
      <c r="N53" s="109" t="n"/>
    </row>
    <row r="54">
      <c r="A54" s="122" t="inlineStr">
        <is>
          <t>Hevea</t>
        </is>
      </c>
      <c r="B54" s="122" t="inlineStr">
        <is>
          <t>557-010146</t>
        </is>
      </c>
      <c r="C54" s="122" t="inlineStr">
        <is>
          <t>ACAPULCO-1</t>
        </is>
      </c>
      <c r="D54" s="123" t="inlineStr">
        <is>
          <t>2026-04-17</t>
        </is>
      </c>
      <c r="E54" s="124" t="n">
        <v>306</v>
      </c>
      <c r="F54" s="124" t="n">
        <v>485</v>
      </c>
      <c r="G54" s="124" t="n">
        <v>586.85</v>
      </c>
      <c r="H54" s="124" t="n">
        <v>179</v>
      </c>
      <c r="I54" s="125" t="n">
        <v>36.90721649484536</v>
      </c>
      <c r="J54" s="125" t="n">
        <v>58.4967320261438</v>
      </c>
      <c r="K54" s="126" t="n">
        <v>39</v>
      </c>
      <c r="L54" s="127" t="n">
        <v>14.60674157303371</v>
      </c>
      <c r="M54" s="126" t="n">
        <v>0</v>
      </c>
      <c r="N54" s="127" t="n">
        <v>0</v>
      </c>
    </row>
    <row r="55">
      <c r="A55" s="122" t="inlineStr">
        <is>
          <t>Hevea</t>
        </is>
      </c>
      <c r="B55" s="122" t="inlineStr">
        <is>
          <t>557-010146</t>
        </is>
      </c>
      <c r="C55" s="122" t="inlineStr">
        <is>
          <t>ACAPULCO-1 SILLÓN / ARMCHAIR / FAUTEUIL</t>
        </is>
      </c>
      <c r="D55" s="123" t="inlineStr">
        <is>
          <t>2026-05-07</t>
        </is>
      </c>
      <c r="E55" s="124" t="n">
        <v>306</v>
      </c>
      <c r="F55" s="124" t="n">
        <v>485</v>
      </c>
      <c r="G55" s="124" t="n">
        <v>586.85</v>
      </c>
      <c r="H55" s="124" t="n">
        <v>179</v>
      </c>
      <c r="I55" s="125" t="n">
        <v>36.90721649484536</v>
      </c>
      <c r="J55" s="125" t="n">
        <v>58.4967320261438</v>
      </c>
      <c r="K55" s="126" t="n">
        <v>0</v>
      </c>
      <c r="L55" s="127" t="n">
        <v>0</v>
      </c>
      <c r="M55" s="126" t="n">
        <v>0</v>
      </c>
      <c r="N55" s="127" t="n">
        <v>0</v>
      </c>
    </row>
    <row r="56">
      <c r="A56" s="110" t="inlineStr">
        <is>
          <t>Hevea</t>
        </is>
      </c>
      <c r="B56" s="110" t="inlineStr">
        <is>
          <t>557-010147</t>
        </is>
      </c>
      <c r="C56" s="110" t="inlineStr">
        <is>
          <t>ACAPULCO-3 SOFÁ 3 PLAZAS / 3 SEATER SOFA / CANAPÉ 3 PLACES</t>
        </is>
      </c>
      <c r="D56" s="111" t="inlineStr">
        <is>
          <t>2026-03-06</t>
        </is>
      </c>
      <c r="E56" s="112" t="n">
        <v>523</v>
      </c>
      <c r="F56" s="112" t="n">
        <v>950</v>
      </c>
      <c r="G56" s="112" t="n">
        <v>1149.5</v>
      </c>
      <c r="H56" s="112" t="n">
        <v>427</v>
      </c>
      <c r="I56" s="113" t="n">
        <v>44.94736842105263</v>
      </c>
      <c r="J56" s="113" t="n">
        <v>81.64435946462714</v>
      </c>
      <c r="K56" s="114" t="n"/>
      <c r="L56" s="115" t="n"/>
      <c r="M56" s="114" t="n"/>
      <c r="N56" s="115" t="n"/>
    </row>
    <row r="57">
      <c r="A57" s="116" t="inlineStr">
        <is>
          <t>Hevea</t>
        </is>
      </c>
      <c r="B57" s="116" t="inlineStr">
        <is>
          <t>557-010147</t>
        </is>
      </c>
      <c r="C57" s="116" t="inlineStr">
        <is>
          <t>ACAPULCO-3</t>
        </is>
      </c>
      <c r="D57" s="117" t="inlineStr">
        <is>
          <t>2026-04-17</t>
        </is>
      </c>
      <c r="E57" s="118" t="n">
        <v>599</v>
      </c>
      <c r="F57" s="118" t="n">
        <v>950</v>
      </c>
      <c r="G57" s="118" t="n">
        <v>1149.5</v>
      </c>
      <c r="H57" s="118" t="n">
        <v>351</v>
      </c>
      <c r="I57" s="119" t="n">
        <v>36.94736842105264</v>
      </c>
      <c r="J57" s="119" t="n">
        <v>58.59766277128548</v>
      </c>
      <c r="K57" s="120" t="n">
        <v>76</v>
      </c>
      <c r="L57" s="121" t="n">
        <v>14.53154875717017</v>
      </c>
      <c r="M57" s="120" t="n">
        <v>0</v>
      </c>
      <c r="N57" s="121" t="n">
        <v>0</v>
      </c>
    </row>
    <row r="58">
      <c r="A58" s="116" t="inlineStr">
        <is>
          <t>Hevea</t>
        </is>
      </c>
      <c r="B58" s="116" t="inlineStr">
        <is>
          <t>557-010147</t>
        </is>
      </c>
      <c r="C58" s="116" t="inlineStr">
        <is>
          <t>ACAPULCO-3 SOFÁ 3 PLAZAS / 3 SEATER SOFA / CANAPÉ 3 PLACES</t>
        </is>
      </c>
      <c r="D58" s="117" t="inlineStr">
        <is>
          <t>2026-05-07</t>
        </is>
      </c>
      <c r="E58" s="118" t="n">
        <v>599</v>
      </c>
      <c r="F58" s="118" t="n">
        <v>950</v>
      </c>
      <c r="G58" s="118" t="n">
        <v>1149.5</v>
      </c>
      <c r="H58" s="118" t="n">
        <v>351</v>
      </c>
      <c r="I58" s="119" t="n">
        <v>36.94736842105264</v>
      </c>
      <c r="J58" s="119" t="n">
        <v>58.59766277128548</v>
      </c>
      <c r="K58" s="120" t="n">
        <v>0</v>
      </c>
      <c r="L58" s="121" t="n">
        <v>0</v>
      </c>
      <c r="M58" s="120" t="n">
        <v>0</v>
      </c>
      <c r="N58" s="121" t="n">
        <v>0</v>
      </c>
    </row>
    <row r="59">
      <c r="A59" s="104" t="inlineStr">
        <is>
          <t>Hevea</t>
        </is>
      </c>
      <c r="B59" s="104" t="inlineStr">
        <is>
          <t>557-010147</t>
        </is>
      </c>
      <c r="C59" s="104" t="inlineStr">
        <is>
          <t>ACAPULCO-8 SET SOFÁ 3 PLAZAS / 3 SEATER SOFA SET / SET CANAPÉ 3 PLACES</t>
        </is>
      </c>
      <c r="D59" s="105" t="inlineStr">
        <is>
          <t>2026-03-06</t>
        </is>
      </c>
      <c r="E59" s="106" t="n">
        <v>1257</v>
      </c>
      <c r="F59" s="106" t="n">
        <v>2285</v>
      </c>
      <c r="G59" s="106" t="n">
        <v>2764.85</v>
      </c>
      <c r="H59" s="106" t="n">
        <v>1028</v>
      </c>
      <c r="I59" s="107" t="n">
        <v>44.9890590809628</v>
      </c>
      <c r="J59" s="107" t="n">
        <v>81.78202068416866</v>
      </c>
      <c r="K59" s="108" t="n"/>
      <c r="L59" s="109" t="n"/>
      <c r="M59" s="108" t="n"/>
      <c r="N59" s="109" t="n"/>
    </row>
    <row r="60">
      <c r="A60" s="122" t="inlineStr">
        <is>
          <t>Hevea</t>
        </is>
      </c>
      <c r="B60" s="122" t="inlineStr">
        <is>
          <t>557-010147</t>
        </is>
      </c>
      <c r="C60" s="122" t="inlineStr">
        <is>
          <t>ACAPULCO-8 SET SOFÁ 3 PLAZAS / 3 SEATER SOFA SET / SET CANAPÉ 3 PLACES</t>
        </is>
      </c>
      <c r="D60" s="123" t="inlineStr">
        <is>
          <t>2026-05-07</t>
        </is>
      </c>
      <c r="E60" s="124" t="n">
        <v>1440</v>
      </c>
      <c r="F60" s="124" t="n">
        <v>2285</v>
      </c>
      <c r="G60" s="124" t="n">
        <v>2764.85</v>
      </c>
      <c r="H60" s="124" t="n">
        <v>845</v>
      </c>
      <c r="I60" s="125" t="n">
        <v>36.98030634573304</v>
      </c>
      <c r="J60" s="125" t="n">
        <v>58.68055555555556</v>
      </c>
      <c r="K60" s="126" t="n">
        <v>183</v>
      </c>
      <c r="L60" s="127" t="n">
        <v>14.55847255369928</v>
      </c>
      <c r="M60" s="126" t="n">
        <v>0</v>
      </c>
      <c r="N60" s="127" t="n">
        <v>0</v>
      </c>
    </row>
    <row r="61">
      <c r="A61" s="110" t="inlineStr">
        <is>
          <t>Hevea</t>
        </is>
      </c>
      <c r="B61" s="110" t="inlineStr">
        <is>
          <t>557-010147</t>
        </is>
      </c>
      <c r="C61" s="110" t="inlineStr">
        <is>
          <t>MANHATAN-1</t>
        </is>
      </c>
      <c r="D61" s="111" t="inlineStr">
        <is>
          <t>2026-04-17</t>
        </is>
      </c>
      <c r="E61" s="112" t="n">
        <v>243</v>
      </c>
      <c r="F61" s="112" t="n">
        <v>2285</v>
      </c>
      <c r="G61" s="112" t="n">
        <v>2764.85</v>
      </c>
      <c r="H61" s="112" t="n">
        <v>2042</v>
      </c>
      <c r="I61" s="113" t="n">
        <v>89.36542669584246</v>
      </c>
      <c r="J61" s="113" t="n">
        <v>840.329218106996</v>
      </c>
      <c r="K61" s="114" t="n"/>
      <c r="L61" s="115" t="n"/>
      <c r="M61" s="114" t="n"/>
      <c r="N61" s="115" t="n"/>
    </row>
    <row r="62">
      <c r="A62" s="104" t="inlineStr">
        <is>
          <t>Hevea</t>
        </is>
      </c>
      <c r="B62" s="104" t="inlineStr">
        <is>
          <t>557-010148</t>
        </is>
      </c>
      <c r="C62" s="104" t="inlineStr">
        <is>
          <t>ACAPULCO-2 SOFÁ 2 PLAZAS / 2 SEATER SOFA / CANAPÉ 2 PLACES</t>
        </is>
      </c>
      <c r="D62" s="105" t="inlineStr">
        <is>
          <t>2026-03-06</t>
        </is>
      </c>
      <c r="E62" s="106" t="n">
        <v>383</v>
      </c>
      <c r="F62" s="106" t="n">
        <v>695</v>
      </c>
      <c r="G62" s="106" t="n">
        <v>840.95</v>
      </c>
      <c r="H62" s="106" t="n">
        <v>312</v>
      </c>
      <c r="I62" s="107" t="n">
        <v>44.89208633093525</v>
      </c>
      <c r="J62" s="107" t="n">
        <v>81.46214099216709</v>
      </c>
      <c r="K62" s="108" t="n"/>
      <c r="L62" s="109" t="n"/>
      <c r="M62" s="108" t="n"/>
      <c r="N62" s="109" t="n"/>
    </row>
    <row r="63">
      <c r="A63" s="122" t="inlineStr">
        <is>
          <t>Hevea</t>
        </is>
      </c>
      <c r="B63" s="122" t="inlineStr">
        <is>
          <t>557-010148</t>
        </is>
      </c>
      <c r="C63" s="122" t="inlineStr">
        <is>
          <t>ACAPULCO-2</t>
        </is>
      </c>
      <c r="D63" s="123" t="inlineStr">
        <is>
          <t>2026-04-17</t>
        </is>
      </c>
      <c r="E63" s="124" t="n">
        <v>438</v>
      </c>
      <c r="F63" s="124" t="n">
        <v>695</v>
      </c>
      <c r="G63" s="124" t="n">
        <v>840.95</v>
      </c>
      <c r="H63" s="124" t="n">
        <v>257</v>
      </c>
      <c r="I63" s="125" t="n">
        <v>36.97841726618705</v>
      </c>
      <c r="J63" s="125" t="n">
        <v>58.675799086758</v>
      </c>
      <c r="K63" s="126" t="n">
        <v>55</v>
      </c>
      <c r="L63" s="127" t="n">
        <v>14.36031331592689</v>
      </c>
      <c r="M63" s="126" t="n">
        <v>0</v>
      </c>
      <c r="N63" s="127" t="n">
        <v>0</v>
      </c>
    </row>
    <row r="64">
      <c r="A64" s="122" t="inlineStr">
        <is>
          <t>Hevea</t>
        </is>
      </c>
      <c r="B64" s="122" t="inlineStr">
        <is>
          <t>557-010148</t>
        </is>
      </c>
      <c r="C64" s="122" t="inlineStr">
        <is>
          <t>ACAPULCO-2 SOFÁ 2 PLAZAS / 2 SEATER SOFA / CANAPÉ 2 PLACES</t>
        </is>
      </c>
      <c r="D64" s="123" t="inlineStr">
        <is>
          <t>2026-05-07</t>
        </is>
      </c>
      <c r="E64" s="124" t="n">
        <v>438</v>
      </c>
      <c r="F64" s="124" t="n">
        <v>695</v>
      </c>
      <c r="G64" s="124" t="n">
        <v>840.95</v>
      </c>
      <c r="H64" s="124" t="n">
        <v>257</v>
      </c>
      <c r="I64" s="125" t="n">
        <v>36.97841726618705</v>
      </c>
      <c r="J64" s="125" t="n">
        <v>58.675799086758</v>
      </c>
      <c r="K64" s="126" t="n">
        <v>0</v>
      </c>
      <c r="L64" s="127" t="n">
        <v>0</v>
      </c>
      <c r="M64" s="126" t="n">
        <v>0</v>
      </c>
      <c r="N64" s="127" t="n">
        <v>0</v>
      </c>
    </row>
    <row r="65">
      <c r="A65" s="110" t="inlineStr">
        <is>
          <t>Hevea</t>
        </is>
      </c>
      <c r="B65" s="110" t="inlineStr">
        <is>
          <t>557-010149</t>
        </is>
      </c>
      <c r="C65" s="110" t="inlineStr">
        <is>
          <t>ACAPULCO-7 SET SOFÁ 2 PLAZAS / 2 SEATER SOFA SET / SET CANAPÉ 2 PLACES</t>
        </is>
      </c>
      <c r="D65" s="111" t="inlineStr">
        <is>
          <t>2026-03-06</t>
        </is>
      </c>
      <c r="E65" s="112" t="n">
        <v>1067</v>
      </c>
      <c r="F65" s="112" t="n">
        <v>1940</v>
      </c>
      <c r="G65" s="112" t="n">
        <v>2347.4</v>
      </c>
      <c r="H65" s="112" t="n">
        <v>873</v>
      </c>
      <c r="I65" s="113" t="n">
        <v>45</v>
      </c>
      <c r="J65" s="113" t="n">
        <v>81.81818181818183</v>
      </c>
      <c r="K65" s="114" t="n"/>
      <c r="L65" s="115" t="n"/>
      <c r="M65" s="114" t="n"/>
      <c r="N65" s="115" t="n"/>
    </row>
    <row r="66">
      <c r="A66" s="116" t="inlineStr">
        <is>
          <t>Hevea</t>
        </is>
      </c>
      <c r="B66" s="116" t="inlineStr">
        <is>
          <t>557-010149</t>
        </is>
      </c>
      <c r="C66" s="116" t="inlineStr">
        <is>
          <t>ACAPULCO-7 SET SOFÁ 2 PLAZAS / 2 SEATER SOFA SET / SET CANAPÉ 2 PLACES</t>
        </is>
      </c>
      <c r="D66" s="117" t="inlineStr">
        <is>
          <t>2026-05-07</t>
        </is>
      </c>
      <c r="E66" s="118" t="n">
        <v>1223</v>
      </c>
      <c r="F66" s="118" t="n">
        <v>1940</v>
      </c>
      <c r="G66" s="118" t="n">
        <v>2347.4</v>
      </c>
      <c r="H66" s="118" t="n">
        <v>717</v>
      </c>
      <c r="I66" s="119" t="n">
        <v>36.95876288659794</v>
      </c>
      <c r="J66" s="119" t="n">
        <v>58.62632869991823</v>
      </c>
      <c r="K66" s="120" t="n">
        <v>156</v>
      </c>
      <c r="L66" s="121" t="n">
        <v>14.62043111527647</v>
      </c>
      <c r="M66" s="120" t="n">
        <v>0</v>
      </c>
      <c r="N66" s="121" t="n">
        <v>0</v>
      </c>
    </row>
    <row r="67">
      <c r="A67" s="104" t="inlineStr">
        <is>
          <t>Hevea</t>
        </is>
      </c>
      <c r="B67" s="104" t="inlineStr">
        <is>
          <t>557-010149</t>
        </is>
      </c>
      <c r="C67" s="104" t="inlineStr">
        <is>
          <t>PÉRGOLA VENECIA</t>
        </is>
      </c>
      <c r="D67" s="105" t="inlineStr">
        <is>
          <t>2026-04-17</t>
        </is>
      </c>
      <c r="E67" s="106" t="n">
        <v>1065</v>
      </c>
      <c r="F67" s="106" t="n">
        <v>1940</v>
      </c>
      <c r="G67" s="106" t="n">
        <v>2347.4</v>
      </c>
      <c r="H67" s="106" t="n">
        <v>875</v>
      </c>
      <c r="I67" s="107" t="n">
        <v>45.10309278350515</v>
      </c>
      <c r="J67" s="107" t="n">
        <v>82.15962441314554</v>
      </c>
      <c r="K67" s="108" t="n"/>
      <c r="L67" s="109" t="n"/>
      <c r="M67" s="108" t="n"/>
      <c r="N67" s="109" t="n"/>
    </row>
    <row r="68">
      <c r="A68" s="110" t="inlineStr">
        <is>
          <t>Hevea</t>
        </is>
      </c>
      <c r="B68" s="110" t="inlineStr">
        <is>
          <t>557-010153</t>
        </is>
      </c>
      <c r="C68" s="110" t="inlineStr">
        <is>
          <t>ACAPULCO-7</t>
        </is>
      </c>
      <c r="D68" s="111" t="inlineStr">
        <is>
          <t>2026-04-17</t>
        </is>
      </c>
      <c r="E68" s="112" t="n">
        <v>1222</v>
      </c>
      <c r="F68" s="112" t="n">
        <v>275</v>
      </c>
      <c r="G68" s="112" t="n">
        <v>332.75</v>
      </c>
      <c r="H68" s="112" t="n">
        <v>-947</v>
      </c>
      <c r="I68" s="113" t="n">
        <v>-344.3636363636364</v>
      </c>
      <c r="J68" s="113" t="n">
        <v>-77.49590834697217</v>
      </c>
      <c r="K68" s="114" t="n"/>
      <c r="L68" s="115" t="n"/>
      <c r="M68" s="114" t="n"/>
      <c r="N68" s="115" t="n"/>
    </row>
    <row r="69">
      <c r="A69" s="104" t="inlineStr">
        <is>
          <t>Hevea</t>
        </is>
      </c>
      <c r="B69" s="104" t="inlineStr">
        <is>
          <t>557-010153</t>
        </is>
      </c>
      <c r="C69" s="104" t="inlineStr">
        <is>
          <t>MESA CENTRO 90 HPL UNIVERSAL / 90 HPL COFFEE TABLE / TABLE BASSE 90 HPL</t>
        </is>
      </c>
      <c r="D69" s="105" t="inlineStr">
        <is>
          <t>2026-03-06</t>
        </is>
      </c>
      <c r="E69" s="106" t="n">
        <v>152</v>
      </c>
      <c r="F69" s="106" t="n">
        <v>275</v>
      </c>
      <c r="G69" s="106" t="n">
        <v>332.75</v>
      </c>
      <c r="H69" s="106" t="n">
        <v>123</v>
      </c>
      <c r="I69" s="107" t="n">
        <v>44.72727272727273</v>
      </c>
      <c r="J69" s="107" t="n">
        <v>80.92105263157895</v>
      </c>
      <c r="K69" s="108" t="n"/>
      <c r="L69" s="109" t="n"/>
      <c r="M69" s="108" t="n"/>
      <c r="N69" s="109" t="n"/>
    </row>
    <row r="70">
      <c r="A70" s="122" t="inlineStr">
        <is>
          <t>Hevea</t>
        </is>
      </c>
      <c r="B70" s="122" t="inlineStr">
        <is>
          <t>557-010153</t>
        </is>
      </c>
      <c r="C70" s="122" t="inlineStr">
        <is>
          <t>MESA CENTRO 90 HPL UNIVERSAL / 90 HPL COFFEE TABLE / TABLE BASSE 90 HPL</t>
        </is>
      </c>
      <c r="D70" s="123" t="inlineStr">
        <is>
          <t>2026-05-07</t>
        </is>
      </c>
      <c r="E70" s="124" t="n">
        <v>174</v>
      </c>
      <c r="F70" s="124" t="n">
        <v>275</v>
      </c>
      <c r="G70" s="124" t="n">
        <v>332.75</v>
      </c>
      <c r="H70" s="124" t="n">
        <v>101</v>
      </c>
      <c r="I70" s="125" t="n">
        <v>36.72727272727273</v>
      </c>
      <c r="J70" s="125" t="n">
        <v>58.04597701149425</v>
      </c>
      <c r="K70" s="126" t="n">
        <v>22</v>
      </c>
      <c r="L70" s="127" t="n">
        <v>14.47368421052632</v>
      </c>
      <c r="M70" s="126" t="n">
        <v>0</v>
      </c>
      <c r="N70" s="127" t="n">
        <v>0</v>
      </c>
    </row>
    <row r="71">
      <c r="A71" s="110" t="inlineStr">
        <is>
          <t>Hevea</t>
        </is>
      </c>
      <c r="B71" s="110" t="inlineStr">
        <is>
          <t>557-010154</t>
        </is>
      </c>
      <c r="C71" s="110" t="inlineStr">
        <is>
          <t>ACAPULCO-8</t>
        </is>
      </c>
      <c r="D71" s="111" t="inlineStr">
        <is>
          <t>2026-04-17</t>
        </is>
      </c>
      <c r="E71" s="112" t="n">
        <v>1440</v>
      </c>
      <c r="F71" s="112" t="n">
        <v>365</v>
      </c>
      <c r="G71" s="112" t="n">
        <v>441.65</v>
      </c>
      <c r="H71" s="112" t="n">
        <v>-1075</v>
      </c>
      <c r="I71" s="113" t="n">
        <v>-294.5205479452055</v>
      </c>
      <c r="J71" s="113" t="n">
        <v>-74.65277777777779</v>
      </c>
      <c r="K71" s="114" t="n"/>
      <c r="L71" s="115" t="n"/>
      <c r="M71" s="114" t="n"/>
      <c r="N71" s="115" t="n"/>
    </row>
    <row r="72">
      <c r="A72" s="104" t="inlineStr">
        <is>
          <t>Hevea</t>
        </is>
      </c>
      <c r="B72" s="104" t="inlineStr">
        <is>
          <t>557-010154</t>
        </is>
      </c>
      <c r="C72" s="104" t="inlineStr">
        <is>
          <t>MESA CENTRO 120 HPL UNIVERSAL / 120 HPL COFFEE TABLE / TABLE BASSE 120 HPL</t>
        </is>
      </c>
      <c r="D72" s="105" t="inlineStr">
        <is>
          <t>2026-03-06</t>
        </is>
      </c>
      <c r="E72" s="106" t="n">
        <v>201</v>
      </c>
      <c r="F72" s="106" t="n">
        <v>365</v>
      </c>
      <c r="G72" s="106" t="n">
        <v>441.65</v>
      </c>
      <c r="H72" s="106" t="n">
        <v>164</v>
      </c>
      <c r="I72" s="107" t="n">
        <v>44.93150684931507</v>
      </c>
      <c r="J72" s="107" t="n">
        <v>81.59203980099502</v>
      </c>
      <c r="K72" s="108" t="n"/>
      <c r="L72" s="109" t="n"/>
      <c r="M72" s="108" t="n"/>
      <c r="N72" s="109" t="n"/>
    </row>
    <row r="73">
      <c r="A73" s="122" t="inlineStr">
        <is>
          <t>Hevea</t>
        </is>
      </c>
      <c r="B73" s="122" t="inlineStr">
        <is>
          <t>557-010154</t>
        </is>
      </c>
      <c r="C73" s="122" t="inlineStr">
        <is>
          <t>MESA CENTRO 120 HPL UNIVERSAL / 120 HPL COFFEE TABLE / TABLE BASSE 120 HPL</t>
        </is>
      </c>
      <c r="D73" s="123" t="inlineStr">
        <is>
          <t>2026-05-07</t>
        </is>
      </c>
      <c r="E73" s="124" t="n">
        <v>230</v>
      </c>
      <c r="F73" s="124" t="n">
        <v>365</v>
      </c>
      <c r="G73" s="124" t="n">
        <v>441.65</v>
      </c>
      <c r="H73" s="124" t="n">
        <v>135</v>
      </c>
      <c r="I73" s="125" t="n">
        <v>36.98630136986301</v>
      </c>
      <c r="J73" s="125" t="n">
        <v>58.69565217391305</v>
      </c>
      <c r="K73" s="126" t="n">
        <v>29</v>
      </c>
      <c r="L73" s="127" t="n">
        <v>14.42786069651741</v>
      </c>
      <c r="M73" s="126" t="n">
        <v>0</v>
      </c>
      <c r="N73" s="127" t="n">
        <v>0</v>
      </c>
    </row>
    <row r="74">
      <c r="A74" s="110" t="inlineStr">
        <is>
          <t>Hevea</t>
        </is>
      </c>
      <c r="B74" s="110" t="inlineStr">
        <is>
          <t>557-010177</t>
        </is>
      </c>
      <c r="C74" s="110" t="inlineStr">
        <is>
          <t>CORCEGA-135x90 HPL MESA COMEDOR / HPL DINING TABLE 135x90 / TABLE À MANGER HPL 135x90</t>
        </is>
      </c>
      <c r="D74" s="111" t="inlineStr">
        <is>
          <t>2026-03-06</t>
        </is>
      </c>
      <c r="E74" s="112" t="n">
        <v>300</v>
      </c>
      <c r="F74" s="112" t="n">
        <v>545</v>
      </c>
      <c r="G74" s="112" t="n">
        <v>659.45</v>
      </c>
      <c r="H74" s="112" t="n">
        <v>245</v>
      </c>
      <c r="I74" s="113" t="n">
        <v>44.95412844036697</v>
      </c>
      <c r="J74" s="113" t="n">
        <v>81.66666666666667</v>
      </c>
      <c r="K74" s="114" t="n"/>
      <c r="L74" s="115" t="n"/>
      <c r="M74" s="114" t="n"/>
      <c r="N74" s="115" t="n"/>
    </row>
    <row r="75">
      <c r="A75" s="116" t="inlineStr">
        <is>
          <t>Hevea</t>
        </is>
      </c>
      <c r="B75" s="116" t="inlineStr">
        <is>
          <t>557-010177</t>
        </is>
      </c>
      <c r="C75" s="116" t="inlineStr">
        <is>
          <t>CORCEGA-135x90 HPL MESA COMEDOR / HPL DINING TABLE 135x90 / TABLE À MANGER HPL 135x90</t>
        </is>
      </c>
      <c r="D75" s="117" t="inlineStr">
        <is>
          <t>2026-05-07</t>
        </is>
      </c>
      <c r="E75" s="118" t="n">
        <v>344</v>
      </c>
      <c r="F75" s="118" t="n">
        <v>545</v>
      </c>
      <c r="G75" s="118" t="n">
        <v>659.45</v>
      </c>
      <c r="H75" s="118" t="n">
        <v>201</v>
      </c>
      <c r="I75" s="119" t="n">
        <v>36.88073394495413</v>
      </c>
      <c r="J75" s="119" t="n">
        <v>58.43023255813954</v>
      </c>
      <c r="K75" s="120" t="n">
        <v>44</v>
      </c>
      <c r="L75" s="121" t="n">
        <v>14.66666666666667</v>
      </c>
      <c r="M75" s="120" t="n">
        <v>0</v>
      </c>
      <c r="N75" s="121" t="n">
        <v>0</v>
      </c>
    </row>
    <row r="76">
      <c r="A76" s="104" t="inlineStr">
        <is>
          <t>Hevea</t>
        </is>
      </c>
      <c r="B76" s="104" t="inlineStr">
        <is>
          <t>557-010177</t>
        </is>
      </c>
      <c r="C76" s="104" t="inlineStr">
        <is>
          <t>SILLA JANEIRO 3</t>
        </is>
      </c>
      <c r="D76" s="105" t="inlineStr">
        <is>
          <t>2026-04-17</t>
        </is>
      </c>
      <c r="E76" s="106" t="n">
        <v>104</v>
      </c>
      <c r="F76" s="106" t="n">
        <v>545</v>
      </c>
      <c r="G76" s="106" t="n">
        <v>659.45</v>
      </c>
      <c r="H76" s="106" t="n">
        <v>441</v>
      </c>
      <c r="I76" s="107" t="n">
        <v>80.91743119266054</v>
      </c>
      <c r="J76" s="107" t="n">
        <v>424.0384615384615</v>
      </c>
      <c r="K76" s="108" t="n"/>
      <c r="L76" s="109" t="n"/>
      <c r="M76" s="108" t="n"/>
      <c r="N76" s="109" t="n"/>
    </row>
    <row r="77">
      <c r="A77" s="110" t="inlineStr">
        <is>
          <t>Hevea</t>
        </is>
      </c>
      <c r="B77" s="110" t="inlineStr">
        <is>
          <t>557-010478</t>
        </is>
      </c>
      <c r="C77" s="110" t="inlineStr">
        <is>
          <t>BOLONIA XL-1 SILLÓN/ARMCHAIR/CANAPÉ</t>
        </is>
      </c>
      <c r="D77" s="111" t="inlineStr">
        <is>
          <t>2026-03-06</t>
        </is>
      </c>
      <c r="E77" s="112" t="n">
        <v>462</v>
      </c>
      <c r="F77" s="112" t="n">
        <v>840</v>
      </c>
      <c r="G77" s="112" t="n">
        <v>1016.4</v>
      </c>
      <c r="H77" s="112" t="n">
        <v>378</v>
      </c>
      <c r="I77" s="113" t="n">
        <v>45</v>
      </c>
      <c r="J77" s="113" t="n">
        <v>81.81818181818183</v>
      </c>
      <c r="K77" s="114" t="n"/>
      <c r="L77" s="115" t="n"/>
      <c r="M77" s="114" t="n"/>
      <c r="N77" s="115" t="n"/>
    </row>
    <row r="78">
      <c r="A78" s="116" t="inlineStr">
        <is>
          <t>Hevea</t>
        </is>
      </c>
      <c r="B78" s="116" t="inlineStr">
        <is>
          <t>557-010478</t>
        </is>
      </c>
      <c r="C78" s="116" t="inlineStr">
        <is>
          <t>BOLONIA XL-1 SILLÓN/ARMCHAIR/CANAPÉ</t>
        </is>
      </c>
      <c r="D78" s="117" t="inlineStr">
        <is>
          <t>2026-04-17</t>
        </is>
      </c>
      <c r="E78" s="118" t="n">
        <v>529</v>
      </c>
      <c r="F78" s="118" t="n">
        <v>840</v>
      </c>
      <c r="G78" s="118" t="n">
        <v>1016.4</v>
      </c>
      <c r="H78" s="118" t="n">
        <v>311</v>
      </c>
      <c r="I78" s="119" t="n">
        <v>37.02380952380953</v>
      </c>
      <c r="J78" s="119" t="n">
        <v>58.79017013232514</v>
      </c>
      <c r="K78" s="120" t="n">
        <v>67</v>
      </c>
      <c r="L78" s="121" t="n">
        <v>14.5021645021645</v>
      </c>
      <c r="M78" s="120" t="n">
        <v>0</v>
      </c>
      <c r="N78" s="121" t="n">
        <v>0</v>
      </c>
    </row>
    <row r="79">
      <c r="A79" s="116" t="inlineStr">
        <is>
          <t>Hevea</t>
        </is>
      </c>
      <c r="B79" s="116" t="inlineStr">
        <is>
          <t>557-010478</t>
        </is>
      </c>
      <c r="C79" s="116" t="inlineStr">
        <is>
          <t>BOLONIA XL-1 SILLÓN/ARMCHAIR/CANAPÉ</t>
        </is>
      </c>
      <c r="D79" s="117" t="inlineStr">
        <is>
          <t>2026-05-07</t>
        </is>
      </c>
      <c r="E79" s="118" t="n">
        <v>530</v>
      </c>
      <c r="F79" s="118" t="n">
        <v>840</v>
      </c>
      <c r="G79" s="118" t="n">
        <v>1016.4</v>
      </c>
      <c r="H79" s="118" t="n">
        <v>310</v>
      </c>
      <c r="I79" s="119" t="n">
        <v>36.90476190476191</v>
      </c>
      <c r="J79" s="119" t="n">
        <v>58.49056603773585</v>
      </c>
      <c r="K79" s="120" t="n">
        <v>1</v>
      </c>
      <c r="L79" s="121" t="n">
        <v>0.1890359168241966</v>
      </c>
      <c r="M79" s="120" t="n">
        <v>0</v>
      </c>
      <c r="N79" s="121" t="n">
        <v>0</v>
      </c>
    </row>
    <row r="80">
      <c r="A80" s="104" t="inlineStr">
        <is>
          <t>Hevea</t>
        </is>
      </c>
      <c r="B80" s="104" t="inlineStr">
        <is>
          <t>557-010479</t>
        </is>
      </c>
      <c r="C80" s="104" t="inlineStr">
        <is>
          <t>BOLONIA XL-2 SOFA 2 PLAZAS/SOFA/CANAPÉ</t>
        </is>
      </c>
      <c r="D80" s="105" t="inlineStr">
        <is>
          <t>2026-03-06</t>
        </is>
      </c>
      <c r="E80" s="106" t="n">
        <v>718</v>
      </c>
      <c r="F80" s="106" t="n">
        <v>1305</v>
      </c>
      <c r="G80" s="106" t="n">
        <v>1579.05</v>
      </c>
      <c r="H80" s="106" t="n">
        <v>587</v>
      </c>
      <c r="I80" s="107" t="n">
        <v>44.9808429118774</v>
      </c>
      <c r="J80" s="107" t="n">
        <v>81.75487465181058</v>
      </c>
      <c r="K80" s="108" t="n"/>
      <c r="L80" s="109" t="n"/>
      <c r="M80" s="108" t="n"/>
      <c r="N80" s="109" t="n"/>
    </row>
    <row r="81">
      <c r="A81" s="122" t="inlineStr">
        <is>
          <t>Hevea</t>
        </is>
      </c>
      <c r="B81" s="122" t="inlineStr">
        <is>
          <t>557-010479</t>
        </is>
      </c>
      <c r="C81" s="122" t="inlineStr">
        <is>
          <t>BOLONIA XL-2 SOFA 2 PLAZAS/SOFA/CANAPÉ</t>
        </is>
      </c>
      <c r="D81" s="123" t="inlineStr">
        <is>
          <t>2026-04-17</t>
        </is>
      </c>
      <c r="E81" s="124" t="n">
        <v>822</v>
      </c>
      <c r="F81" s="124" t="n">
        <v>1305</v>
      </c>
      <c r="G81" s="124" t="n">
        <v>1579.05</v>
      </c>
      <c r="H81" s="124" t="n">
        <v>483</v>
      </c>
      <c r="I81" s="125" t="n">
        <v>37.01149425287356</v>
      </c>
      <c r="J81" s="125" t="n">
        <v>58.75912408759124</v>
      </c>
      <c r="K81" s="126" t="n">
        <v>104</v>
      </c>
      <c r="L81" s="127" t="n">
        <v>14.48467966573816</v>
      </c>
      <c r="M81" s="126" t="n">
        <v>0</v>
      </c>
      <c r="N81" s="127" t="n">
        <v>0</v>
      </c>
    </row>
    <row r="82">
      <c r="A82" s="122" t="inlineStr">
        <is>
          <t>Hevea</t>
        </is>
      </c>
      <c r="B82" s="122" t="inlineStr">
        <is>
          <t>557-010479</t>
        </is>
      </c>
      <c r="C82" s="122" t="inlineStr">
        <is>
          <t>BOLONIA XL-2 SOFA 2 PLAZAS/SOFA/CANAPÉ</t>
        </is>
      </c>
      <c r="D82" s="123" t="inlineStr">
        <is>
          <t>2026-05-07</t>
        </is>
      </c>
      <c r="E82" s="124" t="n">
        <v>823</v>
      </c>
      <c r="F82" s="124" t="n">
        <v>1305</v>
      </c>
      <c r="G82" s="124" t="n">
        <v>1579.05</v>
      </c>
      <c r="H82" s="124" t="n">
        <v>482</v>
      </c>
      <c r="I82" s="125" t="n">
        <v>36.93486590038314</v>
      </c>
      <c r="J82" s="125" t="n">
        <v>58.56622114216282</v>
      </c>
      <c r="K82" s="126" t="n">
        <v>1</v>
      </c>
      <c r="L82" s="127" t="n">
        <v>0.121654501216545</v>
      </c>
      <c r="M82" s="126" t="n">
        <v>0</v>
      </c>
      <c r="N82" s="127" t="n">
        <v>0</v>
      </c>
    </row>
    <row r="83">
      <c r="A83" s="110" t="inlineStr">
        <is>
          <t>Hevea</t>
        </is>
      </c>
      <c r="B83" s="110" t="inlineStr">
        <is>
          <t>557-010480</t>
        </is>
      </c>
      <c r="C83" s="110" t="inlineStr">
        <is>
          <t>BOLONIA XL-3 SOFA 3 PLAZAS/SOFA/CANAPÉ</t>
        </is>
      </c>
      <c r="D83" s="111" t="inlineStr">
        <is>
          <t>2026-03-06</t>
        </is>
      </c>
      <c r="E83" s="112" t="n">
        <v>957</v>
      </c>
      <c r="F83" s="112" t="n">
        <v>1740</v>
      </c>
      <c r="G83" s="112" t="n">
        <v>2105.4</v>
      </c>
      <c r="H83" s="112" t="n">
        <v>783</v>
      </c>
      <c r="I83" s="113" t="n">
        <v>45</v>
      </c>
      <c r="J83" s="113" t="n">
        <v>81.81818181818183</v>
      </c>
      <c r="K83" s="114" t="n"/>
      <c r="L83" s="115" t="n"/>
      <c r="M83" s="114" t="n"/>
      <c r="N83" s="115" t="n"/>
    </row>
    <row r="84">
      <c r="A84" s="116" t="inlineStr">
        <is>
          <t>Hevea</t>
        </is>
      </c>
      <c r="B84" s="116" t="inlineStr">
        <is>
          <t>557-010480</t>
        </is>
      </c>
      <c r="C84" s="116" t="inlineStr">
        <is>
          <t>BOLONIA XL-3 SOFA 3 PLAZAS/SOFA/CANAPÉ</t>
        </is>
      </c>
      <c r="D84" s="117" t="inlineStr">
        <is>
          <t>2026-04-17</t>
        </is>
      </c>
      <c r="E84" s="118" t="n">
        <v>1096</v>
      </c>
      <c r="F84" s="118" t="n">
        <v>1740</v>
      </c>
      <c r="G84" s="118" t="n">
        <v>2105.4</v>
      </c>
      <c r="H84" s="118" t="n">
        <v>644</v>
      </c>
      <c r="I84" s="119" t="n">
        <v>37.01149425287356</v>
      </c>
      <c r="J84" s="119" t="n">
        <v>58.75912408759124</v>
      </c>
      <c r="K84" s="120" t="n">
        <v>139</v>
      </c>
      <c r="L84" s="121" t="n">
        <v>14.52455590386625</v>
      </c>
      <c r="M84" s="120" t="n">
        <v>0</v>
      </c>
      <c r="N84" s="121" t="n">
        <v>0</v>
      </c>
    </row>
    <row r="85">
      <c r="A85" s="116" t="inlineStr">
        <is>
          <t>Hevea</t>
        </is>
      </c>
      <c r="B85" s="116" t="inlineStr">
        <is>
          <t>557-010480</t>
        </is>
      </c>
      <c r="C85" s="116" t="inlineStr">
        <is>
          <t>BOLONIA XL-3 SOFA 3 PLAZAS/SOFA/CANAPÉ</t>
        </is>
      </c>
      <c r="D85" s="117" t="inlineStr">
        <is>
          <t>2026-05-07</t>
        </is>
      </c>
      <c r="E85" s="118" t="n">
        <v>1097</v>
      </c>
      <c r="F85" s="118" t="n">
        <v>1740</v>
      </c>
      <c r="G85" s="118" t="n">
        <v>2105.4</v>
      </c>
      <c r="H85" s="118" t="n">
        <v>643</v>
      </c>
      <c r="I85" s="119" t="n">
        <v>36.95402298850575</v>
      </c>
      <c r="J85" s="119" t="n">
        <v>58.61440291704649</v>
      </c>
      <c r="K85" s="120" t="n">
        <v>1</v>
      </c>
      <c r="L85" s="121" t="n">
        <v>0.09124087591240876</v>
      </c>
      <c r="M85" s="120" t="n">
        <v>0</v>
      </c>
      <c r="N85" s="121" t="n">
        <v>0</v>
      </c>
    </row>
    <row r="86">
      <c r="A86" s="104" t="inlineStr">
        <is>
          <t>Hevea</t>
        </is>
      </c>
      <c r="B86" s="104" t="inlineStr">
        <is>
          <t>557-010482</t>
        </is>
      </c>
      <c r="C86" s="104" t="inlineStr">
        <is>
          <t>STANDARD-XL REPOSAPIES/FOOTSTOOL/REPOSE-PIEDS</t>
        </is>
      </c>
      <c r="D86" s="105" t="inlineStr">
        <is>
          <t>2026-03-06</t>
        </is>
      </c>
      <c r="E86" s="106" t="n">
        <v>187</v>
      </c>
      <c r="F86" s="106" t="n">
        <v>340</v>
      </c>
      <c r="G86" s="106" t="n">
        <v>411.4</v>
      </c>
      <c r="H86" s="106" t="n">
        <v>153</v>
      </c>
      <c r="I86" s="107" t="n">
        <v>45</v>
      </c>
      <c r="J86" s="107" t="n">
        <v>81.81818181818183</v>
      </c>
      <c r="K86" s="108" t="n"/>
      <c r="L86" s="109" t="n"/>
      <c r="M86" s="108" t="n"/>
      <c r="N86" s="109" t="n"/>
    </row>
    <row r="87">
      <c r="A87" s="122" t="inlineStr">
        <is>
          <t>Hevea</t>
        </is>
      </c>
      <c r="B87" s="122" t="inlineStr">
        <is>
          <t>557-010482</t>
        </is>
      </c>
      <c r="C87" s="122" t="inlineStr">
        <is>
          <t>STANDARD-XL REPOSAPIES/FOOTSTOOL/REPOSE-PIEDS</t>
        </is>
      </c>
      <c r="D87" s="123" t="inlineStr">
        <is>
          <t>2026-04-17</t>
        </is>
      </c>
      <c r="E87" s="124" t="n">
        <v>214</v>
      </c>
      <c r="F87" s="124" t="n">
        <v>340</v>
      </c>
      <c r="G87" s="124" t="n">
        <v>411.4</v>
      </c>
      <c r="H87" s="124" t="n">
        <v>126</v>
      </c>
      <c r="I87" s="125" t="n">
        <v>37.05882352941177</v>
      </c>
      <c r="J87" s="125" t="n">
        <v>58.87850467289719</v>
      </c>
      <c r="K87" s="126" t="n">
        <v>27</v>
      </c>
      <c r="L87" s="127" t="n">
        <v>14.43850267379679</v>
      </c>
      <c r="M87" s="126" t="n">
        <v>0</v>
      </c>
      <c r="N87" s="127" t="n">
        <v>0</v>
      </c>
    </row>
    <row r="88">
      <c r="A88" s="122" t="inlineStr">
        <is>
          <t>Hevea</t>
        </is>
      </c>
      <c r="B88" s="122" t="inlineStr">
        <is>
          <t>557-010482</t>
        </is>
      </c>
      <c r="C88" s="122" t="inlineStr">
        <is>
          <t>STANDARD-XL REPOSAPIES/FOOTSTOOL/REPOSE-PIEDS</t>
        </is>
      </c>
      <c r="D88" s="123" t="inlineStr">
        <is>
          <t>2026-05-07</t>
        </is>
      </c>
      <c r="E88" s="124" t="n">
        <v>215</v>
      </c>
      <c r="F88" s="124" t="n">
        <v>340</v>
      </c>
      <c r="G88" s="124" t="n">
        <v>411.4</v>
      </c>
      <c r="H88" s="124" t="n">
        <v>125</v>
      </c>
      <c r="I88" s="125" t="n">
        <v>36.76470588235294</v>
      </c>
      <c r="J88" s="125" t="n">
        <v>58.13953488372093</v>
      </c>
      <c r="K88" s="126" t="n">
        <v>1</v>
      </c>
      <c r="L88" s="127" t="n">
        <v>0.4672897196261682</v>
      </c>
      <c r="M88" s="126" t="n">
        <v>0</v>
      </c>
      <c r="N88" s="127" t="n">
        <v>0</v>
      </c>
    </row>
    <row r="89">
      <c r="A89" s="110" t="inlineStr">
        <is>
          <t>Hevea</t>
        </is>
      </c>
      <c r="B89" s="110" t="inlineStr">
        <is>
          <t>557-010483</t>
        </is>
      </c>
      <c r="C89" s="110" t="inlineStr">
        <is>
          <t>BOLONIA XL-8 SET SOFA 3 PLAZAS/SOFA/CANAPÉ</t>
        </is>
      </c>
      <c r="D89" s="111" t="inlineStr">
        <is>
          <t>2026-03-06</t>
        </is>
      </c>
      <c r="E89" s="112" t="n">
        <v>2140</v>
      </c>
      <c r="F89" s="112" t="n">
        <v>3890</v>
      </c>
      <c r="G89" s="112" t="n">
        <v>4706.9</v>
      </c>
      <c r="H89" s="112" t="n">
        <v>1750</v>
      </c>
      <c r="I89" s="113" t="n">
        <v>44.98714652956298</v>
      </c>
      <c r="J89" s="113" t="n">
        <v>81.77570093457945</v>
      </c>
      <c r="K89" s="114" t="n"/>
      <c r="L89" s="115" t="n"/>
      <c r="M89" s="114" t="n"/>
      <c r="N89" s="115" t="n"/>
    </row>
    <row r="90">
      <c r="A90" s="116" t="inlineStr">
        <is>
          <t>Hevea</t>
        </is>
      </c>
      <c r="B90" s="116" t="inlineStr">
        <is>
          <t>557-010483</t>
        </is>
      </c>
      <c r="C90" s="116" t="inlineStr">
        <is>
          <t>BOLONIA XL-8 SET SOFA 3 PLAZAS/SOFA/CANAPÉ</t>
        </is>
      </c>
      <c r="D90" s="117" t="inlineStr">
        <is>
          <t>2026-04-17</t>
        </is>
      </c>
      <c r="E90" s="118" t="n">
        <v>2451</v>
      </c>
      <c r="F90" s="118" t="n">
        <v>3890</v>
      </c>
      <c r="G90" s="118" t="n">
        <v>4706.9</v>
      </c>
      <c r="H90" s="118" t="n">
        <v>1439</v>
      </c>
      <c r="I90" s="119" t="n">
        <v>36.99228791773778</v>
      </c>
      <c r="J90" s="119" t="n">
        <v>58.71073031415749</v>
      </c>
      <c r="K90" s="120" t="n">
        <v>311</v>
      </c>
      <c r="L90" s="121" t="n">
        <v>14.53271028037383</v>
      </c>
      <c r="M90" s="120" t="n">
        <v>0</v>
      </c>
      <c r="N90" s="121" t="n">
        <v>0</v>
      </c>
    </row>
    <row r="91">
      <c r="A91" s="116" t="inlineStr">
        <is>
          <t>Hevea</t>
        </is>
      </c>
      <c r="B91" s="116" t="inlineStr">
        <is>
          <t>557-010483</t>
        </is>
      </c>
      <c r="C91" s="116" t="inlineStr">
        <is>
          <t>BOLONIA XL-8 SET SOFA 3 PLAZAS/SOFA/CANAPÉ</t>
        </is>
      </c>
      <c r="D91" s="117" t="inlineStr">
        <is>
          <t>2026-05-07</t>
        </is>
      </c>
      <c r="E91" s="118" t="n">
        <v>2451</v>
      </c>
      <c r="F91" s="118" t="n">
        <v>3890</v>
      </c>
      <c r="G91" s="118" t="n">
        <v>4706.9</v>
      </c>
      <c r="H91" s="118" t="n">
        <v>1439</v>
      </c>
      <c r="I91" s="119" t="n">
        <v>36.99228791773778</v>
      </c>
      <c r="J91" s="119" t="n">
        <v>58.71073031415749</v>
      </c>
      <c r="K91" s="120" t="n">
        <v>0</v>
      </c>
      <c r="L91" s="121" t="n">
        <v>0</v>
      </c>
      <c r="M91" s="120" t="n">
        <v>0</v>
      </c>
      <c r="N91" s="121" t="n">
        <v>0</v>
      </c>
    </row>
    <row r="92">
      <c r="A92" s="104" t="inlineStr">
        <is>
          <t>Hevea</t>
        </is>
      </c>
      <c r="B92" s="104" t="inlineStr">
        <is>
          <t>557-010705</t>
        </is>
      </c>
      <c r="C92" s="104" t="inlineStr">
        <is>
          <t>LOIRA-30</t>
        </is>
      </c>
      <c r="D92" s="105" t="inlineStr">
        <is>
          <t>2026-04-17</t>
        </is>
      </c>
      <c r="E92" s="106" t="n">
        <v>2199</v>
      </c>
      <c r="F92" s="106" t="n">
        <v>2395</v>
      </c>
      <c r="G92" s="106" t="n">
        <v>2897.95</v>
      </c>
      <c r="H92" s="106" t="n">
        <v>196</v>
      </c>
      <c r="I92" s="107" t="n">
        <v>8.183716075156577</v>
      </c>
      <c r="J92" s="107" t="n">
        <v>8.913142337426102</v>
      </c>
      <c r="K92" s="108" t="n"/>
      <c r="L92" s="109" t="n"/>
      <c r="M92" s="108" t="n"/>
      <c r="N92" s="109" t="n"/>
    </row>
    <row r="93">
      <c r="A93" s="110" t="inlineStr">
        <is>
          <t>Hevea</t>
        </is>
      </c>
      <c r="B93" s="110" t="inlineStr">
        <is>
          <t>557-010705</t>
        </is>
      </c>
      <c r="C93" s="110" t="inlineStr">
        <is>
          <t>LOIRA-7 HPL SET SOFA RINCONERA / CORNER SET / SET CANAPÉ D’ANGLE</t>
        </is>
      </c>
      <c r="D93" s="111" t="inlineStr">
        <is>
          <t>2026-03-06</t>
        </is>
      </c>
      <c r="E93" s="112" t="n">
        <v>1318</v>
      </c>
      <c r="F93" s="112" t="n">
        <v>2395</v>
      </c>
      <c r="G93" s="112" t="n">
        <v>2897.95</v>
      </c>
      <c r="H93" s="112" t="n">
        <v>1077</v>
      </c>
      <c r="I93" s="113" t="n">
        <v>44.96868475991649</v>
      </c>
      <c r="J93" s="113" t="n">
        <v>81.71471927162366</v>
      </c>
      <c r="K93" s="114" t="n"/>
      <c r="L93" s="115" t="n"/>
      <c r="M93" s="114" t="n"/>
      <c r="N93" s="115" t="n"/>
    </row>
    <row r="94">
      <c r="A94" s="116" t="inlineStr">
        <is>
          <t>Hevea</t>
        </is>
      </c>
      <c r="B94" s="116" t="inlineStr">
        <is>
          <t>557-010705</t>
        </is>
      </c>
      <c r="C94" s="116" t="inlineStr">
        <is>
          <t>LOIRA-7 HPL SET SOFA RINCONERA / CORNER SET / SET CANAPÉ D’ANGLE</t>
        </is>
      </c>
      <c r="D94" s="117" t="inlineStr">
        <is>
          <t>2026-05-07</t>
        </is>
      </c>
      <c r="E94" s="118" t="n">
        <v>1509</v>
      </c>
      <c r="F94" s="118" t="n">
        <v>2395</v>
      </c>
      <c r="G94" s="118" t="n">
        <v>2897.95</v>
      </c>
      <c r="H94" s="118" t="n">
        <v>886</v>
      </c>
      <c r="I94" s="119" t="n">
        <v>36.99373695198329</v>
      </c>
      <c r="J94" s="119" t="n">
        <v>58.7143803843605</v>
      </c>
      <c r="K94" s="120" t="n">
        <v>191</v>
      </c>
      <c r="L94" s="121" t="n">
        <v>14.49165402124431</v>
      </c>
      <c r="M94" s="120" t="n">
        <v>0</v>
      </c>
      <c r="N94" s="121" t="n">
        <v>0</v>
      </c>
    </row>
    <row r="95">
      <c r="A95" s="104" t="inlineStr">
        <is>
          <t>Hevea</t>
        </is>
      </c>
      <c r="B95" s="104" t="inlineStr">
        <is>
          <t>557-010716</t>
        </is>
      </c>
      <c r="C95" s="104" t="inlineStr">
        <is>
          <t>LEISA-1 SILLON/ARMCHAIR/FAUTEUIL</t>
        </is>
      </c>
      <c r="D95" s="105" t="inlineStr">
        <is>
          <t>2026-03-06</t>
        </is>
      </c>
      <c r="E95" s="106" t="n">
        <v>292</v>
      </c>
      <c r="F95" s="106" t="n">
        <v>530</v>
      </c>
      <c r="G95" s="106" t="n">
        <v>641.3</v>
      </c>
      <c r="H95" s="106" t="n">
        <v>238</v>
      </c>
      <c r="I95" s="107" t="n">
        <v>44.90566037735849</v>
      </c>
      <c r="J95" s="107" t="n">
        <v>81.50684931506849</v>
      </c>
      <c r="K95" s="108" t="n"/>
      <c r="L95" s="109" t="n"/>
      <c r="M95" s="108" t="n"/>
      <c r="N95" s="109" t="n"/>
    </row>
    <row r="96">
      <c r="A96" s="122" t="inlineStr">
        <is>
          <t>Hevea</t>
        </is>
      </c>
      <c r="B96" s="122" t="inlineStr">
        <is>
          <t>557-010716</t>
        </is>
      </c>
      <c r="C96" s="122" t="inlineStr">
        <is>
          <t>LEISA-1</t>
        </is>
      </c>
      <c r="D96" s="123" t="inlineStr">
        <is>
          <t>2026-04-17</t>
        </is>
      </c>
      <c r="E96" s="124" t="n">
        <v>334</v>
      </c>
      <c r="F96" s="124" t="n">
        <v>530</v>
      </c>
      <c r="G96" s="124" t="n">
        <v>641.3</v>
      </c>
      <c r="H96" s="124" t="n">
        <v>196</v>
      </c>
      <c r="I96" s="125" t="n">
        <v>36.9811320754717</v>
      </c>
      <c r="J96" s="125" t="n">
        <v>58.68263473053892</v>
      </c>
      <c r="K96" s="126" t="n">
        <v>42</v>
      </c>
      <c r="L96" s="127" t="n">
        <v>14.38356164383562</v>
      </c>
      <c r="M96" s="126" t="n">
        <v>0</v>
      </c>
      <c r="N96" s="127" t="n">
        <v>0</v>
      </c>
    </row>
    <row r="97">
      <c r="A97" s="122" t="inlineStr">
        <is>
          <t>Hevea</t>
        </is>
      </c>
      <c r="B97" s="122" t="inlineStr">
        <is>
          <t>557-010716</t>
        </is>
      </c>
      <c r="C97" s="122" t="inlineStr">
        <is>
          <t>LEISA-1 SILLON/ARMCHAIR/FAUTEUIL</t>
        </is>
      </c>
      <c r="D97" s="123" t="inlineStr">
        <is>
          <t>2026-05-07</t>
        </is>
      </c>
      <c r="E97" s="124" t="n">
        <v>334</v>
      </c>
      <c r="F97" s="124" t="n">
        <v>530</v>
      </c>
      <c r="G97" s="124" t="n">
        <v>641.3</v>
      </c>
      <c r="H97" s="124" t="n">
        <v>196</v>
      </c>
      <c r="I97" s="125" t="n">
        <v>36.9811320754717</v>
      </c>
      <c r="J97" s="125" t="n">
        <v>58.68263473053892</v>
      </c>
      <c r="K97" s="126" t="n">
        <v>0</v>
      </c>
      <c r="L97" s="127" t="n">
        <v>0</v>
      </c>
      <c r="M97" s="126" t="n">
        <v>0</v>
      </c>
      <c r="N97" s="127" t="n">
        <v>0</v>
      </c>
    </row>
    <row r="98">
      <c r="A98" s="110" t="inlineStr">
        <is>
          <t>Hevea</t>
        </is>
      </c>
      <c r="B98" s="110" t="inlineStr">
        <is>
          <t>557-010717</t>
        </is>
      </c>
      <c r="C98" s="110" t="inlineStr">
        <is>
          <t>LEISA-2 SOFA 2 PLAZAS/SOFA/CANAPÉ</t>
        </is>
      </c>
      <c r="D98" s="111" t="inlineStr">
        <is>
          <t>2026-03-06</t>
        </is>
      </c>
      <c r="E98" s="112" t="n">
        <v>413</v>
      </c>
      <c r="F98" s="112" t="n">
        <v>750</v>
      </c>
      <c r="G98" s="112" t="n">
        <v>907.5</v>
      </c>
      <c r="H98" s="112" t="n">
        <v>337</v>
      </c>
      <c r="I98" s="113" t="n">
        <v>44.93333333333333</v>
      </c>
      <c r="J98" s="113" t="n">
        <v>81.59806295399515</v>
      </c>
      <c r="K98" s="114" t="n"/>
      <c r="L98" s="115" t="n"/>
      <c r="M98" s="114" t="n"/>
      <c r="N98" s="115" t="n"/>
    </row>
    <row r="99">
      <c r="A99" s="116" t="inlineStr">
        <is>
          <t>Hevea</t>
        </is>
      </c>
      <c r="B99" s="116" t="inlineStr">
        <is>
          <t>557-010717</t>
        </is>
      </c>
      <c r="C99" s="116" t="inlineStr">
        <is>
          <t>LEISA-2</t>
        </is>
      </c>
      <c r="D99" s="117" t="inlineStr">
        <is>
          <t>2026-04-17</t>
        </is>
      </c>
      <c r="E99" s="118" t="n">
        <v>473</v>
      </c>
      <c r="F99" s="118" t="n">
        <v>750</v>
      </c>
      <c r="G99" s="118" t="n">
        <v>907.5</v>
      </c>
      <c r="H99" s="118" t="n">
        <v>277</v>
      </c>
      <c r="I99" s="119" t="n">
        <v>36.93333333333334</v>
      </c>
      <c r="J99" s="119" t="n">
        <v>58.56236786469344</v>
      </c>
      <c r="K99" s="120" t="n">
        <v>60</v>
      </c>
      <c r="L99" s="121" t="n">
        <v>14.52784503631961</v>
      </c>
      <c r="M99" s="120" t="n">
        <v>0</v>
      </c>
      <c r="N99" s="121" t="n">
        <v>0</v>
      </c>
    </row>
    <row r="100">
      <c r="A100" s="116" t="inlineStr">
        <is>
          <t>Hevea</t>
        </is>
      </c>
      <c r="B100" s="116" t="inlineStr">
        <is>
          <t>557-010717</t>
        </is>
      </c>
      <c r="C100" s="116" t="inlineStr">
        <is>
          <t>LEISA-2 SOFA 2 PLAZAS/SOFA/CANAPÉ</t>
        </is>
      </c>
      <c r="D100" s="117" t="inlineStr">
        <is>
          <t>2026-05-07</t>
        </is>
      </c>
      <c r="E100" s="118" t="n">
        <v>473</v>
      </c>
      <c r="F100" s="118" t="n">
        <v>750</v>
      </c>
      <c r="G100" s="118" t="n">
        <v>907.5</v>
      </c>
      <c r="H100" s="118" t="n">
        <v>277</v>
      </c>
      <c r="I100" s="119" t="n">
        <v>36.93333333333334</v>
      </c>
      <c r="J100" s="119" t="n">
        <v>58.56236786469344</v>
      </c>
      <c r="K100" s="120" t="n">
        <v>0</v>
      </c>
      <c r="L100" s="121" t="n">
        <v>0</v>
      </c>
      <c r="M100" s="120" t="n">
        <v>0</v>
      </c>
      <c r="N100" s="121" t="n">
        <v>0</v>
      </c>
    </row>
    <row r="101">
      <c r="A101" s="104" t="inlineStr">
        <is>
          <t>Hevea</t>
        </is>
      </c>
      <c r="B101" s="104" t="inlineStr">
        <is>
          <t>557-010718</t>
        </is>
      </c>
      <c r="C101" s="104" t="inlineStr">
        <is>
          <t>LEISA-3 SOFA 3 PLAZAS/SOFA/CANAPÉ</t>
        </is>
      </c>
      <c r="D101" s="105" t="inlineStr">
        <is>
          <t>2026-03-06</t>
        </is>
      </c>
      <c r="E101" s="106" t="n">
        <v>534</v>
      </c>
      <c r="F101" s="106" t="n">
        <v>970</v>
      </c>
      <c r="G101" s="106" t="n">
        <v>1173.7</v>
      </c>
      <c r="H101" s="106" t="n">
        <v>436</v>
      </c>
      <c r="I101" s="107" t="n">
        <v>44.94845360824743</v>
      </c>
      <c r="J101" s="107" t="n">
        <v>81.64794007490637</v>
      </c>
      <c r="K101" s="108" t="n"/>
      <c r="L101" s="109" t="n"/>
      <c r="M101" s="108" t="n"/>
      <c r="N101" s="109" t="n"/>
    </row>
    <row r="102">
      <c r="A102" s="122" t="inlineStr">
        <is>
          <t>Hevea</t>
        </is>
      </c>
      <c r="B102" s="122" t="inlineStr">
        <is>
          <t>557-010718</t>
        </is>
      </c>
      <c r="C102" s="122" t="inlineStr">
        <is>
          <t>LEISA-3</t>
        </is>
      </c>
      <c r="D102" s="123" t="inlineStr">
        <is>
          <t>2026-04-17</t>
        </is>
      </c>
      <c r="E102" s="124" t="n">
        <v>611</v>
      </c>
      <c r="F102" s="124" t="n">
        <v>970</v>
      </c>
      <c r="G102" s="124" t="n">
        <v>1173.7</v>
      </c>
      <c r="H102" s="124" t="n">
        <v>359</v>
      </c>
      <c r="I102" s="125" t="n">
        <v>37.01030927835052</v>
      </c>
      <c r="J102" s="125" t="n">
        <v>58.75613747954174</v>
      </c>
      <c r="K102" s="126" t="n">
        <v>77</v>
      </c>
      <c r="L102" s="127" t="n">
        <v>14.41947565543071</v>
      </c>
      <c r="M102" s="126" t="n">
        <v>0</v>
      </c>
      <c r="N102" s="127" t="n">
        <v>0</v>
      </c>
    </row>
    <row r="103">
      <c r="A103" s="122" t="inlineStr">
        <is>
          <t>Hevea</t>
        </is>
      </c>
      <c r="B103" s="122" t="inlineStr">
        <is>
          <t>557-010718</t>
        </is>
      </c>
      <c r="C103" s="122" t="inlineStr">
        <is>
          <t>LEISA-3 SOFA 3 PLAZAS/SOFA/CANAPÉ</t>
        </is>
      </c>
      <c r="D103" s="123" t="inlineStr">
        <is>
          <t>2026-05-07</t>
        </is>
      </c>
      <c r="E103" s="124" t="n">
        <v>612</v>
      </c>
      <c r="F103" s="124" t="n">
        <v>970</v>
      </c>
      <c r="G103" s="124" t="n">
        <v>1173.7</v>
      </c>
      <c r="H103" s="124" t="n">
        <v>358</v>
      </c>
      <c r="I103" s="125" t="n">
        <v>36.90721649484536</v>
      </c>
      <c r="J103" s="125" t="n">
        <v>58.4967320261438</v>
      </c>
      <c r="K103" s="126" t="n">
        <v>1</v>
      </c>
      <c r="L103" s="127" t="n">
        <v>0.1636661211129296</v>
      </c>
      <c r="M103" s="126" t="n">
        <v>0</v>
      </c>
      <c r="N103" s="127" t="n">
        <v>0</v>
      </c>
    </row>
    <row r="104">
      <c r="A104" s="110" t="inlineStr">
        <is>
          <t>Hevea</t>
        </is>
      </c>
      <c r="B104" s="110" t="inlineStr">
        <is>
          <t>557-010719</t>
        </is>
      </c>
      <c r="C104" s="110" t="inlineStr">
        <is>
          <t>LEISA-7 SET SOFA 2 PLAZAS/SOFA/CANAPÉ</t>
        </is>
      </c>
      <c r="D104" s="111" t="inlineStr">
        <is>
          <t>2026-03-06</t>
        </is>
      </c>
      <c r="E104" s="112" t="n">
        <v>1153</v>
      </c>
      <c r="F104" s="112" t="n">
        <v>2095</v>
      </c>
      <c r="G104" s="112" t="n">
        <v>2534.95</v>
      </c>
      <c r="H104" s="112" t="n">
        <v>942</v>
      </c>
      <c r="I104" s="113" t="n">
        <v>44.96420047732697</v>
      </c>
      <c r="J104" s="113" t="n">
        <v>81.69991326973114</v>
      </c>
      <c r="K104" s="114" t="n"/>
      <c r="L104" s="115" t="n"/>
      <c r="M104" s="114" t="n"/>
      <c r="N104" s="115" t="n"/>
    </row>
    <row r="105">
      <c r="A105" s="116" t="inlineStr">
        <is>
          <t>Hevea</t>
        </is>
      </c>
      <c r="B105" s="116" t="inlineStr">
        <is>
          <t>557-010719</t>
        </is>
      </c>
      <c r="C105" s="116" t="inlineStr">
        <is>
          <t>LEISA-7</t>
        </is>
      </c>
      <c r="D105" s="117" t="inlineStr">
        <is>
          <t>2026-04-17</t>
        </is>
      </c>
      <c r="E105" s="118" t="n">
        <v>1320</v>
      </c>
      <c r="F105" s="118" t="n">
        <v>2095</v>
      </c>
      <c r="G105" s="118" t="n">
        <v>2534.95</v>
      </c>
      <c r="H105" s="118" t="n">
        <v>775</v>
      </c>
      <c r="I105" s="119" t="n">
        <v>36.9928400954654</v>
      </c>
      <c r="J105" s="119" t="n">
        <v>58.71212121212122</v>
      </c>
      <c r="K105" s="120" t="n">
        <v>167</v>
      </c>
      <c r="L105" s="121" t="n">
        <v>14.48395490026019</v>
      </c>
      <c r="M105" s="120" t="n">
        <v>0</v>
      </c>
      <c r="N105" s="121" t="n">
        <v>0</v>
      </c>
    </row>
    <row r="106">
      <c r="A106" s="116" t="inlineStr">
        <is>
          <t>Hevea</t>
        </is>
      </c>
      <c r="B106" s="116" t="inlineStr">
        <is>
          <t>557-010719</t>
        </is>
      </c>
      <c r="C106" s="116" t="inlineStr">
        <is>
          <t>LEISA-7 SET SOFA 2 PLAZAS/SOFA/CANAPÉ</t>
        </is>
      </c>
      <c r="D106" s="117" t="inlineStr">
        <is>
          <t>2026-05-07</t>
        </is>
      </c>
      <c r="E106" s="118" t="n">
        <v>1320</v>
      </c>
      <c r="F106" s="118" t="n">
        <v>2095</v>
      </c>
      <c r="G106" s="118" t="n">
        <v>2534.95</v>
      </c>
      <c r="H106" s="118" t="n">
        <v>775</v>
      </c>
      <c r="I106" s="119" t="n">
        <v>36.9928400954654</v>
      </c>
      <c r="J106" s="119" t="n">
        <v>58.71212121212122</v>
      </c>
      <c r="K106" s="120" t="n">
        <v>0</v>
      </c>
      <c r="L106" s="121" t="n">
        <v>0</v>
      </c>
      <c r="M106" s="120" t="n">
        <v>0</v>
      </c>
      <c r="N106" s="121" t="n">
        <v>0</v>
      </c>
    </row>
    <row r="107">
      <c r="A107" s="104" t="inlineStr">
        <is>
          <t>Hevea</t>
        </is>
      </c>
      <c r="B107" s="104" t="inlineStr">
        <is>
          <t>557-010720</t>
        </is>
      </c>
      <c r="C107" s="104" t="inlineStr">
        <is>
          <t>LEISA-8 SET SOFA 3 PLAZAS/SOFA/CANAPÉ</t>
        </is>
      </c>
      <c r="D107" s="105" t="inlineStr">
        <is>
          <t>2026-03-06</t>
        </is>
      </c>
      <c r="E107" s="106" t="n">
        <v>1318</v>
      </c>
      <c r="F107" s="106" t="n">
        <v>2395</v>
      </c>
      <c r="G107" s="106" t="n">
        <v>2897.95</v>
      </c>
      <c r="H107" s="106" t="n">
        <v>1077</v>
      </c>
      <c r="I107" s="107" t="n">
        <v>44.96868475991649</v>
      </c>
      <c r="J107" s="107" t="n">
        <v>81.71471927162366</v>
      </c>
      <c r="K107" s="108" t="n"/>
      <c r="L107" s="109" t="n"/>
      <c r="M107" s="108" t="n"/>
      <c r="N107" s="109" t="n"/>
    </row>
    <row r="108">
      <c r="A108" s="122" t="inlineStr">
        <is>
          <t>Hevea</t>
        </is>
      </c>
      <c r="B108" s="122" t="inlineStr">
        <is>
          <t>557-010720</t>
        </is>
      </c>
      <c r="C108" s="122" t="inlineStr">
        <is>
          <t>LEISA-8</t>
        </is>
      </c>
      <c r="D108" s="123" t="inlineStr">
        <is>
          <t>2026-04-17</t>
        </is>
      </c>
      <c r="E108" s="124" t="n">
        <v>1509</v>
      </c>
      <c r="F108" s="124" t="n">
        <v>2395</v>
      </c>
      <c r="G108" s="124" t="n">
        <v>2897.95</v>
      </c>
      <c r="H108" s="124" t="n">
        <v>886</v>
      </c>
      <c r="I108" s="125" t="n">
        <v>36.99373695198329</v>
      </c>
      <c r="J108" s="125" t="n">
        <v>58.7143803843605</v>
      </c>
      <c r="K108" s="126" t="n">
        <v>191</v>
      </c>
      <c r="L108" s="127" t="n">
        <v>14.49165402124431</v>
      </c>
      <c r="M108" s="126" t="n">
        <v>0</v>
      </c>
      <c r="N108" s="127" t="n">
        <v>0</v>
      </c>
    </row>
    <row r="109">
      <c r="A109" s="122" t="inlineStr">
        <is>
          <t>Hevea</t>
        </is>
      </c>
      <c r="B109" s="122" t="inlineStr">
        <is>
          <t>557-010720</t>
        </is>
      </c>
      <c r="C109" s="122" t="inlineStr">
        <is>
          <t>LEISA-8 SET SOFA 3 PLAZAS/SOFA/CANAPÉ</t>
        </is>
      </c>
      <c r="D109" s="123" t="inlineStr">
        <is>
          <t>2026-05-07</t>
        </is>
      </c>
      <c r="E109" s="124" t="n">
        <v>1509</v>
      </c>
      <c r="F109" s="124" t="n">
        <v>2395</v>
      </c>
      <c r="G109" s="124" t="n">
        <v>2897.95</v>
      </c>
      <c r="H109" s="124" t="n">
        <v>886</v>
      </c>
      <c r="I109" s="125" t="n">
        <v>36.99373695198329</v>
      </c>
      <c r="J109" s="125" t="n">
        <v>58.7143803843605</v>
      </c>
      <c r="K109" s="126" t="n">
        <v>0</v>
      </c>
      <c r="L109" s="127" t="n">
        <v>0</v>
      </c>
      <c r="M109" s="126" t="n">
        <v>0</v>
      </c>
      <c r="N109" s="127" t="n">
        <v>0</v>
      </c>
    </row>
    <row r="110">
      <c r="A110" s="110" t="inlineStr">
        <is>
          <t>Hevea</t>
        </is>
      </c>
      <c r="B110" s="110" t="inlineStr">
        <is>
          <t>557-010726</t>
        </is>
      </c>
      <c r="C110" s="110" t="inlineStr">
        <is>
          <t>ALBANIA-1 SILLON/ARMCHAIR/FAUTEUIL</t>
        </is>
      </c>
      <c r="D110" s="111" t="inlineStr">
        <is>
          <t>2026-03-06</t>
        </is>
      </c>
      <c r="E110" s="112" t="n">
        <v>273</v>
      </c>
      <c r="F110" s="112" t="n">
        <v>495</v>
      </c>
      <c r="G110" s="112" t="n">
        <v>598.95</v>
      </c>
      <c r="H110" s="112" t="n">
        <v>222</v>
      </c>
      <c r="I110" s="113" t="n">
        <v>44.84848484848485</v>
      </c>
      <c r="J110" s="113" t="n">
        <v>81.31868131868131</v>
      </c>
      <c r="K110" s="114" t="n"/>
      <c r="L110" s="115" t="n"/>
      <c r="M110" s="114" t="n"/>
      <c r="N110" s="115" t="n"/>
    </row>
    <row r="111">
      <c r="A111" s="116" t="inlineStr">
        <is>
          <t>Hevea</t>
        </is>
      </c>
      <c r="B111" s="116" t="inlineStr">
        <is>
          <t>557-010726</t>
        </is>
      </c>
      <c r="C111" s="116" t="inlineStr">
        <is>
          <t>ALBANIA-1 SILLON/ARMCHAIR/FAUTEUIL</t>
        </is>
      </c>
      <c r="D111" s="117" t="inlineStr">
        <is>
          <t>2026-04-17</t>
        </is>
      </c>
      <c r="E111" s="118" t="n">
        <v>312</v>
      </c>
      <c r="F111" s="118" t="n">
        <v>495</v>
      </c>
      <c r="G111" s="118" t="n">
        <v>598.95</v>
      </c>
      <c r="H111" s="118" t="n">
        <v>183</v>
      </c>
      <c r="I111" s="119" t="n">
        <v>36.96969696969697</v>
      </c>
      <c r="J111" s="119" t="n">
        <v>58.65384615384615</v>
      </c>
      <c r="K111" s="120" t="n">
        <v>39</v>
      </c>
      <c r="L111" s="121" t="n">
        <v>14.28571428571428</v>
      </c>
      <c r="M111" s="120" t="n">
        <v>0</v>
      </c>
      <c r="N111" s="121" t="n">
        <v>0</v>
      </c>
    </row>
    <row r="112">
      <c r="A112" s="116" t="inlineStr">
        <is>
          <t>Hevea</t>
        </is>
      </c>
      <c r="B112" s="116" t="inlineStr">
        <is>
          <t>557-010726</t>
        </is>
      </c>
      <c r="C112" s="116" t="inlineStr">
        <is>
          <t>ALBANIA-1 SILLON/ARMCHAIR/FAUTEUIL</t>
        </is>
      </c>
      <c r="D112" s="117" t="inlineStr">
        <is>
          <t>2026-05-07</t>
        </is>
      </c>
      <c r="E112" s="118" t="n">
        <v>312</v>
      </c>
      <c r="F112" s="118" t="n">
        <v>495</v>
      </c>
      <c r="G112" s="118" t="n">
        <v>598.95</v>
      </c>
      <c r="H112" s="118" t="n">
        <v>183</v>
      </c>
      <c r="I112" s="119" t="n">
        <v>36.96969696969697</v>
      </c>
      <c r="J112" s="119" t="n">
        <v>58.65384615384615</v>
      </c>
      <c r="K112" s="120" t="n">
        <v>0</v>
      </c>
      <c r="L112" s="121" t="n">
        <v>0</v>
      </c>
      <c r="M112" s="120" t="n">
        <v>0</v>
      </c>
      <c r="N112" s="121" t="n">
        <v>0</v>
      </c>
    </row>
    <row r="113">
      <c r="A113" s="104" t="inlineStr">
        <is>
          <t>Hevea</t>
        </is>
      </c>
      <c r="B113" s="104" t="inlineStr">
        <is>
          <t>557-010727</t>
        </is>
      </c>
      <c r="C113" s="104" t="inlineStr">
        <is>
          <t>ALBANIA-2 SOFA 2 PLAZAS/SOFA/CANAPÉ</t>
        </is>
      </c>
      <c r="D113" s="105" t="inlineStr">
        <is>
          <t>2026-03-06</t>
        </is>
      </c>
      <c r="E113" s="106" t="n">
        <v>432</v>
      </c>
      <c r="F113" s="106" t="n">
        <v>785</v>
      </c>
      <c r="G113" s="106" t="n">
        <v>949.85</v>
      </c>
      <c r="H113" s="106" t="n">
        <v>353</v>
      </c>
      <c r="I113" s="107" t="n">
        <v>44.96815286624204</v>
      </c>
      <c r="J113" s="107" t="n">
        <v>81.71296296296296</v>
      </c>
      <c r="K113" s="108" t="n"/>
      <c r="L113" s="109" t="n"/>
      <c r="M113" s="108" t="n"/>
      <c r="N113" s="109" t="n"/>
    </row>
    <row r="114">
      <c r="A114" s="122" t="inlineStr">
        <is>
          <t>Hevea</t>
        </is>
      </c>
      <c r="B114" s="122" t="inlineStr">
        <is>
          <t>557-010727</t>
        </is>
      </c>
      <c r="C114" s="122" t="inlineStr">
        <is>
          <t>ALBANIA-2 SOFA 2 PLAZAS/SOFA/CANAPÉ</t>
        </is>
      </c>
      <c r="D114" s="123" t="inlineStr">
        <is>
          <t>2026-04-17</t>
        </is>
      </c>
      <c r="E114" s="124" t="n">
        <v>495</v>
      </c>
      <c r="F114" s="124" t="n">
        <v>785</v>
      </c>
      <c r="G114" s="124" t="n">
        <v>949.85</v>
      </c>
      <c r="H114" s="124" t="n">
        <v>290</v>
      </c>
      <c r="I114" s="125" t="n">
        <v>36.94267515923567</v>
      </c>
      <c r="J114" s="125" t="n">
        <v>58.58585858585859</v>
      </c>
      <c r="K114" s="126" t="n">
        <v>63</v>
      </c>
      <c r="L114" s="127" t="n">
        <v>14.58333333333333</v>
      </c>
      <c r="M114" s="126" t="n">
        <v>0</v>
      </c>
      <c r="N114" s="127" t="n">
        <v>0</v>
      </c>
    </row>
    <row r="115">
      <c r="A115" s="122" t="inlineStr">
        <is>
          <t>Hevea</t>
        </is>
      </c>
      <c r="B115" s="122" t="inlineStr">
        <is>
          <t>557-010727</t>
        </is>
      </c>
      <c r="C115" s="122" t="inlineStr">
        <is>
          <t>ALBANIA-2 SOFA 2 PLAZAS/SOFA/CANAPÉ</t>
        </is>
      </c>
      <c r="D115" s="123" t="inlineStr">
        <is>
          <t>2026-05-07</t>
        </is>
      </c>
      <c r="E115" s="124" t="n">
        <v>495</v>
      </c>
      <c r="F115" s="124" t="n">
        <v>785</v>
      </c>
      <c r="G115" s="124" t="n">
        <v>949.85</v>
      </c>
      <c r="H115" s="124" t="n">
        <v>290</v>
      </c>
      <c r="I115" s="125" t="n">
        <v>36.94267515923567</v>
      </c>
      <c r="J115" s="125" t="n">
        <v>58.58585858585859</v>
      </c>
      <c r="K115" s="126" t="n">
        <v>0</v>
      </c>
      <c r="L115" s="127" t="n">
        <v>0</v>
      </c>
      <c r="M115" s="126" t="n">
        <v>0</v>
      </c>
      <c r="N115" s="127" t="n">
        <v>0</v>
      </c>
    </row>
    <row r="116">
      <c r="A116" s="110" t="inlineStr">
        <is>
          <t>Hevea</t>
        </is>
      </c>
      <c r="B116" s="110" t="inlineStr">
        <is>
          <t>557-010728</t>
        </is>
      </c>
      <c r="C116" s="110" t="inlineStr">
        <is>
          <t>ALBANIA-3 SOFA 3 PLAZAS/SOFA/CANAPÉ</t>
        </is>
      </c>
      <c r="D116" s="111" t="inlineStr">
        <is>
          <t>2026-03-06</t>
        </is>
      </c>
      <c r="E116" s="112" t="n">
        <v>548</v>
      </c>
      <c r="F116" s="112" t="n">
        <v>995</v>
      </c>
      <c r="G116" s="112" t="n">
        <v>1203.95</v>
      </c>
      <c r="H116" s="112" t="n">
        <v>447</v>
      </c>
      <c r="I116" s="113" t="n">
        <v>44.92462311557789</v>
      </c>
      <c r="J116" s="113" t="n">
        <v>81.56934306569343</v>
      </c>
      <c r="K116" s="114" t="n"/>
      <c r="L116" s="115" t="n"/>
      <c r="M116" s="114" t="n"/>
      <c r="N116" s="115" t="n"/>
    </row>
    <row r="117">
      <c r="A117" s="116" t="inlineStr">
        <is>
          <t>Hevea</t>
        </is>
      </c>
      <c r="B117" s="116" t="inlineStr">
        <is>
          <t>557-010728</t>
        </is>
      </c>
      <c r="C117" s="116" t="inlineStr">
        <is>
          <t>ALBANIA-3 SOFA 3 PLAZAS/SOFA/CANAPÉ</t>
        </is>
      </c>
      <c r="D117" s="117" t="inlineStr">
        <is>
          <t>2026-04-17</t>
        </is>
      </c>
      <c r="E117" s="118" t="n">
        <v>627</v>
      </c>
      <c r="F117" s="118" t="n">
        <v>995</v>
      </c>
      <c r="G117" s="118" t="n">
        <v>1203.95</v>
      </c>
      <c r="H117" s="118" t="n">
        <v>368</v>
      </c>
      <c r="I117" s="119" t="n">
        <v>36.98492462311557</v>
      </c>
      <c r="J117" s="119" t="n">
        <v>58.69218500797449</v>
      </c>
      <c r="K117" s="120" t="n">
        <v>79</v>
      </c>
      <c r="L117" s="121" t="n">
        <v>14.41605839416058</v>
      </c>
      <c r="M117" s="120" t="n">
        <v>0</v>
      </c>
      <c r="N117" s="121" t="n">
        <v>0</v>
      </c>
    </row>
    <row r="118">
      <c r="A118" s="116" t="inlineStr">
        <is>
          <t>Hevea</t>
        </is>
      </c>
      <c r="B118" s="116" t="inlineStr">
        <is>
          <t>557-010728</t>
        </is>
      </c>
      <c r="C118" s="116" t="inlineStr">
        <is>
          <t>ALBANIA-3 SOFA 3 PLAZAS/SOFA/CANAPÉ</t>
        </is>
      </c>
      <c r="D118" s="117" t="inlineStr">
        <is>
          <t>2026-05-07</t>
        </is>
      </c>
      <c r="E118" s="118" t="n">
        <v>627</v>
      </c>
      <c r="F118" s="118" t="n">
        <v>995</v>
      </c>
      <c r="G118" s="118" t="n">
        <v>1203.95</v>
      </c>
      <c r="H118" s="118" t="n">
        <v>368</v>
      </c>
      <c r="I118" s="119" t="n">
        <v>36.98492462311557</v>
      </c>
      <c r="J118" s="119" t="n">
        <v>58.69218500797449</v>
      </c>
      <c r="K118" s="120" t="n">
        <v>0</v>
      </c>
      <c r="L118" s="121" t="n">
        <v>0</v>
      </c>
      <c r="M118" s="120" t="n">
        <v>0</v>
      </c>
      <c r="N118" s="121" t="n">
        <v>0</v>
      </c>
    </row>
    <row r="119">
      <c r="A119" s="104" t="inlineStr">
        <is>
          <t>Hevea</t>
        </is>
      </c>
      <c r="B119" s="104" t="inlineStr">
        <is>
          <t>557-010729</t>
        </is>
      </c>
      <c r="C119" s="104" t="inlineStr">
        <is>
          <t>ALBANIA-7 SET SOFÁ 2 PLAZAS / 2 SEATER SOFA SET / SET CANAPÉ 2 PLACES</t>
        </is>
      </c>
      <c r="D119" s="105" t="inlineStr">
        <is>
          <t>2026-03-06</t>
        </is>
      </c>
      <c r="E119" s="106" t="n">
        <v>1279</v>
      </c>
      <c r="F119" s="106" t="n">
        <v>2325</v>
      </c>
      <c r="G119" s="106" t="n">
        <v>2813.25</v>
      </c>
      <c r="H119" s="106" t="n">
        <v>1046</v>
      </c>
      <c r="I119" s="107" t="n">
        <v>44.98924731182796</v>
      </c>
      <c r="J119" s="107" t="n">
        <v>81.78264268960125</v>
      </c>
      <c r="K119" s="108" t="n"/>
      <c r="L119" s="109" t="n"/>
      <c r="M119" s="108" t="n"/>
      <c r="N119" s="109" t="n"/>
    </row>
    <row r="120">
      <c r="A120" s="122" t="inlineStr">
        <is>
          <t>Hevea</t>
        </is>
      </c>
      <c r="B120" s="122" t="inlineStr">
        <is>
          <t>557-010729</t>
        </is>
      </c>
      <c r="C120" s="122" t="inlineStr">
        <is>
          <t>ALBANIA-7 SET SOFÁ 2 PLAZAS / 2 SEATER SOFA SET / SET CANAPÉ 2 PLACES</t>
        </is>
      </c>
      <c r="D120" s="123" t="inlineStr">
        <is>
          <t>2026-04-17</t>
        </is>
      </c>
      <c r="E120" s="124" t="n">
        <v>1465</v>
      </c>
      <c r="F120" s="124" t="n">
        <v>2325</v>
      </c>
      <c r="G120" s="124" t="n">
        <v>2813.25</v>
      </c>
      <c r="H120" s="124" t="n">
        <v>860</v>
      </c>
      <c r="I120" s="125" t="n">
        <v>36.98924731182795</v>
      </c>
      <c r="J120" s="125" t="n">
        <v>58.70307167235494</v>
      </c>
      <c r="K120" s="126" t="n">
        <v>186</v>
      </c>
      <c r="L120" s="127" t="n">
        <v>14.5426114151681</v>
      </c>
      <c r="M120" s="126" t="n">
        <v>0</v>
      </c>
      <c r="N120" s="127" t="n">
        <v>0</v>
      </c>
    </row>
    <row r="121">
      <c r="A121" s="122" t="inlineStr">
        <is>
          <t>Hevea</t>
        </is>
      </c>
      <c r="B121" s="122" t="inlineStr">
        <is>
          <t>557-010729</t>
        </is>
      </c>
      <c r="C121" s="122" t="inlineStr">
        <is>
          <t>ALBANIA-7 SET SOFÁ 2 PLAZAS / 2 SEATER SOFA SET / SET CANAPÉ 2 PLACES</t>
        </is>
      </c>
      <c r="D121" s="123" t="inlineStr">
        <is>
          <t>2026-05-07</t>
        </is>
      </c>
      <c r="E121" s="124" t="n">
        <v>1465</v>
      </c>
      <c r="F121" s="124" t="n">
        <v>2325</v>
      </c>
      <c r="G121" s="124" t="n">
        <v>2813.25</v>
      </c>
      <c r="H121" s="124" t="n">
        <v>860</v>
      </c>
      <c r="I121" s="125" t="n">
        <v>36.98924731182795</v>
      </c>
      <c r="J121" s="125" t="n">
        <v>58.70307167235494</v>
      </c>
      <c r="K121" s="126" t="n">
        <v>0</v>
      </c>
      <c r="L121" s="127" t="n">
        <v>0</v>
      </c>
      <c r="M121" s="126" t="n">
        <v>0</v>
      </c>
      <c r="N121" s="127" t="n">
        <v>0</v>
      </c>
    </row>
    <row r="122">
      <c r="A122" s="110" t="inlineStr">
        <is>
          <t>Hevea</t>
        </is>
      </c>
      <c r="B122" s="110" t="inlineStr">
        <is>
          <t>557-010730</t>
        </is>
      </c>
      <c r="C122" s="110" t="inlineStr">
        <is>
          <t>ALBANIA-8 SET SOFÁ 3 PLAZAS / 3 SEATER SOFA SET / SET CANAPÉ 3 PLACES</t>
        </is>
      </c>
      <c r="D122" s="111" t="inlineStr">
        <is>
          <t>2026-03-06</t>
        </is>
      </c>
      <c r="E122" s="112" t="n">
        <v>1428</v>
      </c>
      <c r="F122" s="112" t="n">
        <v>2595</v>
      </c>
      <c r="G122" s="112" t="n">
        <v>3139.95</v>
      </c>
      <c r="H122" s="112" t="n">
        <v>1167</v>
      </c>
      <c r="I122" s="113" t="n">
        <v>44.97109826589595</v>
      </c>
      <c r="J122" s="113" t="n">
        <v>81.72268907563026</v>
      </c>
      <c r="K122" s="114" t="n"/>
      <c r="L122" s="115" t="n"/>
      <c r="M122" s="114" t="n"/>
      <c r="N122" s="115" t="n"/>
    </row>
    <row r="123">
      <c r="A123" s="116" t="inlineStr">
        <is>
          <t>Hevea</t>
        </is>
      </c>
      <c r="B123" s="116" t="inlineStr">
        <is>
          <t>557-010730</t>
        </is>
      </c>
      <c r="C123" s="116" t="inlineStr">
        <is>
          <t>ALBANIA-8 SET SOFÁ 3 PLAZAS / 3 SEATER SOFA SET / SET CANAPÉ 3 PLACES</t>
        </is>
      </c>
      <c r="D123" s="117" t="inlineStr">
        <is>
          <t>2026-04-17</t>
        </is>
      </c>
      <c r="E123" s="118" t="n">
        <v>1635</v>
      </c>
      <c r="F123" s="118" t="n">
        <v>2595</v>
      </c>
      <c r="G123" s="118" t="n">
        <v>3139.95</v>
      </c>
      <c r="H123" s="118" t="n">
        <v>960</v>
      </c>
      <c r="I123" s="119" t="n">
        <v>36.99421965317919</v>
      </c>
      <c r="J123" s="119" t="n">
        <v>58.71559633027523</v>
      </c>
      <c r="K123" s="120" t="n">
        <v>207</v>
      </c>
      <c r="L123" s="121" t="n">
        <v>14.49579831932773</v>
      </c>
      <c r="M123" s="120" t="n">
        <v>0</v>
      </c>
      <c r="N123" s="121" t="n">
        <v>0</v>
      </c>
    </row>
    <row r="124">
      <c r="A124" s="116" t="inlineStr">
        <is>
          <t>Hevea</t>
        </is>
      </c>
      <c r="B124" s="116" t="inlineStr">
        <is>
          <t>557-010730</t>
        </is>
      </c>
      <c r="C124" s="116" t="inlineStr">
        <is>
          <t>ALBANIA-8 SET SOFÁ 3 PLAZAS / 3 SEATER SOFA SET / SET CANAPÉ 3 PLACES</t>
        </is>
      </c>
      <c r="D124" s="117" t="inlineStr">
        <is>
          <t>2026-05-07</t>
        </is>
      </c>
      <c r="E124" s="118" t="n">
        <v>1635</v>
      </c>
      <c r="F124" s="118" t="n">
        <v>2595</v>
      </c>
      <c r="G124" s="118" t="n">
        <v>3139.95</v>
      </c>
      <c r="H124" s="118" t="n">
        <v>960</v>
      </c>
      <c r="I124" s="119" t="n">
        <v>36.99421965317919</v>
      </c>
      <c r="J124" s="119" t="n">
        <v>58.71559633027523</v>
      </c>
      <c r="K124" s="120" t="n">
        <v>0</v>
      </c>
      <c r="L124" s="121" t="n">
        <v>0</v>
      </c>
      <c r="M124" s="120" t="n">
        <v>0</v>
      </c>
      <c r="N124" s="121" t="n">
        <v>0</v>
      </c>
    </row>
    <row r="125">
      <c r="A125" s="104" t="inlineStr">
        <is>
          <t>Hevea</t>
        </is>
      </c>
      <c r="B125" s="104" t="inlineStr">
        <is>
          <t>557-010785</t>
        </is>
      </c>
      <c r="C125" s="104" t="inlineStr">
        <is>
          <t>STANDARD-5 REPOSAPIES/FOOTSTOOL/REPOSE-PIEDS</t>
        </is>
      </c>
      <c r="D125" s="105" t="inlineStr">
        <is>
          <t>2026-03-06</t>
        </is>
      </c>
      <c r="E125" s="106" t="n">
        <v>149</v>
      </c>
      <c r="F125" s="106" t="n">
        <v>270</v>
      </c>
      <c r="G125" s="106" t="n">
        <v>326.7</v>
      </c>
      <c r="H125" s="106" t="n">
        <v>121</v>
      </c>
      <c r="I125" s="107" t="n">
        <v>44.81481481481481</v>
      </c>
      <c r="J125" s="107" t="n">
        <v>81.20805369127517</v>
      </c>
      <c r="K125" s="108" t="n"/>
      <c r="L125" s="109" t="n"/>
      <c r="M125" s="108" t="n"/>
      <c r="N125" s="109" t="n"/>
    </row>
    <row r="126">
      <c r="A126" s="122" t="inlineStr">
        <is>
          <t>Hevea</t>
        </is>
      </c>
      <c r="B126" s="122" t="inlineStr">
        <is>
          <t>557-010785</t>
        </is>
      </c>
      <c r="C126" s="122" t="inlineStr">
        <is>
          <t>STANDARD-5 REPOSAPIES/FOOTSTOOL/REPOSE-PIEDS</t>
        </is>
      </c>
      <c r="D126" s="123" t="inlineStr">
        <is>
          <t>2026-04-17</t>
        </is>
      </c>
      <c r="E126" s="124" t="n">
        <v>170</v>
      </c>
      <c r="F126" s="124" t="n">
        <v>270</v>
      </c>
      <c r="G126" s="124" t="n">
        <v>326.7</v>
      </c>
      <c r="H126" s="124" t="n">
        <v>100</v>
      </c>
      <c r="I126" s="125" t="n">
        <v>37.03703703703704</v>
      </c>
      <c r="J126" s="125" t="n">
        <v>58.82352941176471</v>
      </c>
      <c r="K126" s="126" t="n">
        <v>21</v>
      </c>
      <c r="L126" s="127" t="n">
        <v>14.09395973154362</v>
      </c>
      <c r="M126" s="126" t="n">
        <v>0</v>
      </c>
      <c r="N126" s="127" t="n">
        <v>0</v>
      </c>
    </row>
    <row r="127">
      <c r="A127" s="122" t="inlineStr">
        <is>
          <t>Hevea</t>
        </is>
      </c>
      <c r="B127" s="122" t="inlineStr">
        <is>
          <t>557-010785</t>
        </is>
      </c>
      <c r="C127" s="122" t="inlineStr">
        <is>
          <t>STANDARD-5 REPOSAPIES/FOOTSTOOL/REPOSE-PIEDS</t>
        </is>
      </c>
      <c r="D127" s="123" t="inlineStr">
        <is>
          <t>2026-05-07</t>
        </is>
      </c>
      <c r="E127" s="124" t="n">
        <v>171</v>
      </c>
      <c r="F127" s="124" t="n">
        <v>270</v>
      </c>
      <c r="G127" s="124" t="n">
        <v>326.7</v>
      </c>
      <c r="H127" s="124" t="n">
        <v>99</v>
      </c>
      <c r="I127" s="125" t="n">
        <v>36.66666666666666</v>
      </c>
      <c r="J127" s="125" t="n">
        <v>57.89473684210527</v>
      </c>
      <c r="K127" s="126" t="n">
        <v>1</v>
      </c>
      <c r="L127" s="127" t="n">
        <v>0.5882352941176471</v>
      </c>
      <c r="M127" s="126" t="n">
        <v>0</v>
      </c>
      <c r="N127" s="127" t="n">
        <v>0</v>
      </c>
    </row>
    <row r="128">
      <c r="A128" s="110" t="inlineStr">
        <is>
          <t>Hevea</t>
        </is>
      </c>
      <c r="B128" s="110" t="inlineStr">
        <is>
          <t>557-010813</t>
        </is>
      </c>
      <c r="C128" s="110" t="inlineStr">
        <is>
          <t>CUPRA-1 SILLÓN/ARMCHAIR/FAUTEUIL</t>
        </is>
      </c>
      <c r="D128" s="111" t="inlineStr">
        <is>
          <t>2026-03-06</t>
        </is>
      </c>
      <c r="E128" s="112" t="n">
        <v>462</v>
      </c>
      <c r="F128" s="112" t="n">
        <v>840</v>
      </c>
      <c r="G128" s="112" t="n">
        <v>1016.4</v>
      </c>
      <c r="H128" s="112" t="n">
        <v>378</v>
      </c>
      <c r="I128" s="113" t="n">
        <v>45</v>
      </c>
      <c r="J128" s="113" t="n">
        <v>81.81818181818183</v>
      </c>
      <c r="K128" s="114" t="n"/>
      <c r="L128" s="115" t="n"/>
      <c r="M128" s="114" t="n"/>
      <c r="N128" s="115" t="n"/>
    </row>
    <row r="129">
      <c r="A129" s="116" t="inlineStr">
        <is>
          <t>Hevea</t>
        </is>
      </c>
      <c r="B129" s="116" t="inlineStr">
        <is>
          <t>557-010813</t>
        </is>
      </c>
      <c r="C129" s="116" t="inlineStr">
        <is>
          <t>CUPRA-1 SILLÓN/ARMCHAIR/FAUTEUIL</t>
        </is>
      </c>
      <c r="D129" s="117" t="inlineStr">
        <is>
          <t>2026-04-17</t>
        </is>
      </c>
      <c r="E129" s="118" t="n">
        <v>529</v>
      </c>
      <c r="F129" s="118" t="n">
        <v>840</v>
      </c>
      <c r="G129" s="118" t="n">
        <v>1016.4</v>
      </c>
      <c r="H129" s="118" t="n">
        <v>311</v>
      </c>
      <c r="I129" s="119" t="n">
        <v>37.02380952380953</v>
      </c>
      <c r="J129" s="119" t="n">
        <v>58.79017013232514</v>
      </c>
      <c r="K129" s="120" t="n">
        <v>67</v>
      </c>
      <c r="L129" s="121" t="n">
        <v>14.5021645021645</v>
      </c>
      <c r="M129" s="120" t="n">
        <v>0</v>
      </c>
      <c r="N129" s="121" t="n">
        <v>0</v>
      </c>
    </row>
    <row r="130">
      <c r="A130" s="116" t="inlineStr">
        <is>
          <t>Hevea</t>
        </is>
      </c>
      <c r="B130" s="116" t="inlineStr">
        <is>
          <t>557-010813</t>
        </is>
      </c>
      <c r="C130" s="116" t="inlineStr">
        <is>
          <t>CUPRA-1 SILLÓN/ARMCHAIR/FAUTEUIL</t>
        </is>
      </c>
      <c r="D130" s="117" t="inlineStr">
        <is>
          <t>2026-05-07</t>
        </is>
      </c>
      <c r="E130" s="118" t="n">
        <v>530</v>
      </c>
      <c r="F130" s="118" t="n">
        <v>840</v>
      </c>
      <c r="G130" s="118" t="n">
        <v>1016.4</v>
      </c>
      <c r="H130" s="118" t="n">
        <v>310</v>
      </c>
      <c r="I130" s="119" t="n">
        <v>36.90476190476191</v>
      </c>
      <c r="J130" s="119" t="n">
        <v>58.49056603773585</v>
      </c>
      <c r="K130" s="120" t="n">
        <v>1</v>
      </c>
      <c r="L130" s="121" t="n">
        <v>0.1890359168241966</v>
      </c>
      <c r="M130" s="120" t="n">
        <v>0</v>
      </c>
      <c r="N130" s="121" t="n">
        <v>0</v>
      </c>
    </row>
    <row r="131">
      <c r="A131" s="104" t="inlineStr">
        <is>
          <t>Hevea</t>
        </is>
      </c>
      <c r="B131" s="104" t="inlineStr">
        <is>
          <t>557-010814</t>
        </is>
      </c>
      <c r="C131" s="104" t="inlineStr">
        <is>
          <t>CUPRA-2 SOFA 2 PLAZAS/SOFA/CANAPÉ</t>
        </is>
      </c>
      <c r="D131" s="105" t="inlineStr">
        <is>
          <t>2026-03-06</t>
        </is>
      </c>
      <c r="E131" s="106" t="n">
        <v>660</v>
      </c>
      <c r="F131" s="106" t="n">
        <v>1200</v>
      </c>
      <c r="G131" s="106" t="n">
        <v>1452</v>
      </c>
      <c r="H131" s="106" t="n">
        <v>540</v>
      </c>
      <c r="I131" s="107" t="n">
        <v>45</v>
      </c>
      <c r="J131" s="107" t="n">
        <v>81.81818181818183</v>
      </c>
      <c r="K131" s="108" t="n"/>
      <c r="L131" s="109" t="n"/>
      <c r="M131" s="108" t="n"/>
      <c r="N131" s="109" t="n"/>
    </row>
    <row r="132">
      <c r="A132" s="122" t="inlineStr">
        <is>
          <t>Hevea</t>
        </is>
      </c>
      <c r="B132" s="122" t="inlineStr">
        <is>
          <t>557-010814</t>
        </is>
      </c>
      <c r="C132" s="122" t="inlineStr">
        <is>
          <t>CUPRA-2 SOFA 2 PLAZAS/SOFA/CANAPÉ</t>
        </is>
      </c>
      <c r="D132" s="123" t="inlineStr">
        <is>
          <t>2026-04-17</t>
        </is>
      </c>
      <c r="E132" s="124" t="n">
        <v>756</v>
      </c>
      <c r="F132" s="124" t="n">
        <v>1200</v>
      </c>
      <c r="G132" s="124" t="n">
        <v>1452</v>
      </c>
      <c r="H132" s="124" t="n">
        <v>444</v>
      </c>
      <c r="I132" s="125" t="n">
        <v>37</v>
      </c>
      <c r="J132" s="125" t="n">
        <v>58.73015873015873</v>
      </c>
      <c r="K132" s="126" t="n">
        <v>96</v>
      </c>
      <c r="L132" s="127" t="n">
        <v>14.54545454545454</v>
      </c>
      <c r="M132" s="126" t="n">
        <v>0</v>
      </c>
      <c r="N132" s="127" t="n">
        <v>0</v>
      </c>
    </row>
    <row r="133">
      <c r="A133" s="122" t="inlineStr">
        <is>
          <t>Hevea</t>
        </is>
      </c>
      <c r="B133" s="122" t="inlineStr">
        <is>
          <t>557-010814</t>
        </is>
      </c>
      <c r="C133" s="122" t="inlineStr">
        <is>
          <t>CUPRA-2 SOFA 2 PLAZAS/SOFA/CANAPÉ</t>
        </is>
      </c>
      <c r="D133" s="123" t="inlineStr">
        <is>
          <t>2026-05-07</t>
        </is>
      </c>
      <c r="E133" s="124" t="n">
        <v>756</v>
      </c>
      <c r="F133" s="124" t="n">
        <v>1200</v>
      </c>
      <c r="G133" s="124" t="n">
        <v>1452</v>
      </c>
      <c r="H133" s="124" t="n">
        <v>444</v>
      </c>
      <c r="I133" s="125" t="n">
        <v>37</v>
      </c>
      <c r="J133" s="125" t="n">
        <v>58.73015873015873</v>
      </c>
      <c r="K133" s="126" t="n">
        <v>0</v>
      </c>
      <c r="L133" s="127" t="n">
        <v>0</v>
      </c>
      <c r="M133" s="126" t="n">
        <v>0</v>
      </c>
      <c r="N133" s="127" t="n">
        <v>0</v>
      </c>
    </row>
    <row r="134">
      <c r="A134" s="110" t="inlineStr">
        <is>
          <t>Hevea</t>
        </is>
      </c>
      <c r="B134" s="110" t="inlineStr">
        <is>
          <t>557-010815</t>
        </is>
      </c>
      <c r="C134" s="110" t="inlineStr">
        <is>
          <t>CUPRA-3 SOFA 3 PLAZAS/SOFA/CANAPÉ</t>
        </is>
      </c>
      <c r="D134" s="111" t="inlineStr">
        <is>
          <t>2026-03-06</t>
        </is>
      </c>
      <c r="E134" s="112" t="n">
        <v>836</v>
      </c>
      <c r="F134" s="112" t="n">
        <v>1520</v>
      </c>
      <c r="G134" s="112" t="n">
        <v>1839.2</v>
      </c>
      <c r="H134" s="112" t="n">
        <v>684</v>
      </c>
      <c r="I134" s="113" t="n">
        <v>45</v>
      </c>
      <c r="J134" s="113" t="n">
        <v>81.81818181818183</v>
      </c>
      <c r="K134" s="114" t="n"/>
      <c r="L134" s="115" t="n"/>
      <c r="M134" s="114" t="n"/>
      <c r="N134" s="115" t="n"/>
    </row>
    <row r="135">
      <c r="A135" s="116" t="inlineStr">
        <is>
          <t>Hevea</t>
        </is>
      </c>
      <c r="B135" s="116" t="inlineStr">
        <is>
          <t>557-010815</t>
        </is>
      </c>
      <c r="C135" s="116" t="inlineStr">
        <is>
          <t>CUPRA-3 SOFA 3 PLAZAS/SOFA/CANAPÉ</t>
        </is>
      </c>
      <c r="D135" s="117" t="inlineStr">
        <is>
          <t>2026-04-17</t>
        </is>
      </c>
      <c r="E135" s="118" t="n">
        <v>958</v>
      </c>
      <c r="F135" s="118" t="n">
        <v>1520</v>
      </c>
      <c r="G135" s="118" t="n">
        <v>1839.2</v>
      </c>
      <c r="H135" s="118" t="n">
        <v>562</v>
      </c>
      <c r="I135" s="119" t="n">
        <v>36.97368421052632</v>
      </c>
      <c r="J135" s="119" t="n">
        <v>58.66388308977035</v>
      </c>
      <c r="K135" s="120" t="n">
        <v>122</v>
      </c>
      <c r="L135" s="121" t="n">
        <v>14.5933014354067</v>
      </c>
      <c r="M135" s="120" t="n">
        <v>0</v>
      </c>
      <c r="N135" s="121" t="n">
        <v>0</v>
      </c>
    </row>
    <row r="136">
      <c r="A136" s="116" t="inlineStr">
        <is>
          <t>Hevea</t>
        </is>
      </c>
      <c r="B136" s="116" t="inlineStr">
        <is>
          <t>557-010815</t>
        </is>
      </c>
      <c r="C136" s="116" t="inlineStr">
        <is>
          <t>CUPRA-3 SOFA 3 PLAZAS/SOFA/CANAPÉ</t>
        </is>
      </c>
      <c r="D136" s="117" t="inlineStr">
        <is>
          <t>2026-05-07</t>
        </is>
      </c>
      <c r="E136" s="118" t="n">
        <v>958</v>
      </c>
      <c r="F136" s="118" t="n">
        <v>1520</v>
      </c>
      <c r="G136" s="118" t="n">
        <v>1839.2</v>
      </c>
      <c r="H136" s="118" t="n">
        <v>562</v>
      </c>
      <c r="I136" s="119" t="n">
        <v>36.97368421052632</v>
      </c>
      <c r="J136" s="119" t="n">
        <v>58.66388308977035</v>
      </c>
      <c r="K136" s="120" t="n">
        <v>0</v>
      </c>
      <c r="L136" s="121" t="n">
        <v>0</v>
      </c>
      <c r="M136" s="120" t="n">
        <v>0</v>
      </c>
      <c r="N136" s="121" t="n">
        <v>0</v>
      </c>
    </row>
    <row r="137">
      <c r="A137" s="104" t="inlineStr">
        <is>
          <t>Hevea</t>
        </is>
      </c>
      <c r="B137" s="104" t="inlineStr">
        <is>
          <t>557-010816</t>
        </is>
      </c>
      <c r="C137" s="104" t="inlineStr">
        <is>
          <t>CUPRA-7 SET SOFÁ 2 PLAZAS / 2 SEATER SOFA SET / SET CANAPÉ 2 PLACES</t>
        </is>
      </c>
      <c r="D137" s="105" t="inlineStr">
        <is>
          <t>2026-03-06</t>
        </is>
      </c>
      <c r="E137" s="106" t="n">
        <v>1738</v>
      </c>
      <c r="F137" s="106" t="n">
        <v>3160</v>
      </c>
      <c r="G137" s="106" t="n">
        <v>3823.6</v>
      </c>
      <c r="H137" s="106" t="n">
        <v>1422</v>
      </c>
      <c r="I137" s="107" t="n">
        <v>45</v>
      </c>
      <c r="J137" s="107" t="n">
        <v>81.81818181818183</v>
      </c>
      <c r="K137" s="108" t="n"/>
      <c r="L137" s="109" t="n"/>
      <c r="M137" s="108" t="n"/>
      <c r="N137" s="109" t="n"/>
    </row>
    <row r="138">
      <c r="A138" s="122" t="inlineStr">
        <is>
          <t>Hevea</t>
        </is>
      </c>
      <c r="B138" s="122" t="inlineStr">
        <is>
          <t>557-010816</t>
        </is>
      </c>
      <c r="C138" s="122" t="inlineStr">
        <is>
          <t>CUPRA-7 SET SOFÁ 2 PLAZAS / 2 SEATER SOFA SET / SET CANAPÉ 2 PLACES</t>
        </is>
      </c>
      <c r="D138" s="123" t="inlineStr">
        <is>
          <t>2026-04-17</t>
        </is>
      </c>
      <c r="E138" s="124" t="n">
        <v>1991</v>
      </c>
      <c r="F138" s="124" t="n">
        <v>3160</v>
      </c>
      <c r="G138" s="124" t="n">
        <v>3823.6</v>
      </c>
      <c r="H138" s="124" t="n">
        <v>1169</v>
      </c>
      <c r="I138" s="125" t="n">
        <v>36.99367088607595</v>
      </c>
      <c r="J138" s="125" t="n">
        <v>58.71421396283275</v>
      </c>
      <c r="K138" s="126" t="n">
        <v>253</v>
      </c>
      <c r="L138" s="127" t="n">
        <v>14.55696202531646</v>
      </c>
      <c r="M138" s="126" t="n">
        <v>0</v>
      </c>
      <c r="N138" s="127" t="n">
        <v>0</v>
      </c>
    </row>
    <row r="139">
      <c r="A139" s="122" t="inlineStr">
        <is>
          <t>Hevea</t>
        </is>
      </c>
      <c r="B139" s="122" t="inlineStr">
        <is>
          <t>557-010816</t>
        </is>
      </c>
      <c r="C139" s="122" t="inlineStr">
        <is>
          <t>CUPRA-7 SET SOFÁ 2 PLAZAS / 2 SEATER SOFA SET / SET CANAPÉ 2 PLACES</t>
        </is>
      </c>
      <c r="D139" s="123" t="inlineStr">
        <is>
          <t>2026-05-07</t>
        </is>
      </c>
      <c r="E139" s="124" t="n">
        <v>1991</v>
      </c>
      <c r="F139" s="124" t="n">
        <v>3160</v>
      </c>
      <c r="G139" s="124" t="n">
        <v>3823.6</v>
      </c>
      <c r="H139" s="124" t="n">
        <v>1169</v>
      </c>
      <c r="I139" s="125" t="n">
        <v>36.99367088607595</v>
      </c>
      <c r="J139" s="125" t="n">
        <v>58.71421396283275</v>
      </c>
      <c r="K139" s="126" t="n">
        <v>0</v>
      </c>
      <c r="L139" s="127" t="n">
        <v>0</v>
      </c>
      <c r="M139" s="126" t="n">
        <v>0</v>
      </c>
      <c r="N139" s="127" t="n">
        <v>0</v>
      </c>
    </row>
    <row r="140">
      <c r="A140" s="110" t="inlineStr">
        <is>
          <t>Hevea</t>
        </is>
      </c>
      <c r="B140" s="110" t="inlineStr">
        <is>
          <t>557-010817</t>
        </is>
      </c>
      <c r="C140" s="110" t="inlineStr">
        <is>
          <t>CUPRA-8 SET SOFÁ 3 PLAZAS / 3 SEATER SOFA SET / SET CANAPÉ 3 PLACES</t>
        </is>
      </c>
      <c r="D140" s="111" t="inlineStr">
        <is>
          <t>2026-03-06</t>
        </is>
      </c>
      <c r="E140" s="112" t="n">
        <v>1975</v>
      </c>
      <c r="F140" s="112" t="n">
        <v>3590</v>
      </c>
      <c r="G140" s="112" t="n">
        <v>4343.9</v>
      </c>
      <c r="H140" s="112" t="n">
        <v>1615</v>
      </c>
      <c r="I140" s="113" t="n">
        <v>44.98607242339833</v>
      </c>
      <c r="J140" s="113" t="n">
        <v>81.77215189873418</v>
      </c>
      <c r="K140" s="114" t="n"/>
      <c r="L140" s="115" t="n"/>
      <c r="M140" s="114" t="n"/>
      <c r="N140" s="115" t="n"/>
    </row>
    <row r="141">
      <c r="A141" s="116" t="inlineStr">
        <is>
          <t>Hevea</t>
        </is>
      </c>
      <c r="B141" s="116" t="inlineStr">
        <is>
          <t>557-010817</t>
        </is>
      </c>
      <c r="C141" s="116" t="inlineStr">
        <is>
          <t>CUPRA-8 SET SOFÁ 3 PLAZAS / 3 SEATER SOFA SET / SET CANAPÉ 3 PLACES</t>
        </is>
      </c>
      <c r="D141" s="117" t="inlineStr">
        <is>
          <t>2026-04-17</t>
        </is>
      </c>
      <c r="E141" s="118" t="n">
        <v>2262</v>
      </c>
      <c r="F141" s="118" t="n">
        <v>3590</v>
      </c>
      <c r="G141" s="118" t="n">
        <v>4343.9</v>
      </c>
      <c r="H141" s="118" t="n">
        <v>1328</v>
      </c>
      <c r="I141" s="119" t="n">
        <v>36.991643454039</v>
      </c>
      <c r="J141" s="119" t="n">
        <v>58.70910698496905</v>
      </c>
      <c r="K141" s="120" t="n">
        <v>287</v>
      </c>
      <c r="L141" s="121" t="n">
        <v>14.53164556962025</v>
      </c>
      <c r="M141" s="120" t="n">
        <v>0</v>
      </c>
      <c r="N141" s="121" t="n">
        <v>0</v>
      </c>
    </row>
    <row r="142">
      <c r="A142" s="116" t="inlineStr">
        <is>
          <t>Hevea</t>
        </is>
      </c>
      <c r="B142" s="116" t="inlineStr">
        <is>
          <t>557-010817</t>
        </is>
      </c>
      <c r="C142" s="116" t="inlineStr">
        <is>
          <t>CUPRA-8 SET SOFÁ 3 PLAZAS / 3 SEATER SOFA SET / SET CANAPÉ 3 PLACES</t>
        </is>
      </c>
      <c r="D142" s="117" t="inlineStr">
        <is>
          <t>2026-05-07</t>
        </is>
      </c>
      <c r="E142" s="118" t="n">
        <v>2262</v>
      </c>
      <c r="F142" s="118" t="n">
        <v>3590</v>
      </c>
      <c r="G142" s="118" t="n">
        <v>4343.9</v>
      </c>
      <c r="H142" s="118" t="n">
        <v>1328</v>
      </c>
      <c r="I142" s="119" t="n">
        <v>36.991643454039</v>
      </c>
      <c r="J142" s="119" t="n">
        <v>58.70910698496905</v>
      </c>
      <c r="K142" s="120" t="n">
        <v>0</v>
      </c>
      <c r="L142" s="121" t="n">
        <v>0</v>
      </c>
      <c r="M142" s="120" t="n">
        <v>0</v>
      </c>
      <c r="N142" s="121" t="n">
        <v>0</v>
      </c>
    </row>
    <row r="143">
      <c r="A143" s="104" t="inlineStr">
        <is>
          <t>Hevea</t>
        </is>
      </c>
      <c r="B143" s="104" t="inlineStr">
        <is>
          <t>557-010879</t>
        </is>
      </c>
      <c r="C143" s="104" t="inlineStr">
        <is>
          <t>BRANDON-3 SOFA 3 PLAZAS/SOFA/CANAPÉ</t>
        </is>
      </c>
      <c r="D143" s="105" t="inlineStr">
        <is>
          <t>2026-03-06</t>
        </is>
      </c>
      <c r="E143" s="106" t="n">
        <v>1067</v>
      </c>
      <c r="F143" s="106" t="n">
        <v>1940</v>
      </c>
      <c r="G143" s="106" t="n">
        <v>2347.4</v>
      </c>
      <c r="H143" s="106" t="n">
        <v>873</v>
      </c>
      <c r="I143" s="107" t="n">
        <v>45</v>
      </c>
      <c r="J143" s="107" t="n">
        <v>81.81818181818183</v>
      </c>
      <c r="K143" s="108" t="n"/>
      <c r="L143" s="109" t="n"/>
      <c r="M143" s="108" t="n"/>
      <c r="N143" s="109" t="n"/>
    </row>
    <row r="144">
      <c r="A144" s="122" t="inlineStr">
        <is>
          <t>Hevea</t>
        </is>
      </c>
      <c r="B144" s="122" t="inlineStr">
        <is>
          <t>557-010879</t>
        </is>
      </c>
      <c r="C144" s="122" t="inlineStr">
        <is>
          <t>BRANDON-3 SOFA 3 PLAZAS/SOFA/CANAPÉ</t>
        </is>
      </c>
      <c r="D144" s="123" t="inlineStr">
        <is>
          <t>2026-04-17</t>
        </is>
      </c>
      <c r="E144" s="124" t="n">
        <v>1222</v>
      </c>
      <c r="F144" s="124" t="n">
        <v>1940</v>
      </c>
      <c r="G144" s="124" t="n">
        <v>2347.4</v>
      </c>
      <c r="H144" s="124" t="n">
        <v>718</v>
      </c>
      <c r="I144" s="125" t="n">
        <v>37.01030927835052</v>
      </c>
      <c r="J144" s="125" t="n">
        <v>58.75613747954174</v>
      </c>
      <c r="K144" s="126" t="n">
        <v>155</v>
      </c>
      <c r="L144" s="127" t="n">
        <v>14.52671040299906</v>
      </c>
      <c r="M144" s="126" t="n">
        <v>0</v>
      </c>
      <c r="N144" s="127" t="n">
        <v>0</v>
      </c>
    </row>
    <row r="145">
      <c r="A145" s="122" t="inlineStr">
        <is>
          <t>Hevea</t>
        </is>
      </c>
      <c r="B145" s="122" t="inlineStr">
        <is>
          <t>557-010879</t>
        </is>
      </c>
      <c r="C145" s="122" t="inlineStr">
        <is>
          <t>BRANDON-3 SOFA 3 PLAZAS/SOFA/CANAPÉ</t>
        </is>
      </c>
      <c r="D145" s="123" t="inlineStr">
        <is>
          <t>2026-05-07</t>
        </is>
      </c>
      <c r="E145" s="124" t="n">
        <v>1223</v>
      </c>
      <c r="F145" s="124" t="n">
        <v>1940</v>
      </c>
      <c r="G145" s="124" t="n">
        <v>2347.4</v>
      </c>
      <c r="H145" s="124" t="n">
        <v>717</v>
      </c>
      <c r="I145" s="125" t="n">
        <v>36.95876288659794</v>
      </c>
      <c r="J145" s="125" t="n">
        <v>58.62632869991823</v>
      </c>
      <c r="K145" s="126" t="n">
        <v>1</v>
      </c>
      <c r="L145" s="127" t="n">
        <v>0.08183306055646482</v>
      </c>
      <c r="M145" s="126" t="n">
        <v>0</v>
      </c>
      <c r="N145" s="127" t="n">
        <v>0</v>
      </c>
    </row>
    <row r="146">
      <c r="A146" s="110" t="inlineStr">
        <is>
          <t>Hevea</t>
        </is>
      </c>
      <c r="B146" s="110" t="inlineStr">
        <is>
          <t>557-010881</t>
        </is>
      </c>
      <c r="C146" s="110" t="inlineStr">
        <is>
          <t>BRANDON-1 SILLON/ARMCHAIR/FAUTEUIL</t>
        </is>
      </c>
      <c r="D146" s="111" t="inlineStr">
        <is>
          <t>2026-03-06</t>
        </is>
      </c>
      <c r="E146" s="112" t="n">
        <v>539</v>
      </c>
      <c r="F146" s="112" t="n">
        <v>980</v>
      </c>
      <c r="G146" s="112" t="n">
        <v>1185.8</v>
      </c>
      <c r="H146" s="112" t="n">
        <v>441</v>
      </c>
      <c r="I146" s="113" t="n">
        <v>45</v>
      </c>
      <c r="J146" s="113" t="n">
        <v>81.81818181818183</v>
      </c>
      <c r="K146" s="114" t="n"/>
      <c r="L146" s="115" t="n"/>
      <c r="M146" s="114" t="n"/>
      <c r="N146" s="115" t="n"/>
    </row>
    <row r="147">
      <c r="A147" s="116" t="inlineStr">
        <is>
          <t>Hevea</t>
        </is>
      </c>
      <c r="B147" s="116" t="inlineStr">
        <is>
          <t>557-010881</t>
        </is>
      </c>
      <c r="C147" s="116" t="inlineStr">
        <is>
          <t>BRANDON-1 SILLON/ARMCHAIR/FAUTEUIL</t>
        </is>
      </c>
      <c r="D147" s="117" t="inlineStr">
        <is>
          <t>2026-04-17</t>
        </is>
      </c>
      <c r="E147" s="118" t="n">
        <v>617</v>
      </c>
      <c r="F147" s="118" t="n">
        <v>980</v>
      </c>
      <c r="G147" s="118" t="n">
        <v>1185.8</v>
      </c>
      <c r="H147" s="118" t="n">
        <v>363</v>
      </c>
      <c r="I147" s="119" t="n">
        <v>37.04081632653061</v>
      </c>
      <c r="J147" s="119" t="n">
        <v>58.83306320907617</v>
      </c>
      <c r="K147" s="120" t="n">
        <v>78</v>
      </c>
      <c r="L147" s="121" t="n">
        <v>14.47124304267161</v>
      </c>
      <c r="M147" s="120" t="n">
        <v>0</v>
      </c>
      <c r="N147" s="121" t="n">
        <v>0</v>
      </c>
    </row>
    <row r="148">
      <c r="A148" s="116" t="inlineStr">
        <is>
          <t>Hevea</t>
        </is>
      </c>
      <c r="B148" s="116" t="inlineStr">
        <is>
          <t>557-010881</t>
        </is>
      </c>
      <c r="C148" s="116" t="inlineStr">
        <is>
          <t>BRANDON-1 SILLON/ARMCHAIR/FAUTEUIL</t>
        </is>
      </c>
      <c r="D148" s="117" t="inlineStr">
        <is>
          <t>2026-05-07</t>
        </is>
      </c>
      <c r="E148" s="118" t="n">
        <v>618</v>
      </c>
      <c r="F148" s="118" t="n">
        <v>980</v>
      </c>
      <c r="G148" s="118" t="n">
        <v>1185.8</v>
      </c>
      <c r="H148" s="118" t="n">
        <v>362</v>
      </c>
      <c r="I148" s="119" t="n">
        <v>36.93877551020408</v>
      </c>
      <c r="J148" s="119" t="n">
        <v>58.57605177993528</v>
      </c>
      <c r="K148" s="120" t="n">
        <v>1</v>
      </c>
      <c r="L148" s="121" t="n">
        <v>0.1620745542949757</v>
      </c>
      <c r="M148" s="120" t="n">
        <v>0</v>
      </c>
      <c r="N148" s="121" t="n">
        <v>0</v>
      </c>
    </row>
    <row r="149">
      <c r="A149" s="104" t="inlineStr">
        <is>
          <t>Hevea</t>
        </is>
      </c>
      <c r="B149" s="104" t="inlineStr">
        <is>
          <t>557-010882</t>
        </is>
      </c>
      <c r="C149" s="104" t="inlineStr">
        <is>
          <t>BRANDON-2 SOFA 2 PLAZAS/SOFA/CANAPÉ</t>
        </is>
      </c>
      <c r="D149" s="105" t="inlineStr">
        <is>
          <t>2026-03-06</t>
        </is>
      </c>
      <c r="E149" s="106" t="n">
        <v>809</v>
      </c>
      <c r="F149" s="106" t="n">
        <v>1470</v>
      </c>
      <c r="G149" s="106" t="n">
        <v>1778.7</v>
      </c>
      <c r="H149" s="106" t="n">
        <v>661</v>
      </c>
      <c r="I149" s="107" t="n">
        <v>44.96598639455782</v>
      </c>
      <c r="J149" s="107" t="n">
        <v>81.70580964153275</v>
      </c>
      <c r="K149" s="108" t="n"/>
      <c r="L149" s="109" t="n"/>
      <c r="M149" s="108" t="n"/>
      <c r="N149" s="109" t="n"/>
    </row>
    <row r="150">
      <c r="A150" s="122" t="inlineStr">
        <is>
          <t>Hevea</t>
        </is>
      </c>
      <c r="B150" s="122" t="inlineStr">
        <is>
          <t>557-010882</t>
        </is>
      </c>
      <c r="C150" s="122" t="inlineStr">
        <is>
          <t>BRANDON-2 SOFA 2 PLAZAS/SOFA/CANAPÉ</t>
        </is>
      </c>
      <c r="D150" s="123" t="inlineStr">
        <is>
          <t>2026-04-17</t>
        </is>
      </c>
      <c r="E150" s="124" t="n">
        <v>926</v>
      </c>
      <c r="F150" s="124" t="n">
        <v>1470</v>
      </c>
      <c r="G150" s="124" t="n">
        <v>1778.7</v>
      </c>
      <c r="H150" s="124" t="n">
        <v>544</v>
      </c>
      <c r="I150" s="125" t="n">
        <v>37.00680272108843</v>
      </c>
      <c r="J150" s="125" t="n">
        <v>58.74730021598273</v>
      </c>
      <c r="K150" s="126" t="n">
        <v>117</v>
      </c>
      <c r="L150" s="127" t="n">
        <v>14.46229913473424</v>
      </c>
      <c r="M150" s="126" t="n">
        <v>0</v>
      </c>
      <c r="N150" s="127" t="n">
        <v>0</v>
      </c>
    </row>
    <row r="151">
      <c r="A151" s="122" t="inlineStr">
        <is>
          <t>Hevea</t>
        </is>
      </c>
      <c r="B151" s="122" t="inlineStr">
        <is>
          <t>557-010882</t>
        </is>
      </c>
      <c r="C151" s="122" t="inlineStr">
        <is>
          <t>BRANDON-2 SOFA 2 PLAZAS/SOFA/CANAPÉ</t>
        </is>
      </c>
      <c r="D151" s="123" t="inlineStr">
        <is>
          <t>2026-05-07</t>
        </is>
      </c>
      <c r="E151" s="124" t="n">
        <v>927</v>
      </c>
      <c r="F151" s="124" t="n">
        <v>1470</v>
      </c>
      <c r="G151" s="124" t="n">
        <v>1778.7</v>
      </c>
      <c r="H151" s="124" t="n">
        <v>543</v>
      </c>
      <c r="I151" s="125" t="n">
        <v>36.93877551020408</v>
      </c>
      <c r="J151" s="125" t="n">
        <v>58.57605177993528</v>
      </c>
      <c r="K151" s="126" t="n">
        <v>1</v>
      </c>
      <c r="L151" s="127" t="n">
        <v>0.1079913606911447</v>
      </c>
      <c r="M151" s="126" t="n">
        <v>0</v>
      </c>
      <c r="N151" s="127" t="n">
        <v>0</v>
      </c>
    </row>
    <row r="152">
      <c r="A152" s="110" t="inlineStr">
        <is>
          <t>Hevea</t>
        </is>
      </c>
      <c r="B152" s="110" t="inlineStr">
        <is>
          <t>557-010884</t>
        </is>
      </c>
      <c r="C152" s="110" t="inlineStr">
        <is>
          <t>BRANDON-7 SET SOFA 2 PLAZAS/SOFA/CANAPÉ</t>
        </is>
      </c>
      <c r="D152" s="111" t="inlineStr">
        <is>
          <t>2026-03-06</t>
        </is>
      </c>
      <c r="E152" s="112" t="n">
        <v>2126</v>
      </c>
      <c r="F152" s="112" t="n">
        <v>3865</v>
      </c>
      <c r="G152" s="112" t="n">
        <v>4676.65</v>
      </c>
      <c r="H152" s="112" t="n">
        <v>1739</v>
      </c>
      <c r="I152" s="113" t="n">
        <v>44.99353169469599</v>
      </c>
      <c r="J152" s="113" t="n">
        <v>81.79680150517403</v>
      </c>
      <c r="K152" s="114" t="n"/>
      <c r="L152" s="115" t="n"/>
      <c r="M152" s="114" t="n"/>
      <c r="N152" s="115" t="n"/>
    </row>
    <row r="153">
      <c r="A153" s="116" t="inlineStr">
        <is>
          <t>Hevea</t>
        </is>
      </c>
      <c r="B153" s="116" t="inlineStr">
        <is>
          <t>557-010884</t>
        </is>
      </c>
      <c r="C153" s="116" t="inlineStr">
        <is>
          <t>BRANDON-7 SET SOFA 2 PLAZAS/SOFA/CANAPÉ</t>
        </is>
      </c>
      <c r="D153" s="117" t="inlineStr">
        <is>
          <t>2026-04-17</t>
        </is>
      </c>
      <c r="E153" s="118" t="n">
        <v>2435</v>
      </c>
      <c r="F153" s="118" t="n">
        <v>3865</v>
      </c>
      <c r="G153" s="118" t="n">
        <v>4676.65</v>
      </c>
      <c r="H153" s="118" t="n">
        <v>1430</v>
      </c>
      <c r="I153" s="119" t="n">
        <v>36.99870633893919</v>
      </c>
      <c r="J153" s="119" t="n">
        <v>58.72689938398358</v>
      </c>
      <c r="K153" s="120" t="n">
        <v>309</v>
      </c>
      <c r="L153" s="121" t="n">
        <v>14.5343367826905</v>
      </c>
      <c r="M153" s="120" t="n">
        <v>0</v>
      </c>
      <c r="N153" s="121" t="n">
        <v>0</v>
      </c>
    </row>
    <row r="154">
      <c r="A154" s="116" t="inlineStr">
        <is>
          <t>Hevea</t>
        </is>
      </c>
      <c r="B154" s="116" t="inlineStr">
        <is>
          <t>557-010884</t>
        </is>
      </c>
      <c r="C154" s="116" t="inlineStr">
        <is>
          <t>BRANDON-7 SET SOFA 2 PLAZAS/SOFA/CANAPÉ</t>
        </is>
      </c>
      <c r="D154" s="117" t="inlineStr">
        <is>
          <t>2026-05-07</t>
        </is>
      </c>
      <c r="E154" s="118" t="n">
        <v>2435</v>
      </c>
      <c r="F154" s="118" t="n">
        <v>3865</v>
      </c>
      <c r="G154" s="118" t="n">
        <v>4676.65</v>
      </c>
      <c r="H154" s="118" t="n">
        <v>1430</v>
      </c>
      <c r="I154" s="119" t="n">
        <v>36.99870633893919</v>
      </c>
      <c r="J154" s="119" t="n">
        <v>58.72689938398358</v>
      </c>
      <c r="K154" s="120" t="n">
        <v>0</v>
      </c>
      <c r="L154" s="121" t="n">
        <v>0</v>
      </c>
      <c r="M154" s="120" t="n">
        <v>0</v>
      </c>
      <c r="N154" s="121" t="n">
        <v>0</v>
      </c>
    </row>
    <row r="155">
      <c r="A155" s="104" t="inlineStr">
        <is>
          <t>Hevea</t>
        </is>
      </c>
      <c r="B155" s="104" t="inlineStr">
        <is>
          <t>557-010884</t>
        </is>
      </c>
      <c r="C155" s="104" t="inlineStr">
        <is>
          <t>LUNA-44 SET MESAS CENTRO 80 + 60</t>
        </is>
      </c>
      <c r="D155" s="105" t="inlineStr">
        <is>
          <t>2026-03-06</t>
        </is>
      </c>
      <c r="E155" s="106" t="n">
        <v>240</v>
      </c>
      <c r="F155" s="106" t="n">
        <v>435</v>
      </c>
      <c r="G155" s="106" t="n">
        <v>526.35</v>
      </c>
      <c r="H155" s="106" t="n">
        <v>195</v>
      </c>
      <c r="I155" s="107" t="n">
        <v>44.82758620689656</v>
      </c>
      <c r="J155" s="107" t="n">
        <v>81.25</v>
      </c>
      <c r="K155" s="108" t="n"/>
      <c r="L155" s="109" t="n"/>
      <c r="M155" s="108" t="n"/>
      <c r="N155" s="109" t="n"/>
    </row>
    <row r="156">
      <c r="A156" s="122" t="inlineStr">
        <is>
          <t>Hevea</t>
        </is>
      </c>
      <c r="B156" s="122" t="inlineStr">
        <is>
          <t>557-010884</t>
        </is>
      </c>
      <c r="C156" s="122" t="inlineStr">
        <is>
          <t>LUNA-44 SET MESAS CENTRO 80 + 60</t>
        </is>
      </c>
      <c r="D156" s="123" t="inlineStr">
        <is>
          <t>2026-04-17</t>
        </is>
      </c>
      <c r="E156" s="124" t="n">
        <v>274</v>
      </c>
      <c r="F156" s="124" t="n">
        <v>435</v>
      </c>
      <c r="G156" s="124" t="n">
        <v>526.35</v>
      </c>
      <c r="H156" s="124" t="n">
        <v>161</v>
      </c>
      <c r="I156" s="125" t="n">
        <v>37.01149425287356</v>
      </c>
      <c r="J156" s="125" t="n">
        <v>58.75912408759124</v>
      </c>
      <c r="K156" s="126" t="n">
        <v>34</v>
      </c>
      <c r="L156" s="127" t="n">
        <v>14.16666666666667</v>
      </c>
      <c r="M156" s="126" t="n">
        <v>0</v>
      </c>
      <c r="N156" s="127" t="n">
        <v>0</v>
      </c>
    </row>
    <row r="157">
      <c r="A157" s="122" t="inlineStr">
        <is>
          <t>Hevea</t>
        </is>
      </c>
      <c r="B157" s="122" t="inlineStr">
        <is>
          <t>557-010884</t>
        </is>
      </c>
      <c r="C157" s="122" t="inlineStr">
        <is>
          <t>LUNA-44 SET MESAS CENTRO 80 + 60</t>
        </is>
      </c>
      <c r="D157" s="123" t="inlineStr">
        <is>
          <t>2026-05-07</t>
        </is>
      </c>
      <c r="E157" s="124" t="n">
        <v>275</v>
      </c>
      <c r="F157" s="124" t="n">
        <v>435</v>
      </c>
      <c r="G157" s="124" t="n">
        <v>526.35</v>
      </c>
      <c r="H157" s="124" t="n">
        <v>160</v>
      </c>
      <c r="I157" s="125" t="n">
        <v>36.7816091954023</v>
      </c>
      <c r="J157" s="125" t="n">
        <v>58.18181818181818</v>
      </c>
      <c r="K157" s="126" t="n">
        <v>1</v>
      </c>
      <c r="L157" s="127" t="n">
        <v>0.364963503649635</v>
      </c>
      <c r="M157" s="126" t="n">
        <v>0</v>
      </c>
      <c r="N157" s="127" t="n">
        <v>0</v>
      </c>
    </row>
    <row r="158">
      <c r="A158" s="110" t="inlineStr">
        <is>
          <t>Hevea</t>
        </is>
      </c>
      <c r="B158" s="110" t="inlineStr">
        <is>
          <t>557-010885</t>
        </is>
      </c>
      <c r="C158" s="110" t="inlineStr">
        <is>
          <t>BRANDON-8 SET SOFA 3 PLAZAS/SOFA/CANAPÉ</t>
        </is>
      </c>
      <c r="D158" s="111" t="inlineStr">
        <is>
          <t>2026-03-06</t>
        </is>
      </c>
      <c r="E158" s="112" t="n">
        <v>2385</v>
      </c>
      <c r="F158" s="112" t="n">
        <v>4335</v>
      </c>
      <c r="G158" s="112" t="n">
        <v>5245.35</v>
      </c>
      <c r="H158" s="112" t="n">
        <v>1950</v>
      </c>
      <c r="I158" s="113" t="n">
        <v>44.98269896193771</v>
      </c>
      <c r="J158" s="113" t="n">
        <v>81.76100628930818</v>
      </c>
      <c r="K158" s="114" t="n"/>
      <c r="L158" s="115" t="n"/>
      <c r="M158" s="114" t="n"/>
      <c r="N158" s="115" t="n"/>
    </row>
    <row r="159">
      <c r="A159" s="116" t="inlineStr">
        <is>
          <t>Hevea</t>
        </is>
      </c>
      <c r="B159" s="116" t="inlineStr">
        <is>
          <t>557-010885</t>
        </is>
      </c>
      <c r="C159" s="116" t="inlineStr">
        <is>
          <t>BRANDON-8 SET SOFA 3 PLAZAS/SOFA/CANAPÉ</t>
        </is>
      </c>
      <c r="D159" s="117" t="inlineStr">
        <is>
          <t>2026-04-17</t>
        </is>
      </c>
      <c r="E159" s="118" t="n">
        <v>2731</v>
      </c>
      <c r="F159" s="118" t="n">
        <v>4335</v>
      </c>
      <c r="G159" s="118" t="n">
        <v>5245.35</v>
      </c>
      <c r="H159" s="118" t="n">
        <v>1604</v>
      </c>
      <c r="I159" s="119" t="n">
        <v>37.00115340253748</v>
      </c>
      <c r="J159" s="119" t="n">
        <v>58.73306481142438</v>
      </c>
      <c r="K159" s="120" t="n">
        <v>346</v>
      </c>
      <c r="L159" s="121" t="n">
        <v>14.50733752620545</v>
      </c>
      <c r="M159" s="120" t="n">
        <v>0</v>
      </c>
      <c r="N159" s="121" t="n">
        <v>0</v>
      </c>
    </row>
    <row r="160">
      <c r="A160" s="116" t="inlineStr">
        <is>
          <t>Hevea</t>
        </is>
      </c>
      <c r="B160" s="116" t="inlineStr">
        <is>
          <t>557-010885</t>
        </is>
      </c>
      <c r="C160" s="116" t="inlineStr">
        <is>
          <t>BRANDON-8 SET SOFA 3 PLAZAS/SOFA/CANAPÉ</t>
        </is>
      </c>
      <c r="D160" s="117" t="inlineStr">
        <is>
          <t>2026-05-07</t>
        </is>
      </c>
      <c r="E160" s="118" t="n">
        <v>2732</v>
      </c>
      <c r="F160" s="118" t="n">
        <v>4335</v>
      </c>
      <c r="G160" s="118" t="n">
        <v>5245.35</v>
      </c>
      <c r="H160" s="118" t="n">
        <v>1603</v>
      </c>
      <c r="I160" s="119" t="n">
        <v>36.97808535178778</v>
      </c>
      <c r="J160" s="119" t="n">
        <v>58.67496339677891</v>
      </c>
      <c r="K160" s="120" t="n">
        <v>1</v>
      </c>
      <c r="L160" s="121" t="n">
        <v>0.03661662394727206</v>
      </c>
      <c r="M160" s="120" t="n">
        <v>0</v>
      </c>
      <c r="N160" s="121" t="n">
        <v>0</v>
      </c>
    </row>
    <row r="161">
      <c r="A161" s="104" t="inlineStr">
        <is>
          <t>Hevea</t>
        </is>
      </c>
      <c r="B161" s="104" t="inlineStr">
        <is>
          <t>557-010935</t>
        </is>
      </c>
      <c r="C161" s="104" t="inlineStr">
        <is>
          <t>DAMASCO-1 SILLON/ARMCHAIR/FAUTEUIL</t>
        </is>
      </c>
      <c r="D161" s="105" t="inlineStr">
        <is>
          <t>2026-03-06</t>
        </is>
      </c>
      <c r="E161" s="106" t="n">
        <v>361</v>
      </c>
      <c r="F161" s="106" t="n">
        <v>655</v>
      </c>
      <c r="G161" s="106" t="n">
        <v>792.55</v>
      </c>
      <c r="H161" s="106" t="n">
        <v>294</v>
      </c>
      <c r="I161" s="107" t="n">
        <v>44.88549618320611</v>
      </c>
      <c r="J161" s="107" t="n">
        <v>81.4404432132964</v>
      </c>
      <c r="K161" s="108" t="n"/>
      <c r="L161" s="109" t="n"/>
      <c r="M161" s="108" t="n"/>
      <c r="N161" s="109" t="n"/>
    </row>
    <row r="162">
      <c r="A162" s="122" t="inlineStr">
        <is>
          <t>Hevea</t>
        </is>
      </c>
      <c r="B162" s="122" t="inlineStr">
        <is>
          <t>557-010935</t>
        </is>
      </c>
      <c r="C162" s="122" t="inlineStr">
        <is>
          <t>DAMASCO-1 SILLON/ARMCHAIR/FAUTEUIL</t>
        </is>
      </c>
      <c r="D162" s="123" t="inlineStr">
        <is>
          <t>2026-04-17</t>
        </is>
      </c>
      <c r="E162" s="124" t="n">
        <v>413</v>
      </c>
      <c r="F162" s="124" t="n">
        <v>655</v>
      </c>
      <c r="G162" s="124" t="n">
        <v>792.55</v>
      </c>
      <c r="H162" s="124" t="n">
        <v>242</v>
      </c>
      <c r="I162" s="125" t="n">
        <v>36.94656488549619</v>
      </c>
      <c r="J162" s="125" t="n">
        <v>58.59564164648911</v>
      </c>
      <c r="K162" s="126" t="n">
        <v>52</v>
      </c>
      <c r="L162" s="127" t="n">
        <v>14.40443213296399</v>
      </c>
      <c r="M162" s="126" t="n">
        <v>0</v>
      </c>
      <c r="N162" s="127" t="n">
        <v>0</v>
      </c>
    </row>
    <row r="163">
      <c r="A163" s="122" t="inlineStr">
        <is>
          <t>Hevea</t>
        </is>
      </c>
      <c r="B163" s="122" t="inlineStr">
        <is>
          <t>557-010935</t>
        </is>
      </c>
      <c r="C163" s="122" t="inlineStr">
        <is>
          <t>DAMASCO-1 SILLON/ARMCHAIR/FAUTEUIL</t>
        </is>
      </c>
      <c r="D163" s="123" t="inlineStr">
        <is>
          <t>2026-05-07</t>
        </is>
      </c>
      <c r="E163" s="124" t="n">
        <v>413</v>
      </c>
      <c r="F163" s="124" t="n">
        <v>655</v>
      </c>
      <c r="G163" s="124" t="n">
        <v>792.55</v>
      </c>
      <c r="H163" s="124" t="n">
        <v>242</v>
      </c>
      <c r="I163" s="125" t="n">
        <v>36.94656488549619</v>
      </c>
      <c r="J163" s="125" t="n">
        <v>58.59564164648911</v>
      </c>
      <c r="K163" s="126" t="n">
        <v>0</v>
      </c>
      <c r="L163" s="127" t="n">
        <v>0</v>
      </c>
      <c r="M163" s="126" t="n">
        <v>0</v>
      </c>
      <c r="N163" s="127" t="n">
        <v>0</v>
      </c>
    </row>
    <row r="164">
      <c r="A164" s="110" t="inlineStr">
        <is>
          <t>Hevea</t>
        </is>
      </c>
      <c r="B164" s="110" t="inlineStr">
        <is>
          <t>557-010936</t>
        </is>
      </c>
      <c r="C164" s="110" t="inlineStr">
        <is>
          <t>DAMASCO-2 SOFA 2 PLAZAS/SOFA/CANAPÉ</t>
        </is>
      </c>
      <c r="D164" s="111" t="inlineStr">
        <is>
          <t>2026-03-06</t>
        </is>
      </c>
      <c r="E164" s="112" t="n">
        <v>531</v>
      </c>
      <c r="F164" s="112" t="n">
        <v>965</v>
      </c>
      <c r="G164" s="112" t="n">
        <v>1167.65</v>
      </c>
      <c r="H164" s="112" t="n">
        <v>434</v>
      </c>
      <c r="I164" s="113" t="n">
        <v>44.97409326424871</v>
      </c>
      <c r="J164" s="113" t="n">
        <v>81.73258003766477</v>
      </c>
      <c r="K164" s="114" t="n"/>
      <c r="L164" s="115" t="n"/>
      <c r="M164" s="114" t="n"/>
      <c r="N164" s="115" t="n"/>
    </row>
    <row r="165">
      <c r="A165" s="116" t="inlineStr">
        <is>
          <t>Hevea</t>
        </is>
      </c>
      <c r="B165" s="116" t="inlineStr">
        <is>
          <t>557-010936</t>
        </is>
      </c>
      <c r="C165" s="116" t="inlineStr">
        <is>
          <t>DAMASCO-2 SOFA 2 PLAZAS/SOFA/CANAPÉ</t>
        </is>
      </c>
      <c r="D165" s="117" t="inlineStr">
        <is>
          <t>2026-04-17</t>
        </is>
      </c>
      <c r="E165" s="118" t="n">
        <v>608</v>
      </c>
      <c r="F165" s="118" t="n">
        <v>965</v>
      </c>
      <c r="G165" s="118" t="n">
        <v>1167.65</v>
      </c>
      <c r="H165" s="118" t="n">
        <v>357</v>
      </c>
      <c r="I165" s="119" t="n">
        <v>36.99481865284974</v>
      </c>
      <c r="J165" s="119" t="n">
        <v>58.7171052631579</v>
      </c>
      <c r="K165" s="120" t="n">
        <v>77</v>
      </c>
      <c r="L165" s="121" t="n">
        <v>14.50094161958569</v>
      </c>
      <c r="M165" s="120" t="n">
        <v>0</v>
      </c>
      <c r="N165" s="121" t="n">
        <v>0</v>
      </c>
    </row>
    <row r="166">
      <c r="A166" s="116" t="inlineStr">
        <is>
          <t>Hevea</t>
        </is>
      </c>
      <c r="B166" s="116" t="inlineStr">
        <is>
          <t>557-010936</t>
        </is>
      </c>
      <c r="C166" s="116" t="inlineStr">
        <is>
          <t>DAMASCO-2 SOFA 2 PLAZAS/SOFA/CANAPÉ</t>
        </is>
      </c>
      <c r="D166" s="117" t="inlineStr">
        <is>
          <t>2026-05-07</t>
        </is>
      </c>
      <c r="E166" s="118" t="n">
        <v>608</v>
      </c>
      <c r="F166" s="118" t="n">
        <v>965</v>
      </c>
      <c r="G166" s="118" t="n">
        <v>1167.65</v>
      </c>
      <c r="H166" s="118" t="n">
        <v>357</v>
      </c>
      <c r="I166" s="119" t="n">
        <v>36.99481865284974</v>
      </c>
      <c r="J166" s="119" t="n">
        <v>58.7171052631579</v>
      </c>
      <c r="K166" s="120" t="n">
        <v>0</v>
      </c>
      <c r="L166" s="121" t="n">
        <v>0</v>
      </c>
      <c r="M166" s="120" t="n">
        <v>0</v>
      </c>
      <c r="N166" s="121" t="n">
        <v>0</v>
      </c>
    </row>
    <row r="167">
      <c r="A167" s="104" t="inlineStr">
        <is>
          <t>Hevea</t>
        </is>
      </c>
      <c r="B167" s="104" t="inlineStr">
        <is>
          <t>557-010937</t>
        </is>
      </c>
      <c r="C167" s="104" t="inlineStr">
        <is>
          <t>DAMASCO-3 SOFA 3 PLAZAS/SOFA/CANAPÉ</t>
        </is>
      </c>
      <c r="D167" s="105" t="inlineStr">
        <is>
          <t>2026-03-06</t>
        </is>
      </c>
      <c r="E167" s="106" t="n">
        <v>674</v>
      </c>
      <c r="F167" s="106" t="n">
        <v>1225</v>
      </c>
      <c r="G167" s="106" t="n">
        <v>1482.25</v>
      </c>
      <c r="H167" s="106" t="n">
        <v>551</v>
      </c>
      <c r="I167" s="107" t="n">
        <v>44.97959183673469</v>
      </c>
      <c r="J167" s="107" t="n">
        <v>81.75074183976261</v>
      </c>
      <c r="K167" s="108" t="n"/>
      <c r="L167" s="109" t="n"/>
      <c r="M167" s="108" t="n"/>
      <c r="N167" s="109" t="n"/>
    </row>
    <row r="168">
      <c r="A168" s="122" t="inlineStr">
        <is>
          <t>Hevea</t>
        </is>
      </c>
      <c r="B168" s="122" t="inlineStr">
        <is>
          <t>557-010937</t>
        </is>
      </c>
      <c r="C168" s="122" t="inlineStr">
        <is>
          <t>DAMASCO-3 SOFA 3 PLAZAS/SOFA/CANAPÉ</t>
        </is>
      </c>
      <c r="D168" s="123" t="inlineStr">
        <is>
          <t>2026-04-17</t>
        </is>
      </c>
      <c r="E168" s="124" t="n">
        <v>772</v>
      </c>
      <c r="F168" s="124" t="n">
        <v>1225</v>
      </c>
      <c r="G168" s="124" t="n">
        <v>1482.25</v>
      </c>
      <c r="H168" s="124" t="n">
        <v>453</v>
      </c>
      <c r="I168" s="125" t="n">
        <v>36.97959183673469</v>
      </c>
      <c r="J168" s="125" t="n">
        <v>58.67875647668394</v>
      </c>
      <c r="K168" s="126" t="n">
        <v>98</v>
      </c>
      <c r="L168" s="127" t="n">
        <v>14.54005934718101</v>
      </c>
      <c r="M168" s="126" t="n">
        <v>0</v>
      </c>
      <c r="N168" s="127" t="n">
        <v>0</v>
      </c>
    </row>
    <row r="169">
      <c r="A169" s="122" t="inlineStr">
        <is>
          <t>Hevea</t>
        </is>
      </c>
      <c r="B169" s="122" t="inlineStr">
        <is>
          <t>557-010937</t>
        </is>
      </c>
      <c r="C169" s="122" t="inlineStr">
        <is>
          <t>DAMASCO-3 SOFA 3 PLAZAS/SOFA/CANAPÉ</t>
        </is>
      </c>
      <c r="D169" s="123" t="inlineStr">
        <is>
          <t>2026-05-07</t>
        </is>
      </c>
      <c r="E169" s="124" t="n">
        <v>772</v>
      </c>
      <c r="F169" s="124" t="n">
        <v>1225</v>
      </c>
      <c r="G169" s="124" t="n">
        <v>1482.25</v>
      </c>
      <c r="H169" s="124" t="n">
        <v>453</v>
      </c>
      <c r="I169" s="125" t="n">
        <v>36.97959183673469</v>
      </c>
      <c r="J169" s="125" t="n">
        <v>58.67875647668394</v>
      </c>
      <c r="K169" s="126" t="n">
        <v>0</v>
      </c>
      <c r="L169" s="127" t="n">
        <v>0</v>
      </c>
      <c r="M169" s="126" t="n">
        <v>0</v>
      </c>
      <c r="N169" s="127" t="n">
        <v>0</v>
      </c>
    </row>
    <row r="170">
      <c r="A170" s="110" t="inlineStr">
        <is>
          <t>Hevea</t>
        </is>
      </c>
      <c r="B170" s="110" t="inlineStr">
        <is>
          <t>557-010938</t>
        </is>
      </c>
      <c r="C170" s="110" t="inlineStr">
        <is>
          <t>SET DAMASCO 7 / 2 SEATER SOFA SET / SET CANAPÉ 2 PLACES</t>
        </is>
      </c>
      <c r="D170" s="111" t="inlineStr">
        <is>
          <t>2026-03-06</t>
        </is>
      </c>
      <c r="E170" s="112" t="n">
        <v>1406</v>
      </c>
      <c r="F170" s="112" t="n">
        <v>2555</v>
      </c>
      <c r="G170" s="112" t="n">
        <v>3091.55</v>
      </c>
      <c r="H170" s="112" t="n">
        <v>1149</v>
      </c>
      <c r="I170" s="113" t="n">
        <v>44.9706457925636</v>
      </c>
      <c r="J170" s="113" t="n">
        <v>81.72119487908962</v>
      </c>
      <c r="K170" s="114" t="n"/>
      <c r="L170" s="115" t="n"/>
      <c r="M170" s="114" t="n"/>
      <c r="N170" s="115" t="n"/>
    </row>
    <row r="171">
      <c r="A171" s="116" t="inlineStr">
        <is>
          <t>Hevea</t>
        </is>
      </c>
      <c r="B171" s="116" t="inlineStr">
        <is>
          <t>557-010938</t>
        </is>
      </c>
      <c r="C171" s="116" t="inlineStr">
        <is>
          <t>SET DAMASCO 7 / 2 SEATER SOFA SET / SET CANAPÉ 2 PLACES</t>
        </is>
      </c>
      <c r="D171" s="117" t="inlineStr">
        <is>
          <t>2026-04-17</t>
        </is>
      </c>
      <c r="E171" s="118" t="n">
        <v>1610</v>
      </c>
      <c r="F171" s="118" t="n">
        <v>2555</v>
      </c>
      <c r="G171" s="118" t="n">
        <v>3091.55</v>
      </c>
      <c r="H171" s="118" t="n">
        <v>945</v>
      </c>
      <c r="I171" s="119" t="n">
        <v>36.98630136986301</v>
      </c>
      <c r="J171" s="119" t="n">
        <v>58.69565217391305</v>
      </c>
      <c r="K171" s="120" t="n">
        <v>204</v>
      </c>
      <c r="L171" s="121" t="n">
        <v>14.50924608819346</v>
      </c>
      <c r="M171" s="120" t="n">
        <v>0</v>
      </c>
      <c r="N171" s="121" t="n">
        <v>0</v>
      </c>
    </row>
    <row r="172">
      <c r="A172" s="116" t="inlineStr">
        <is>
          <t>Hevea</t>
        </is>
      </c>
      <c r="B172" s="116" t="inlineStr">
        <is>
          <t>557-010938</t>
        </is>
      </c>
      <c r="C172" s="116" t="inlineStr">
        <is>
          <t>SET DAMASCO 7 / 2 SEATER SOFA SET / SET CANAPÉ 2 PLACES</t>
        </is>
      </c>
      <c r="D172" s="117" t="inlineStr">
        <is>
          <t>2026-05-07</t>
        </is>
      </c>
      <c r="E172" s="118" t="n">
        <v>1610</v>
      </c>
      <c r="F172" s="118" t="n">
        <v>2555</v>
      </c>
      <c r="G172" s="118" t="n">
        <v>3091.55</v>
      </c>
      <c r="H172" s="118" t="n">
        <v>945</v>
      </c>
      <c r="I172" s="119" t="n">
        <v>36.98630136986301</v>
      </c>
      <c r="J172" s="119" t="n">
        <v>58.69565217391305</v>
      </c>
      <c r="K172" s="120" t="n">
        <v>0</v>
      </c>
      <c r="L172" s="121" t="n">
        <v>0</v>
      </c>
      <c r="M172" s="120" t="n">
        <v>0</v>
      </c>
      <c r="N172" s="121" t="n">
        <v>0</v>
      </c>
    </row>
    <row r="173">
      <c r="A173" s="104" t="inlineStr">
        <is>
          <t>Hevea</t>
        </is>
      </c>
      <c r="B173" s="104" t="inlineStr">
        <is>
          <t>557-010939</t>
        </is>
      </c>
      <c r="C173" s="104" t="inlineStr">
        <is>
          <t>SET DAMASCO 8 / 3 SEATER SOFA SET / SET CANAPÉ 3 PLACES</t>
        </is>
      </c>
      <c r="D173" s="105" t="inlineStr">
        <is>
          <t>2026-03-06</t>
        </is>
      </c>
      <c r="E173" s="106" t="n">
        <v>1609</v>
      </c>
      <c r="F173" s="106" t="n">
        <v>2925</v>
      </c>
      <c r="G173" s="106" t="n">
        <v>3539.25</v>
      </c>
      <c r="H173" s="106" t="n">
        <v>1316</v>
      </c>
      <c r="I173" s="107" t="n">
        <v>44.99145299145299</v>
      </c>
      <c r="J173" s="107" t="n">
        <v>81.78993163455563</v>
      </c>
      <c r="K173" s="108" t="n"/>
      <c r="L173" s="109" t="n"/>
      <c r="M173" s="108" t="n"/>
      <c r="N173" s="109" t="n"/>
    </row>
    <row r="174">
      <c r="A174" s="122" t="inlineStr">
        <is>
          <t>Hevea</t>
        </is>
      </c>
      <c r="B174" s="122" t="inlineStr">
        <is>
          <t>557-010939</t>
        </is>
      </c>
      <c r="C174" s="122" t="inlineStr">
        <is>
          <t>SET DAMASCO 8 / 3 SEATER SOFA SET / SET CANAPÉ 3 PLACES</t>
        </is>
      </c>
      <c r="D174" s="123" t="inlineStr">
        <is>
          <t>2026-04-17</t>
        </is>
      </c>
      <c r="E174" s="124" t="n">
        <v>1843</v>
      </c>
      <c r="F174" s="124" t="n">
        <v>2925</v>
      </c>
      <c r="G174" s="124" t="n">
        <v>3539.25</v>
      </c>
      <c r="H174" s="124" t="n">
        <v>1082</v>
      </c>
      <c r="I174" s="125" t="n">
        <v>36.99145299145299</v>
      </c>
      <c r="J174" s="125" t="n">
        <v>58.70862723819859</v>
      </c>
      <c r="K174" s="126" t="n">
        <v>234</v>
      </c>
      <c r="L174" s="127" t="n">
        <v>14.54319453076445</v>
      </c>
      <c r="M174" s="126" t="n">
        <v>0</v>
      </c>
      <c r="N174" s="127" t="n">
        <v>0</v>
      </c>
    </row>
    <row r="175">
      <c r="A175" s="122" t="inlineStr">
        <is>
          <t>Hevea</t>
        </is>
      </c>
      <c r="B175" s="122" t="inlineStr">
        <is>
          <t>557-010939</t>
        </is>
      </c>
      <c r="C175" s="122" t="inlineStr">
        <is>
          <t>SET DAMASCO 8 / 3 SEATER SOFA SET / SET CANAPÉ 3 PLACES</t>
        </is>
      </c>
      <c r="D175" s="123" t="inlineStr">
        <is>
          <t>2026-05-07</t>
        </is>
      </c>
      <c r="E175" s="124" t="n">
        <v>1843</v>
      </c>
      <c r="F175" s="124" t="n">
        <v>2925</v>
      </c>
      <c r="G175" s="124" t="n">
        <v>3539.25</v>
      </c>
      <c r="H175" s="124" t="n">
        <v>1082</v>
      </c>
      <c r="I175" s="125" t="n">
        <v>36.99145299145299</v>
      </c>
      <c r="J175" s="125" t="n">
        <v>58.70862723819859</v>
      </c>
      <c r="K175" s="126" t="n">
        <v>0</v>
      </c>
      <c r="L175" s="127" t="n">
        <v>0</v>
      </c>
      <c r="M175" s="126" t="n">
        <v>0</v>
      </c>
      <c r="N175" s="127" t="n">
        <v>0</v>
      </c>
    </row>
    <row r="176">
      <c r="A176" s="110" t="inlineStr">
        <is>
          <t>Hevea</t>
        </is>
      </c>
      <c r="B176" s="110" t="inlineStr">
        <is>
          <t>557-010947</t>
        </is>
      </c>
      <c r="C176" s="110" t="inlineStr">
        <is>
          <t>SEVILLA BANCO</t>
        </is>
      </c>
      <c r="D176" s="111" t="inlineStr">
        <is>
          <t>2026-04-17</t>
        </is>
      </c>
      <c r="E176" s="112" t="n">
        <v>198</v>
      </c>
      <c r="F176" s="112" t="n">
        <v>2395</v>
      </c>
      <c r="G176" s="112" t="n">
        <v>2897.95</v>
      </c>
      <c r="H176" s="112" t="n">
        <v>2197</v>
      </c>
      <c r="I176" s="113" t="n">
        <v>91.73277661795407</v>
      </c>
      <c r="J176" s="113" t="n">
        <v>1109.59595959596</v>
      </c>
      <c r="K176" s="114" t="n"/>
      <c r="L176" s="115" t="n"/>
      <c r="M176" s="114" t="n"/>
      <c r="N176" s="115" t="n"/>
    </row>
    <row r="177">
      <c r="A177" s="104" t="inlineStr">
        <is>
          <t>Hevea</t>
        </is>
      </c>
      <c r="B177" s="104" t="inlineStr">
        <is>
          <t>557-010947</t>
        </is>
      </c>
      <c r="C177" s="104" t="inlineStr">
        <is>
          <t>YULIEN BANCO CON MESA / YULIEN BENCH WITH TABLE / BANC YULIEN AVEC TABLE</t>
        </is>
      </c>
      <c r="D177" s="105" t="inlineStr">
        <is>
          <t>2026-03-06</t>
        </is>
      </c>
      <c r="E177" s="106" t="n">
        <v>1318</v>
      </c>
      <c r="F177" s="106" t="n">
        <v>2395</v>
      </c>
      <c r="G177" s="106" t="n">
        <v>2897.95</v>
      </c>
      <c r="H177" s="106" t="n">
        <v>1077</v>
      </c>
      <c r="I177" s="107" t="n">
        <v>44.96868475991649</v>
      </c>
      <c r="J177" s="107" t="n">
        <v>81.71471927162366</v>
      </c>
      <c r="K177" s="108" t="n"/>
      <c r="L177" s="109" t="n"/>
      <c r="M177" s="108" t="n"/>
      <c r="N177" s="109" t="n"/>
    </row>
    <row r="178">
      <c r="A178" s="122" t="inlineStr">
        <is>
          <t>Hevea</t>
        </is>
      </c>
      <c r="B178" s="122" t="inlineStr">
        <is>
          <t>557-010947</t>
        </is>
      </c>
      <c r="C178" s="122" t="inlineStr">
        <is>
          <t>YULIEN BANCO CON MESA / YULIEN BENCH WITH TABLE / BANC YULIEN AVEC TABLE</t>
        </is>
      </c>
      <c r="D178" s="123" t="inlineStr">
        <is>
          <t>2026-05-07</t>
        </is>
      </c>
      <c r="E178" s="124" t="n">
        <v>1509</v>
      </c>
      <c r="F178" s="124" t="n">
        <v>2395</v>
      </c>
      <c r="G178" s="124" t="n">
        <v>2897.95</v>
      </c>
      <c r="H178" s="124" t="n">
        <v>886</v>
      </c>
      <c r="I178" s="125" t="n">
        <v>36.99373695198329</v>
      </c>
      <c r="J178" s="125" t="n">
        <v>58.7143803843605</v>
      </c>
      <c r="K178" s="126" t="n">
        <v>191</v>
      </c>
      <c r="L178" s="127" t="n">
        <v>14.49165402124431</v>
      </c>
      <c r="M178" s="126" t="n">
        <v>0</v>
      </c>
      <c r="N178" s="127" t="n">
        <v>0</v>
      </c>
    </row>
    <row r="179">
      <c r="A179" s="110" t="inlineStr">
        <is>
          <t>Hevea</t>
        </is>
      </c>
      <c r="B179" s="110" t="inlineStr">
        <is>
          <t>557-011019</t>
        </is>
      </c>
      <c r="C179" s="110" t="inlineStr">
        <is>
          <t>BRESCIA-12</t>
        </is>
      </c>
      <c r="D179" s="111" t="inlineStr">
        <is>
          <t>2026-04-17</t>
        </is>
      </c>
      <c r="E179" s="112" t="n">
        <v>101</v>
      </c>
      <c r="F179" s="112" t="n">
        <v>550</v>
      </c>
      <c r="G179" s="112" t="n">
        <v>665.5</v>
      </c>
      <c r="H179" s="112" t="n">
        <v>449</v>
      </c>
      <c r="I179" s="113" t="n">
        <v>81.63636363636364</v>
      </c>
      <c r="J179" s="113" t="n">
        <v>444.5544554455446</v>
      </c>
      <c r="K179" s="114" t="n"/>
      <c r="L179" s="115" t="n"/>
      <c r="M179" s="114" t="n"/>
      <c r="N179" s="115" t="n"/>
    </row>
    <row r="180">
      <c r="A180" s="104" t="inlineStr">
        <is>
          <t>Hevea</t>
        </is>
      </c>
      <c r="B180" s="104" t="inlineStr">
        <is>
          <t>557-011019</t>
        </is>
      </c>
      <c r="C180" s="104" t="inlineStr">
        <is>
          <t>HPL MUNDRA 150 MESA / HPL MUNDRA 150 TABLE / TABLE HPL MUNDRA 150</t>
        </is>
      </c>
      <c r="D180" s="105" t="inlineStr">
        <is>
          <t>2026-03-06</t>
        </is>
      </c>
      <c r="E180" s="106" t="n">
        <v>303</v>
      </c>
      <c r="F180" s="106" t="n">
        <v>550</v>
      </c>
      <c r="G180" s="106" t="n">
        <v>665.5</v>
      </c>
      <c r="H180" s="106" t="n">
        <v>247</v>
      </c>
      <c r="I180" s="107" t="n">
        <v>44.90909090909091</v>
      </c>
      <c r="J180" s="107" t="n">
        <v>81.51815181518151</v>
      </c>
      <c r="K180" s="108" t="n"/>
      <c r="L180" s="109" t="n"/>
      <c r="M180" s="108" t="n"/>
      <c r="N180" s="109" t="n"/>
    </row>
    <row r="181">
      <c r="A181" s="122" t="inlineStr">
        <is>
          <t>Hevea</t>
        </is>
      </c>
      <c r="B181" s="122" t="inlineStr">
        <is>
          <t>557-011019</t>
        </is>
      </c>
      <c r="C181" s="122" t="inlineStr">
        <is>
          <t>HPL MUNDRA 150 MESA / HPL MUNDRA 150 TABLE / TABLE HPL MUNDRA 150</t>
        </is>
      </c>
      <c r="D181" s="123" t="inlineStr">
        <is>
          <t>2026-05-07</t>
        </is>
      </c>
      <c r="E181" s="124" t="n">
        <v>347</v>
      </c>
      <c r="F181" s="124" t="n">
        <v>550</v>
      </c>
      <c r="G181" s="124" t="n">
        <v>665.5</v>
      </c>
      <c r="H181" s="124" t="n">
        <v>203</v>
      </c>
      <c r="I181" s="125" t="n">
        <v>36.90909090909091</v>
      </c>
      <c r="J181" s="125" t="n">
        <v>58.50144092219021</v>
      </c>
      <c r="K181" s="126" t="n">
        <v>44</v>
      </c>
      <c r="L181" s="127" t="n">
        <v>14.52145214521452</v>
      </c>
      <c r="M181" s="126" t="n">
        <v>0</v>
      </c>
      <c r="N181" s="127" t="n">
        <v>0</v>
      </c>
    </row>
    <row r="182">
      <c r="A182" s="110" t="inlineStr">
        <is>
          <t>Hevea</t>
        </is>
      </c>
      <c r="B182" s="110" t="inlineStr">
        <is>
          <t>557-011075</t>
        </is>
      </c>
      <c r="C182" s="110" t="inlineStr">
        <is>
          <t>SAIPROS-90 MESA CENTRO 90/COFFEE TABLE/TABLE CENTRE</t>
        </is>
      </c>
      <c r="D182" s="111" t="inlineStr">
        <is>
          <t>2026-03-06</t>
        </is>
      </c>
      <c r="E182" s="112" t="n">
        <v>154</v>
      </c>
      <c r="F182" s="112" t="n">
        <v>280</v>
      </c>
      <c r="G182" s="112" t="n">
        <v>338.8</v>
      </c>
      <c r="H182" s="112" t="n">
        <v>126</v>
      </c>
      <c r="I182" s="113" t="n">
        <v>45</v>
      </c>
      <c r="J182" s="113" t="n">
        <v>81.81818181818183</v>
      </c>
      <c r="K182" s="114" t="n"/>
      <c r="L182" s="115" t="n"/>
      <c r="M182" s="114" t="n"/>
      <c r="N182" s="115" t="n"/>
    </row>
    <row r="183">
      <c r="A183" s="116" t="inlineStr">
        <is>
          <t>Hevea</t>
        </is>
      </c>
      <c r="B183" s="116" t="inlineStr">
        <is>
          <t>557-011075</t>
        </is>
      </c>
      <c r="C183" s="116" t="inlineStr">
        <is>
          <t>SAIPROS-90 MESA CENTRO 90/COFFEE TABLE/TABLE CENTRE</t>
        </is>
      </c>
      <c r="D183" s="117" t="inlineStr">
        <is>
          <t>2026-04-17</t>
        </is>
      </c>
      <c r="E183" s="118" t="n">
        <v>176</v>
      </c>
      <c r="F183" s="118" t="n">
        <v>280</v>
      </c>
      <c r="G183" s="118" t="n">
        <v>338.8</v>
      </c>
      <c r="H183" s="118" t="n">
        <v>104</v>
      </c>
      <c r="I183" s="119" t="n">
        <v>37.14285714285715</v>
      </c>
      <c r="J183" s="119" t="n">
        <v>59.09090909090909</v>
      </c>
      <c r="K183" s="120" t="n">
        <v>22</v>
      </c>
      <c r="L183" s="121" t="n">
        <v>14.28571428571428</v>
      </c>
      <c r="M183" s="120" t="n">
        <v>0</v>
      </c>
      <c r="N183" s="121" t="n">
        <v>0</v>
      </c>
    </row>
    <row r="184">
      <c r="A184" s="116" t="inlineStr">
        <is>
          <t>Hevea</t>
        </is>
      </c>
      <c r="B184" s="116" t="inlineStr">
        <is>
          <t>557-011075</t>
        </is>
      </c>
      <c r="C184" s="116" t="inlineStr">
        <is>
          <t>SAIPROS-90 MESA CENTRO 90/COFFEE TABLE/TABLE CENTRE</t>
        </is>
      </c>
      <c r="D184" s="117" t="inlineStr">
        <is>
          <t>2026-05-07</t>
        </is>
      </c>
      <c r="E184" s="118" t="n">
        <v>177</v>
      </c>
      <c r="F184" s="118" t="n">
        <v>280</v>
      </c>
      <c r="G184" s="118" t="n">
        <v>338.8</v>
      </c>
      <c r="H184" s="118" t="n">
        <v>103</v>
      </c>
      <c r="I184" s="119" t="n">
        <v>36.78571428571429</v>
      </c>
      <c r="J184" s="119" t="n">
        <v>58.19209039548022</v>
      </c>
      <c r="K184" s="120" t="n">
        <v>1</v>
      </c>
      <c r="L184" s="121" t="n">
        <v>0.5681818181818182</v>
      </c>
      <c r="M184" s="120" t="n">
        <v>0</v>
      </c>
      <c r="N184" s="121" t="n">
        <v>0</v>
      </c>
    </row>
    <row r="185">
      <c r="A185" s="104" t="inlineStr">
        <is>
          <t>Hevea</t>
        </is>
      </c>
      <c r="B185" s="104" t="inlineStr">
        <is>
          <t>557-011076</t>
        </is>
      </c>
      <c r="C185" s="104" t="inlineStr">
        <is>
          <t>SAIPROS-120 MESA CENTRO 120/COFFEE TABLE/TABLE CENTRE</t>
        </is>
      </c>
      <c r="D185" s="105" t="inlineStr">
        <is>
          <t>2026-03-06</t>
        </is>
      </c>
      <c r="E185" s="106" t="n">
        <v>215</v>
      </c>
      <c r="F185" s="106" t="n">
        <v>390</v>
      </c>
      <c r="G185" s="106" t="n">
        <v>471.9</v>
      </c>
      <c r="H185" s="106" t="n">
        <v>175</v>
      </c>
      <c r="I185" s="107" t="n">
        <v>44.87179487179488</v>
      </c>
      <c r="J185" s="107" t="n">
        <v>81.3953488372093</v>
      </c>
      <c r="K185" s="108" t="n"/>
      <c r="L185" s="109" t="n"/>
      <c r="M185" s="108" t="n"/>
      <c r="N185" s="109" t="n"/>
    </row>
    <row r="186">
      <c r="A186" s="122" t="inlineStr">
        <is>
          <t>Hevea</t>
        </is>
      </c>
      <c r="B186" s="122" t="inlineStr">
        <is>
          <t>557-011076</t>
        </is>
      </c>
      <c r="C186" s="122" t="inlineStr">
        <is>
          <t>SAIPROS-120 MESA CENTRO 120/COFFEE TABLE/TABLE CENTRE</t>
        </is>
      </c>
      <c r="D186" s="123" t="inlineStr">
        <is>
          <t>2026-04-17</t>
        </is>
      </c>
      <c r="E186" s="124" t="n">
        <v>246</v>
      </c>
      <c r="F186" s="124" t="n">
        <v>390</v>
      </c>
      <c r="G186" s="124" t="n">
        <v>471.9</v>
      </c>
      <c r="H186" s="124" t="n">
        <v>144</v>
      </c>
      <c r="I186" s="125" t="n">
        <v>36.92307692307693</v>
      </c>
      <c r="J186" s="125" t="n">
        <v>58.53658536585365</v>
      </c>
      <c r="K186" s="126" t="n">
        <v>31</v>
      </c>
      <c r="L186" s="127" t="n">
        <v>14.41860465116279</v>
      </c>
      <c r="M186" s="126" t="n">
        <v>0</v>
      </c>
      <c r="N186" s="127" t="n">
        <v>0</v>
      </c>
    </row>
    <row r="187">
      <c r="A187" s="122" t="inlineStr">
        <is>
          <t>Hevea</t>
        </is>
      </c>
      <c r="B187" s="122" t="inlineStr">
        <is>
          <t>557-011076</t>
        </is>
      </c>
      <c r="C187" s="122" t="inlineStr">
        <is>
          <t>SAIPROS-120 MESA CENTRO 120/COFFEE TABLE/TABLE CENTRE</t>
        </is>
      </c>
      <c r="D187" s="123" t="inlineStr">
        <is>
          <t>2026-05-07</t>
        </is>
      </c>
      <c r="E187" s="124" t="n">
        <v>246</v>
      </c>
      <c r="F187" s="124" t="n">
        <v>390</v>
      </c>
      <c r="G187" s="124" t="n">
        <v>471.9</v>
      </c>
      <c r="H187" s="124" t="n">
        <v>144</v>
      </c>
      <c r="I187" s="125" t="n">
        <v>36.92307692307693</v>
      </c>
      <c r="J187" s="125" t="n">
        <v>58.53658536585365</v>
      </c>
      <c r="K187" s="126" t="n">
        <v>0</v>
      </c>
      <c r="L187" s="127" t="n">
        <v>0</v>
      </c>
      <c r="M187" s="126" t="n">
        <v>0</v>
      </c>
      <c r="N187" s="127" t="n">
        <v>0</v>
      </c>
    </row>
    <row r="188">
      <c r="A188" s="110" t="inlineStr">
        <is>
          <t>Hevea</t>
        </is>
      </c>
      <c r="B188" s="110" t="inlineStr">
        <is>
          <t>557-011090</t>
        </is>
      </c>
      <c r="C188" s="110" t="inlineStr">
        <is>
          <t>ODIN-1 SILLON/ARMCHAIR/FAUTEUIL</t>
        </is>
      </c>
      <c r="D188" s="111" t="inlineStr">
        <is>
          <t>2026-03-06</t>
        </is>
      </c>
      <c r="E188" s="112" t="n">
        <v>234</v>
      </c>
      <c r="F188" s="112" t="n">
        <v>425</v>
      </c>
      <c r="G188" s="112" t="n">
        <v>514.25</v>
      </c>
      <c r="H188" s="112" t="n">
        <v>191</v>
      </c>
      <c r="I188" s="113" t="n">
        <v>44.94117647058823</v>
      </c>
      <c r="J188" s="113" t="n">
        <v>81.62393162393163</v>
      </c>
      <c r="K188" s="114" t="n"/>
      <c r="L188" s="115" t="n"/>
      <c r="M188" s="114" t="n"/>
      <c r="N188" s="115" t="n"/>
    </row>
    <row r="189">
      <c r="A189" s="116" t="inlineStr">
        <is>
          <t>Hevea</t>
        </is>
      </c>
      <c r="B189" s="116" t="inlineStr">
        <is>
          <t>557-011090</t>
        </is>
      </c>
      <c r="C189" s="116" t="inlineStr">
        <is>
          <t>ODIN-1 SILLON/ARMCHAIR/FAUTEUIL</t>
        </is>
      </c>
      <c r="D189" s="117" t="inlineStr">
        <is>
          <t>2026-04-17</t>
        </is>
      </c>
      <c r="E189" s="118" t="n">
        <v>268</v>
      </c>
      <c r="F189" s="118" t="n">
        <v>425</v>
      </c>
      <c r="G189" s="118" t="n">
        <v>514.25</v>
      </c>
      <c r="H189" s="118" t="n">
        <v>157</v>
      </c>
      <c r="I189" s="119" t="n">
        <v>36.94117647058823</v>
      </c>
      <c r="J189" s="119" t="n">
        <v>58.58208955223881</v>
      </c>
      <c r="K189" s="120" t="n">
        <v>34</v>
      </c>
      <c r="L189" s="121" t="n">
        <v>14.52991452991453</v>
      </c>
      <c r="M189" s="120" t="n">
        <v>0</v>
      </c>
      <c r="N189" s="121" t="n">
        <v>0</v>
      </c>
    </row>
    <row r="190">
      <c r="A190" s="116" t="inlineStr">
        <is>
          <t>Hevea</t>
        </is>
      </c>
      <c r="B190" s="116" t="inlineStr">
        <is>
          <t>557-011090</t>
        </is>
      </c>
      <c r="C190" s="116" t="inlineStr">
        <is>
          <t>ODIN-1 SILLON/ARMCHAIR/FAUTEUIL</t>
        </is>
      </c>
      <c r="D190" s="117" t="inlineStr">
        <is>
          <t>2026-05-07</t>
        </is>
      </c>
      <c r="E190" s="118" t="n">
        <v>268</v>
      </c>
      <c r="F190" s="118" t="n">
        <v>425</v>
      </c>
      <c r="G190" s="118" t="n">
        <v>514.25</v>
      </c>
      <c r="H190" s="118" t="n">
        <v>157</v>
      </c>
      <c r="I190" s="119" t="n">
        <v>36.94117647058823</v>
      </c>
      <c r="J190" s="119" t="n">
        <v>58.58208955223881</v>
      </c>
      <c r="K190" s="120" t="n">
        <v>0</v>
      </c>
      <c r="L190" s="121" t="n">
        <v>0</v>
      </c>
      <c r="M190" s="120" t="n">
        <v>0</v>
      </c>
      <c r="N190" s="121" t="n">
        <v>0</v>
      </c>
    </row>
    <row r="191">
      <c r="A191" s="104" t="inlineStr">
        <is>
          <t>Hevea</t>
        </is>
      </c>
      <c r="B191" s="104" t="inlineStr">
        <is>
          <t>557-011091</t>
        </is>
      </c>
      <c r="C191" s="104" t="inlineStr">
        <is>
          <t>ODIN-2 SOFA 2 PLAZAS/SOFA/CANAPÉ</t>
        </is>
      </c>
      <c r="D191" s="105" t="inlineStr">
        <is>
          <t>2026-03-06</t>
        </is>
      </c>
      <c r="E191" s="106" t="n">
        <v>396</v>
      </c>
      <c r="F191" s="106" t="n">
        <v>720</v>
      </c>
      <c r="G191" s="106" t="n">
        <v>871.2</v>
      </c>
      <c r="H191" s="106" t="n">
        <v>324</v>
      </c>
      <c r="I191" s="107" t="n">
        <v>45</v>
      </c>
      <c r="J191" s="107" t="n">
        <v>81.81818181818183</v>
      </c>
      <c r="K191" s="108" t="n"/>
      <c r="L191" s="109" t="n"/>
      <c r="M191" s="108" t="n"/>
      <c r="N191" s="109" t="n"/>
    </row>
    <row r="192">
      <c r="A192" s="122" t="inlineStr">
        <is>
          <t>Hevea</t>
        </is>
      </c>
      <c r="B192" s="122" t="inlineStr">
        <is>
          <t>557-011091</t>
        </is>
      </c>
      <c r="C192" s="122" t="inlineStr">
        <is>
          <t>ODIN-2 SOFA 2 PLAZAS/SOFA/CANAPÉ</t>
        </is>
      </c>
      <c r="D192" s="123" t="inlineStr">
        <is>
          <t>2026-04-17</t>
        </is>
      </c>
      <c r="E192" s="124" t="n">
        <v>454</v>
      </c>
      <c r="F192" s="124" t="n">
        <v>720</v>
      </c>
      <c r="G192" s="124" t="n">
        <v>871.2</v>
      </c>
      <c r="H192" s="124" t="n">
        <v>266</v>
      </c>
      <c r="I192" s="125" t="n">
        <v>36.94444444444444</v>
      </c>
      <c r="J192" s="125" t="n">
        <v>58.59030837004406</v>
      </c>
      <c r="K192" s="126" t="n">
        <v>58</v>
      </c>
      <c r="L192" s="127" t="n">
        <v>14.64646464646465</v>
      </c>
      <c r="M192" s="126" t="n">
        <v>0</v>
      </c>
      <c r="N192" s="127" t="n">
        <v>0</v>
      </c>
    </row>
    <row r="193">
      <c r="A193" s="122" t="inlineStr">
        <is>
          <t>Hevea</t>
        </is>
      </c>
      <c r="B193" s="122" t="inlineStr">
        <is>
          <t>557-011091</t>
        </is>
      </c>
      <c r="C193" s="122" t="inlineStr">
        <is>
          <t>ODIN-2 SOFA 2 PLAZAS/SOFA/CANAPÉ</t>
        </is>
      </c>
      <c r="D193" s="123" t="inlineStr">
        <is>
          <t>2026-05-07</t>
        </is>
      </c>
      <c r="E193" s="124" t="n">
        <v>454</v>
      </c>
      <c r="F193" s="124" t="n">
        <v>720</v>
      </c>
      <c r="G193" s="124" t="n">
        <v>871.2</v>
      </c>
      <c r="H193" s="124" t="n">
        <v>266</v>
      </c>
      <c r="I193" s="125" t="n">
        <v>36.94444444444444</v>
      </c>
      <c r="J193" s="125" t="n">
        <v>58.59030837004406</v>
      </c>
      <c r="K193" s="126" t="n">
        <v>0</v>
      </c>
      <c r="L193" s="127" t="n">
        <v>0</v>
      </c>
      <c r="M193" s="126" t="n">
        <v>0</v>
      </c>
      <c r="N193" s="127" t="n">
        <v>0</v>
      </c>
    </row>
    <row r="194">
      <c r="A194" s="110" t="inlineStr">
        <is>
          <t>Hevea</t>
        </is>
      </c>
      <c r="B194" s="110" t="inlineStr">
        <is>
          <t>557-011092</t>
        </is>
      </c>
      <c r="C194" s="110" t="inlineStr">
        <is>
          <t>ODIN-3 SOFA 3 PLAZAS/SOFA/CANAPÉ</t>
        </is>
      </c>
      <c r="D194" s="111" t="inlineStr">
        <is>
          <t>2026-03-06</t>
        </is>
      </c>
      <c r="E194" s="112" t="n">
        <v>520</v>
      </c>
      <c r="F194" s="112" t="n">
        <v>945</v>
      </c>
      <c r="G194" s="112" t="n">
        <v>1143.45</v>
      </c>
      <c r="H194" s="112" t="n">
        <v>425</v>
      </c>
      <c r="I194" s="113" t="n">
        <v>44.97354497354497</v>
      </c>
      <c r="J194" s="113" t="n">
        <v>81.73076923076923</v>
      </c>
      <c r="K194" s="114" t="n"/>
      <c r="L194" s="115" t="n"/>
      <c r="M194" s="114" t="n"/>
      <c r="N194" s="115" t="n"/>
    </row>
    <row r="195">
      <c r="A195" s="116" t="inlineStr">
        <is>
          <t>Hevea</t>
        </is>
      </c>
      <c r="B195" s="116" t="inlineStr">
        <is>
          <t>557-011092</t>
        </is>
      </c>
      <c r="C195" s="116" t="inlineStr">
        <is>
          <t>ODIN-3 SOFA 3 PLAZAS/SOFA/CANAPÉ</t>
        </is>
      </c>
      <c r="D195" s="117" t="inlineStr">
        <is>
          <t>2026-04-17</t>
        </is>
      </c>
      <c r="E195" s="118" t="n">
        <v>595</v>
      </c>
      <c r="F195" s="118" t="n">
        <v>945</v>
      </c>
      <c r="G195" s="118" t="n">
        <v>1143.45</v>
      </c>
      <c r="H195" s="118" t="n">
        <v>350</v>
      </c>
      <c r="I195" s="119" t="n">
        <v>37.03703703703704</v>
      </c>
      <c r="J195" s="119" t="n">
        <v>58.82352941176471</v>
      </c>
      <c r="K195" s="120" t="n">
        <v>75</v>
      </c>
      <c r="L195" s="121" t="n">
        <v>14.42307692307692</v>
      </c>
      <c r="M195" s="120" t="n">
        <v>0</v>
      </c>
      <c r="N195" s="121" t="n">
        <v>0</v>
      </c>
    </row>
    <row r="196">
      <c r="A196" s="116" t="inlineStr">
        <is>
          <t>Hevea</t>
        </is>
      </c>
      <c r="B196" s="116" t="inlineStr">
        <is>
          <t>557-011092</t>
        </is>
      </c>
      <c r="C196" s="116" t="inlineStr">
        <is>
          <t>ODIN-3 SOFA 3 PLAZAS/SOFA/CANAPÉ</t>
        </is>
      </c>
      <c r="D196" s="117" t="inlineStr">
        <is>
          <t>2026-05-07</t>
        </is>
      </c>
      <c r="E196" s="118" t="n">
        <v>596</v>
      </c>
      <c r="F196" s="118" t="n">
        <v>945</v>
      </c>
      <c r="G196" s="118" t="n">
        <v>1143.45</v>
      </c>
      <c r="H196" s="118" t="n">
        <v>349</v>
      </c>
      <c r="I196" s="119" t="n">
        <v>36.93121693121693</v>
      </c>
      <c r="J196" s="119" t="n">
        <v>58.55704697986577</v>
      </c>
      <c r="K196" s="120" t="n">
        <v>1</v>
      </c>
      <c r="L196" s="121" t="n">
        <v>0.1680672268907563</v>
      </c>
      <c r="M196" s="120" t="n">
        <v>0</v>
      </c>
      <c r="N196" s="121" t="n">
        <v>0</v>
      </c>
    </row>
    <row r="197">
      <c r="A197" s="104" t="inlineStr">
        <is>
          <t>Hevea</t>
        </is>
      </c>
      <c r="B197" s="104" t="inlineStr">
        <is>
          <t>557-011094</t>
        </is>
      </c>
      <c r="C197" s="104" t="inlineStr">
        <is>
          <t>ODIN-7 SET SOFÁ 2 PLAZAS / 2 SEATER SOFA SET / SET CANAPÉ 2 PLACES</t>
        </is>
      </c>
      <c r="D197" s="105" t="inlineStr">
        <is>
          <t>2026-03-06</t>
        </is>
      </c>
      <c r="E197" s="106" t="n">
        <v>1018</v>
      </c>
      <c r="F197" s="106" t="n">
        <v>1850</v>
      </c>
      <c r="G197" s="106" t="n">
        <v>2238.5</v>
      </c>
      <c r="H197" s="106" t="n">
        <v>832</v>
      </c>
      <c r="I197" s="107" t="n">
        <v>44.97297297297298</v>
      </c>
      <c r="J197" s="107" t="n">
        <v>81.72888015717092</v>
      </c>
      <c r="K197" s="108" t="n"/>
      <c r="L197" s="109" t="n"/>
      <c r="M197" s="108" t="n"/>
      <c r="N197" s="109" t="n"/>
    </row>
    <row r="198">
      <c r="A198" s="122" t="inlineStr">
        <is>
          <t>Hevea</t>
        </is>
      </c>
      <c r="B198" s="122" t="inlineStr">
        <is>
          <t>557-011094</t>
        </is>
      </c>
      <c r="C198" s="122" t="inlineStr">
        <is>
          <t>ODIN-7 SET SOFÁ 2 PLAZAS / 2 SEATER SOFA SET / SET CANAPÉ 2 PLACES</t>
        </is>
      </c>
      <c r="D198" s="123" t="inlineStr">
        <is>
          <t>2026-04-17</t>
        </is>
      </c>
      <c r="E198" s="124" t="n">
        <v>1166</v>
      </c>
      <c r="F198" s="124" t="n">
        <v>1850</v>
      </c>
      <c r="G198" s="124" t="n">
        <v>2238.5</v>
      </c>
      <c r="H198" s="124" t="n">
        <v>684</v>
      </c>
      <c r="I198" s="125" t="n">
        <v>36.97297297297298</v>
      </c>
      <c r="J198" s="125" t="n">
        <v>58.66209262435677</v>
      </c>
      <c r="K198" s="126" t="n">
        <v>148</v>
      </c>
      <c r="L198" s="127" t="n">
        <v>14.53831041257367</v>
      </c>
      <c r="M198" s="126" t="n">
        <v>0</v>
      </c>
      <c r="N198" s="127" t="n">
        <v>0</v>
      </c>
    </row>
    <row r="199">
      <c r="A199" s="122" t="inlineStr">
        <is>
          <t>Hevea</t>
        </is>
      </c>
      <c r="B199" s="122" t="inlineStr">
        <is>
          <t>557-011094</t>
        </is>
      </c>
      <c r="C199" s="122" t="inlineStr">
        <is>
          <t>ODIN-7 SET SOFÁ 2 PLAZAS / 2 SEATER SOFA SET / SET CANAPÉ 2 PLACES</t>
        </is>
      </c>
      <c r="D199" s="123" t="inlineStr">
        <is>
          <t>2026-05-07</t>
        </is>
      </c>
      <c r="E199" s="124" t="n">
        <v>1166</v>
      </c>
      <c r="F199" s="124" t="n">
        <v>1850</v>
      </c>
      <c r="G199" s="124" t="n">
        <v>2238.5</v>
      </c>
      <c r="H199" s="124" t="n">
        <v>684</v>
      </c>
      <c r="I199" s="125" t="n">
        <v>36.97297297297298</v>
      </c>
      <c r="J199" s="125" t="n">
        <v>58.66209262435677</v>
      </c>
      <c r="K199" s="126" t="n">
        <v>0</v>
      </c>
      <c r="L199" s="127" t="n">
        <v>0</v>
      </c>
      <c r="M199" s="126" t="n">
        <v>0</v>
      </c>
      <c r="N199" s="127" t="n">
        <v>0</v>
      </c>
    </row>
    <row r="200">
      <c r="A200" s="110" t="inlineStr">
        <is>
          <t>Hevea</t>
        </is>
      </c>
      <c r="B200" s="110" t="inlineStr">
        <is>
          <t>557-011095</t>
        </is>
      </c>
      <c r="C200" s="110" t="inlineStr">
        <is>
          <t>ODIN-8 SET SOFÁ 3 PLAZAS / 3 SEATER SOFA SET / SET CANAPÉ 3 PLACES</t>
        </is>
      </c>
      <c r="D200" s="111" t="inlineStr">
        <is>
          <t>2026-03-06</t>
        </is>
      </c>
      <c r="E200" s="112" t="n">
        <v>1202</v>
      </c>
      <c r="F200" s="112" t="n">
        <v>2185</v>
      </c>
      <c r="G200" s="112" t="n">
        <v>2643.85</v>
      </c>
      <c r="H200" s="112" t="n">
        <v>983</v>
      </c>
      <c r="I200" s="113" t="n">
        <v>44.98855835240275</v>
      </c>
      <c r="J200" s="113" t="n">
        <v>81.78036605657239</v>
      </c>
      <c r="K200" s="114" t="n"/>
      <c r="L200" s="115" t="n"/>
      <c r="M200" s="114" t="n"/>
      <c r="N200" s="115" t="n"/>
    </row>
    <row r="201">
      <c r="A201" s="116" t="inlineStr">
        <is>
          <t>Hevea</t>
        </is>
      </c>
      <c r="B201" s="116" t="inlineStr">
        <is>
          <t>557-011095</t>
        </is>
      </c>
      <c r="C201" s="116" t="inlineStr">
        <is>
          <t>ODIN-8 SET SOFÁ 3 PLAZAS / 3 SEATER SOFA SET / SET CANAPÉ 3 PLACES</t>
        </is>
      </c>
      <c r="D201" s="117" t="inlineStr">
        <is>
          <t>2026-04-17</t>
        </is>
      </c>
      <c r="E201" s="118" t="n">
        <v>1377</v>
      </c>
      <c r="F201" s="118" t="n">
        <v>2185</v>
      </c>
      <c r="G201" s="118" t="n">
        <v>2643.85</v>
      </c>
      <c r="H201" s="118" t="n">
        <v>808</v>
      </c>
      <c r="I201" s="119" t="n">
        <v>36.97940503432494</v>
      </c>
      <c r="J201" s="119" t="n">
        <v>58.67828612926652</v>
      </c>
      <c r="K201" s="120" t="n">
        <v>175</v>
      </c>
      <c r="L201" s="121" t="n">
        <v>14.55906821963394</v>
      </c>
      <c r="M201" s="120" t="n">
        <v>0</v>
      </c>
      <c r="N201" s="121" t="n">
        <v>0</v>
      </c>
    </row>
    <row r="202">
      <c r="A202" s="116" t="inlineStr">
        <is>
          <t>Hevea</t>
        </is>
      </c>
      <c r="B202" s="116" t="inlineStr">
        <is>
          <t>557-011095</t>
        </is>
      </c>
      <c r="C202" s="116" t="inlineStr">
        <is>
          <t>ODIN-8 SET SOFÁ 3 PLAZAS / 3 SEATER SOFA SET / SET CANAPÉ 3 PLACES</t>
        </is>
      </c>
      <c r="D202" s="117" t="inlineStr">
        <is>
          <t>2026-05-07</t>
        </is>
      </c>
      <c r="E202" s="118" t="n">
        <v>1377</v>
      </c>
      <c r="F202" s="118" t="n">
        <v>2185</v>
      </c>
      <c r="G202" s="118" t="n">
        <v>2643.85</v>
      </c>
      <c r="H202" s="118" t="n">
        <v>808</v>
      </c>
      <c r="I202" s="119" t="n">
        <v>36.97940503432494</v>
      </c>
      <c r="J202" s="119" t="n">
        <v>58.67828612926652</v>
      </c>
      <c r="K202" s="120" t="n">
        <v>0</v>
      </c>
      <c r="L202" s="121" t="n">
        <v>0</v>
      </c>
      <c r="M202" s="120" t="n">
        <v>0</v>
      </c>
      <c r="N202" s="121" t="n">
        <v>0</v>
      </c>
    </row>
    <row r="203">
      <c r="A203" s="104" t="inlineStr">
        <is>
          <t>Hevea</t>
        </is>
      </c>
      <c r="B203" s="104" t="inlineStr">
        <is>
          <t>557-011350</t>
        </is>
      </c>
      <c r="C203" s="104" t="inlineStr">
        <is>
          <t>SEVILLA BANCO / SEVILLA BENCH / BANC SEVILLA</t>
        </is>
      </c>
      <c r="D203" s="105" t="inlineStr">
        <is>
          <t>2026-03-06</t>
        </is>
      </c>
      <c r="E203" s="106" t="n">
        <v>174</v>
      </c>
      <c r="F203" s="106" t="n">
        <v>315</v>
      </c>
      <c r="G203" s="106" t="n">
        <v>381.15</v>
      </c>
      <c r="H203" s="106" t="n">
        <v>141</v>
      </c>
      <c r="I203" s="107" t="n">
        <v>44.76190476190477</v>
      </c>
      <c r="J203" s="107" t="n">
        <v>81.03448275862068</v>
      </c>
      <c r="K203" s="108" t="n"/>
      <c r="L203" s="109" t="n"/>
      <c r="M203" s="108" t="n"/>
      <c r="N203" s="109" t="n"/>
    </row>
    <row r="204">
      <c r="A204" s="122" t="inlineStr">
        <is>
          <t>Hevea</t>
        </is>
      </c>
      <c r="B204" s="122" t="inlineStr">
        <is>
          <t>557-011350</t>
        </is>
      </c>
      <c r="C204" s="122" t="inlineStr">
        <is>
          <t>SEVILLA BANCO / SEVILLA BENCH / BANC SEVILLA</t>
        </is>
      </c>
      <c r="D204" s="123" t="inlineStr">
        <is>
          <t>2026-04-17</t>
        </is>
      </c>
      <c r="E204" s="124" t="n">
        <v>189</v>
      </c>
      <c r="F204" s="124" t="n">
        <v>315</v>
      </c>
      <c r="G204" s="124" t="n">
        <v>381.15</v>
      </c>
      <c r="H204" s="124" t="n">
        <v>126</v>
      </c>
      <c r="I204" s="125" t="n">
        <v>40</v>
      </c>
      <c r="J204" s="125" t="n">
        <v>66.66666666666666</v>
      </c>
      <c r="K204" s="126" t="n">
        <v>15</v>
      </c>
      <c r="L204" s="127" t="n">
        <v>8.620689655172415</v>
      </c>
      <c r="M204" s="126" t="n">
        <v>0</v>
      </c>
      <c r="N204" s="127" t="n">
        <v>0</v>
      </c>
    </row>
    <row r="205">
      <c r="A205" s="122" t="inlineStr">
        <is>
          <t>Hevea</t>
        </is>
      </c>
      <c r="B205" s="122" t="inlineStr">
        <is>
          <t>557-011350</t>
        </is>
      </c>
      <c r="C205" s="122" t="inlineStr">
        <is>
          <t>SEVILLA BANCO / SEVILLA BENCH / BANC SEVILLA</t>
        </is>
      </c>
      <c r="D205" s="123" t="inlineStr">
        <is>
          <t>2026-05-07</t>
        </is>
      </c>
      <c r="E205" s="124" t="n">
        <v>199</v>
      </c>
      <c r="F205" s="124" t="n">
        <v>315</v>
      </c>
      <c r="G205" s="124" t="n">
        <v>381.15</v>
      </c>
      <c r="H205" s="124" t="n">
        <v>116</v>
      </c>
      <c r="I205" s="125" t="n">
        <v>36.82539682539683</v>
      </c>
      <c r="J205" s="125" t="n">
        <v>58.29145728643216</v>
      </c>
      <c r="K205" s="126" t="n">
        <v>10</v>
      </c>
      <c r="L205" s="127" t="n">
        <v>5.291005291005291</v>
      </c>
      <c r="M205" s="126" t="n">
        <v>0</v>
      </c>
      <c r="N205" s="127" t="n">
        <v>0</v>
      </c>
    </row>
    <row r="206">
      <c r="A206" s="110" t="inlineStr">
        <is>
          <t>Hevea</t>
        </is>
      </c>
      <c r="B206" s="110" t="inlineStr">
        <is>
          <t>557-0185</t>
        </is>
      </c>
      <c r="C206" s="110" t="inlineStr">
        <is>
          <t>STANDARD 55-XL STANDARD XL REPOSAPIES</t>
        </is>
      </c>
      <c r="D206" s="111" t="inlineStr">
        <is>
          <t>2026-03-06</t>
        </is>
      </c>
      <c r="E206" s="112" t="n">
        <v>163</v>
      </c>
      <c r="F206" s="112" t="n">
        <v>295</v>
      </c>
      <c r="G206" s="112" t="n">
        <v>356.95</v>
      </c>
      <c r="H206" s="112" t="n">
        <v>132</v>
      </c>
      <c r="I206" s="113" t="n">
        <v>44.74576271186441</v>
      </c>
      <c r="J206" s="113" t="n">
        <v>80.98159509202453</v>
      </c>
      <c r="K206" s="114" t="n"/>
      <c r="L206" s="115" t="n"/>
      <c r="M206" s="114" t="n"/>
      <c r="N206" s="115" t="n"/>
    </row>
    <row r="207">
      <c r="A207" s="116" t="inlineStr">
        <is>
          <t>Hevea</t>
        </is>
      </c>
      <c r="B207" s="116" t="inlineStr">
        <is>
          <t>557-0185</t>
        </is>
      </c>
      <c r="C207" s="116" t="inlineStr">
        <is>
          <t>STANDARD 55-XL STANDARD XL REPOSAPIES</t>
        </is>
      </c>
      <c r="D207" s="117" t="inlineStr">
        <is>
          <t>2026-04-17</t>
        </is>
      </c>
      <c r="E207" s="118" t="n">
        <v>186</v>
      </c>
      <c r="F207" s="118" t="n">
        <v>295</v>
      </c>
      <c r="G207" s="118" t="n">
        <v>356.95</v>
      </c>
      <c r="H207" s="118" t="n">
        <v>109</v>
      </c>
      <c r="I207" s="119" t="n">
        <v>36.94915254237288</v>
      </c>
      <c r="J207" s="119" t="n">
        <v>58.60215053763442</v>
      </c>
      <c r="K207" s="120" t="n">
        <v>23</v>
      </c>
      <c r="L207" s="121" t="n">
        <v>14.11042944785276</v>
      </c>
      <c r="M207" s="120" t="n">
        <v>0</v>
      </c>
      <c r="N207" s="121" t="n">
        <v>0</v>
      </c>
    </row>
    <row r="208">
      <c r="A208" s="116" t="inlineStr">
        <is>
          <t>Hevea</t>
        </is>
      </c>
      <c r="B208" s="116" t="inlineStr">
        <is>
          <t>557-0185</t>
        </is>
      </c>
      <c r="C208" s="116" t="inlineStr">
        <is>
          <t>STANDARD 55-XL STANDARD XL REPOSAPIES</t>
        </is>
      </c>
      <c r="D208" s="117" t="inlineStr">
        <is>
          <t>2026-05-07</t>
        </is>
      </c>
      <c r="E208" s="118" t="n">
        <v>186</v>
      </c>
      <c r="F208" s="118" t="n">
        <v>295</v>
      </c>
      <c r="G208" s="118" t="n">
        <v>356.95</v>
      </c>
      <c r="H208" s="118" t="n">
        <v>109</v>
      </c>
      <c r="I208" s="119" t="n">
        <v>36.94915254237288</v>
      </c>
      <c r="J208" s="119" t="n">
        <v>58.60215053763442</v>
      </c>
      <c r="K208" s="120" t="n">
        <v>0</v>
      </c>
      <c r="L208" s="121" t="n">
        <v>0</v>
      </c>
      <c r="M208" s="120" t="n">
        <v>0</v>
      </c>
      <c r="N208" s="121" t="n">
        <v>0</v>
      </c>
    </row>
    <row r="209">
      <c r="A209" s="104" t="inlineStr">
        <is>
          <t>Hevea</t>
        </is>
      </c>
      <c r="B209" s="104" t="inlineStr">
        <is>
          <t>557-01951</t>
        </is>
      </c>
      <c r="C209" s="104" t="inlineStr">
        <is>
          <t>MANHATAN-1 SILLÓN / ARMCHAIR / FAUTEUIL</t>
        </is>
      </c>
      <c r="D209" s="105" t="inlineStr">
        <is>
          <t>2026-03-06</t>
        </is>
      </c>
      <c r="E209" s="106" t="n">
        <v>212</v>
      </c>
      <c r="F209" s="106" t="n">
        <v>385</v>
      </c>
      <c r="G209" s="106" t="n">
        <v>465.85</v>
      </c>
      <c r="H209" s="106" t="n">
        <v>173</v>
      </c>
      <c r="I209" s="107" t="n">
        <v>44.93506493506494</v>
      </c>
      <c r="J209" s="107" t="n">
        <v>81.60377358490565</v>
      </c>
      <c r="K209" s="108" t="n"/>
      <c r="L209" s="109" t="n"/>
      <c r="M209" s="108" t="n"/>
      <c r="N209" s="109" t="n"/>
    </row>
    <row r="210">
      <c r="A210" s="122" t="inlineStr">
        <is>
          <t>Hevea</t>
        </is>
      </c>
      <c r="B210" s="122" t="inlineStr">
        <is>
          <t>557-01951</t>
        </is>
      </c>
      <c r="C210" s="122" t="inlineStr">
        <is>
          <t>MANHATAN-1 SILLÓN / ARMCHAIR / FAUTEUIL</t>
        </is>
      </c>
      <c r="D210" s="123" t="inlineStr">
        <is>
          <t>2026-05-07</t>
        </is>
      </c>
      <c r="E210" s="124" t="n">
        <v>243</v>
      </c>
      <c r="F210" s="124" t="n">
        <v>385</v>
      </c>
      <c r="G210" s="124" t="n">
        <v>465.85</v>
      </c>
      <c r="H210" s="124" t="n">
        <v>142</v>
      </c>
      <c r="I210" s="125" t="n">
        <v>36.88311688311688</v>
      </c>
      <c r="J210" s="125" t="n">
        <v>58.43621399176955</v>
      </c>
      <c r="K210" s="126" t="n">
        <v>31</v>
      </c>
      <c r="L210" s="127" t="n">
        <v>14.62264150943396</v>
      </c>
      <c r="M210" s="126" t="n">
        <v>0</v>
      </c>
      <c r="N210" s="127" t="n">
        <v>0</v>
      </c>
    </row>
    <row r="211">
      <c r="A211" s="110" t="inlineStr">
        <is>
          <t>Hevea</t>
        </is>
      </c>
      <c r="B211" s="110" t="inlineStr">
        <is>
          <t>557-01951</t>
        </is>
      </c>
      <c r="C211" s="110" t="inlineStr">
        <is>
          <t>MANHATAN-3</t>
        </is>
      </c>
      <c r="D211" s="111" t="inlineStr">
        <is>
          <t>2026-04-17</t>
        </is>
      </c>
      <c r="E211" s="112" t="n">
        <v>536</v>
      </c>
      <c r="F211" s="112" t="n">
        <v>385</v>
      </c>
      <c r="G211" s="112" t="n">
        <v>465.85</v>
      </c>
      <c r="H211" s="112" t="n">
        <v>-151</v>
      </c>
      <c r="I211" s="113" t="n">
        <v>-39.22077922077922</v>
      </c>
      <c r="J211" s="113" t="n">
        <v>-28.17164179104478</v>
      </c>
      <c r="K211" s="114" t="n"/>
      <c r="L211" s="115" t="n"/>
      <c r="M211" s="114" t="n"/>
      <c r="N211" s="115" t="n"/>
    </row>
    <row r="212">
      <c r="A212" s="104" t="inlineStr">
        <is>
          <t>Hevea</t>
        </is>
      </c>
      <c r="B212" s="104" t="inlineStr">
        <is>
          <t>557-01952</t>
        </is>
      </c>
      <c r="C212" s="104" t="inlineStr">
        <is>
          <t>MANHATAN-2 SOFÁ 2 PLAZAS / 2 SEATER SOFA / CANAPÉ 2 PLACES</t>
        </is>
      </c>
      <c r="D212" s="105" t="inlineStr">
        <is>
          <t>2026-03-06</t>
        </is>
      </c>
      <c r="E212" s="106" t="n">
        <v>325</v>
      </c>
      <c r="F212" s="106" t="n">
        <v>590</v>
      </c>
      <c r="G212" s="106" t="n">
        <v>713.9</v>
      </c>
      <c r="H212" s="106" t="n">
        <v>265</v>
      </c>
      <c r="I212" s="107" t="n">
        <v>44.91525423728814</v>
      </c>
      <c r="J212" s="107" t="n">
        <v>81.53846153846153</v>
      </c>
      <c r="K212" s="108" t="n"/>
      <c r="L212" s="109" t="n"/>
      <c r="M212" s="108" t="n"/>
      <c r="N212" s="109" t="n"/>
    </row>
    <row r="213">
      <c r="A213" s="122" t="inlineStr">
        <is>
          <t>Hevea</t>
        </is>
      </c>
      <c r="B213" s="122" t="inlineStr">
        <is>
          <t>557-01952</t>
        </is>
      </c>
      <c r="C213" s="122" t="inlineStr">
        <is>
          <t>MANHATAN-2 SOFÁ 2 PLAZAS / 2 SEATER SOFA / CANAPÉ 2 PLACES</t>
        </is>
      </c>
      <c r="D213" s="123" t="inlineStr">
        <is>
          <t>2026-05-07</t>
        </is>
      </c>
      <c r="E213" s="124" t="n">
        <v>372</v>
      </c>
      <c r="F213" s="124" t="n">
        <v>590</v>
      </c>
      <c r="G213" s="124" t="n">
        <v>713.9</v>
      </c>
      <c r="H213" s="124" t="n">
        <v>218</v>
      </c>
      <c r="I213" s="125" t="n">
        <v>36.94915254237288</v>
      </c>
      <c r="J213" s="125" t="n">
        <v>58.60215053763442</v>
      </c>
      <c r="K213" s="126" t="n">
        <v>47</v>
      </c>
      <c r="L213" s="127" t="n">
        <v>14.46153846153846</v>
      </c>
      <c r="M213" s="126" t="n">
        <v>0</v>
      </c>
      <c r="N213" s="127" t="n">
        <v>0</v>
      </c>
    </row>
    <row r="214">
      <c r="A214" s="110" t="inlineStr">
        <is>
          <t>Hevea</t>
        </is>
      </c>
      <c r="B214" s="110" t="inlineStr">
        <is>
          <t>557-01952</t>
        </is>
      </c>
      <c r="C214" s="110" t="inlineStr">
        <is>
          <t>MANHATAN-7</t>
        </is>
      </c>
      <c r="D214" s="111" t="inlineStr">
        <is>
          <t>2026-04-17</t>
        </is>
      </c>
      <c r="E214" s="112" t="n">
        <v>1036</v>
      </c>
      <c r="F214" s="112" t="n">
        <v>590</v>
      </c>
      <c r="G214" s="112" t="n">
        <v>713.9</v>
      </c>
      <c r="H214" s="112" t="n">
        <v>-446</v>
      </c>
      <c r="I214" s="113" t="n">
        <v>-75.59322033898304</v>
      </c>
      <c r="J214" s="113" t="n">
        <v>-43.05019305019304</v>
      </c>
      <c r="K214" s="114" t="n"/>
      <c r="L214" s="115" t="n"/>
      <c r="M214" s="114" t="n"/>
      <c r="N214" s="115" t="n"/>
    </row>
    <row r="215">
      <c r="A215" s="104" t="inlineStr">
        <is>
          <t>Hevea</t>
        </is>
      </c>
      <c r="B215" s="104" t="inlineStr">
        <is>
          <t>557-01953</t>
        </is>
      </c>
      <c r="C215" s="104" t="inlineStr">
        <is>
          <t>MANHATAN-3 SOFÁ 3 PLAZAS / 3 SEATER SOFA / CANAPÉ 3 PLACES</t>
        </is>
      </c>
      <c r="D215" s="105" t="inlineStr">
        <is>
          <t>2026-03-06</t>
        </is>
      </c>
      <c r="E215" s="106" t="n">
        <v>468</v>
      </c>
      <c r="F215" s="106" t="n">
        <v>850</v>
      </c>
      <c r="G215" s="106" t="n">
        <v>1028.5</v>
      </c>
      <c r="H215" s="106" t="n">
        <v>382</v>
      </c>
      <c r="I215" s="107" t="n">
        <v>44.94117647058823</v>
      </c>
      <c r="J215" s="107" t="n">
        <v>81.62393162393163</v>
      </c>
      <c r="K215" s="108" t="n"/>
      <c r="L215" s="109" t="n"/>
      <c r="M215" s="108" t="n"/>
      <c r="N215" s="109" t="n"/>
    </row>
    <row r="216">
      <c r="A216" s="122" t="inlineStr">
        <is>
          <t>Hevea</t>
        </is>
      </c>
      <c r="B216" s="122" t="inlineStr">
        <is>
          <t>557-01953</t>
        </is>
      </c>
      <c r="C216" s="122" t="inlineStr">
        <is>
          <t>MANHATAN-3 SOFÁ 3 PLAZAS / 3 SEATER SOFA / CANAPÉ 3 PLACES</t>
        </is>
      </c>
      <c r="D216" s="123" t="inlineStr">
        <is>
          <t>2026-05-07</t>
        </is>
      </c>
      <c r="E216" s="124" t="n">
        <v>536</v>
      </c>
      <c r="F216" s="124" t="n">
        <v>850</v>
      </c>
      <c r="G216" s="124" t="n">
        <v>1028.5</v>
      </c>
      <c r="H216" s="124" t="n">
        <v>314</v>
      </c>
      <c r="I216" s="125" t="n">
        <v>36.94117647058823</v>
      </c>
      <c r="J216" s="125" t="n">
        <v>58.58208955223881</v>
      </c>
      <c r="K216" s="126" t="n">
        <v>68</v>
      </c>
      <c r="L216" s="127" t="n">
        <v>14.52991452991453</v>
      </c>
      <c r="M216" s="126" t="n">
        <v>0</v>
      </c>
      <c r="N216" s="127" t="n">
        <v>0</v>
      </c>
    </row>
    <row r="217">
      <c r="A217" s="110" t="inlineStr">
        <is>
          <t>Hevea</t>
        </is>
      </c>
      <c r="B217" s="110" t="inlineStr">
        <is>
          <t>557-01953</t>
        </is>
      </c>
      <c r="C217" s="110" t="inlineStr">
        <is>
          <t>MANHATAN-8</t>
        </is>
      </c>
      <c r="D217" s="111" t="inlineStr">
        <is>
          <t>2026-04-17</t>
        </is>
      </c>
      <c r="E217" s="112" t="n">
        <v>1251</v>
      </c>
      <c r="F217" s="112" t="n">
        <v>850</v>
      </c>
      <c r="G217" s="112" t="n">
        <v>1028.5</v>
      </c>
      <c r="H217" s="112" t="n">
        <v>-401</v>
      </c>
      <c r="I217" s="113" t="n">
        <v>-47.17647058823529</v>
      </c>
      <c r="J217" s="113" t="n">
        <v>-32.05435651478817</v>
      </c>
      <c r="K217" s="114" t="n"/>
      <c r="L217" s="115" t="n"/>
      <c r="M217" s="114" t="n"/>
      <c r="N217" s="115" t="n"/>
    </row>
    <row r="218">
      <c r="A218" s="104" t="inlineStr">
        <is>
          <t>Hevea</t>
        </is>
      </c>
      <c r="B218" s="104" t="inlineStr">
        <is>
          <t>557-01954</t>
        </is>
      </c>
      <c r="C218" s="104" t="inlineStr">
        <is>
          <t>LOIRA-7</t>
        </is>
      </c>
      <c r="D218" s="105" t="inlineStr">
        <is>
          <t>2026-04-17</t>
        </is>
      </c>
      <c r="E218" s="106" t="n">
        <v>1509</v>
      </c>
      <c r="F218" s="106" t="n">
        <v>1645</v>
      </c>
      <c r="G218" s="106" t="n">
        <v>1990.45</v>
      </c>
      <c r="H218" s="106" t="n">
        <v>136</v>
      </c>
      <c r="I218" s="107" t="n">
        <v>8.267477203647417</v>
      </c>
      <c r="J218" s="107" t="n">
        <v>9.012591119946984</v>
      </c>
      <c r="K218" s="108" t="n"/>
      <c r="L218" s="109" t="n"/>
      <c r="M218" s="108" t="n"/>
      <c r="N218" s="109" t="n"/>
    </row>
    <row r="219">
      <c r="A219" s="110" t="inlineStr">
        <is>
          <t>Hevea</t>
        </is>
      </c>
      <c r="B219" s="110" t="inlineStr">
        <is>
          <t>557-01954</t>
        </is>
      </c>
      <c r="C219" s="110" t="inlineStr">
        <is>
          <t>MANHATAN-7 SET SOFÁ 2 PLAZAS / 2 SEATER SOFA SET / SET CANAPÉ 2 PLACES</t>
        </is>
      </c>
      <c r="D219" s="111" t="inlineStr">
        <is>
          <t>2026-03-06</t>
        </is>
      </c>
      <c r="E219" s="112" t="n">
        <v>905</v>
      </c>
      <c r="F219" s="112" t="n">
        <v>1645</v>
      </c>
      <c r="G219" s="112" t="n">
        <v>1990.45</v>
      </c>
      <c r="H219" s="112" t="n">
        <v>740</v>
      </c>
      <c r="I219" s="113" t="n">
        <v>44.98480243161094</v>
      </c>
      <c r="J219" s="113" t="n">
        <v>81.76795580110497</v>
      </c>
      <c r="K219" s="114" t="n"/>
      <c r="L219" s="115" t="n"/>
      <c r="M219" s="114" t="n"/>
      <c r="N219" s="115" t="n"/>
    </row>
    <row r="220">
      <c r="A220" s="116" t="inlineStr">
        <is>
          <t>Hevea</t>
        </is>
      </c>
      <c r="B220" s="116" t="inlineStr">
        <is>
          <t>557-01954</t>
        </is>
      </c>
      <c r="C220" s="116" t="inlineStr">
        <is>
          <t>MANHATAN-7 SET SOFÁ 2 PLAZAS / 2 SEATER SOFA SET / SET CANAPÉ 2 PLACES</t>
        </is>
      </c>
      <c r="D220" s="117" t="inlineStr">
        <is>
          <t>2026-05-07</t>
        </is>
      </c>
      <c r="E220" s="118" t="n">
        <v>1037</v>
      </c>
      <c r="F220" s="118" t="n">
        <v>1645</v>
      </c>
      <c r="G220" s="118" t="n">
        <v>1990.45</v>
      </c>
      <c r="H220" s="118" t="n">
        <v>608</v>
      </c>
      <c r="I220" s="119" t="n">
        <v>36.96048632218845</v>
      </c>
      <c r="J220" s="119" t="n">
        <v>58.63066538090646</v>
      </c>
      <c r="K220" s="120" t="n">
        <v>132</v>
      </c>
      <c r="L220" s="121" t="n">
        <v>14.58563535911602</v>
      </c>
      <c r="M220" s="120" t="n">
        <v>0</v>
      </c>
      <c r="N220" s="121" t="n">
        <v>0</v>
      </c>
    </row>
    <row r="221">
      <c r="A221" s="104" t="inlineStr">
        <is>
          <t>Hevea</t>
        </is>
      </c>
      <c r="B221" s="104" t="inlineStr">
        <is>
          <t>557-01955</t>
        </is>
      </c>
      <c r="C221" s="104" t="inlineStr">
        <is>
          <t>LOIRA-8</t>
        </is>
      </c>
      <c r="D221" s="105" t="inlineStr">
        <is>
          <t>2026-04-17</t>
        </is>
      </c>
      <c r="E221" s="106" t="n">
        <v>1975</v>
      </c>
      <c r="F221" s="106" t="n">
        <v>1985</v>
      </c>
      <c r="G221" s="106" t="n">
        <v>2401.85</v>
      </c>
      <c r="H221" s="106" t="n">
        <v>10</v>
      </c>
      <c r="I221" s="107" t="n">
        <v>0.5037783375314862</v>
      </c>
      <c r="J221" s="107" t="n">
        <v>0.5063291139240507</v>
      </c>
      <c r="K221" s="108" t="n"/>
      <c r="L221" s="109" t="n"/>
      <c r="M221" s="108" t="n"/>
      <c r="N221" s="109" t="n"/>
    </row>
    <row r="222">
      <c r="A222" s="110" t="inlineStr">
        <is>
          <t>Hevea</t>
        </is>
      </c>
      <c r="B222" s="110" t="inlineStr">
        <is>
          <t>557-01955</t>
        </is>
      </c>
      <c r="C222" s="110" t="inlineStr">
        <is>
          <t>MANHATAN-8 SET SOFÁ 3 PLAZAS / 3 SEATER SOFA SET / SET CANAPÉ 3 PLACES</t>
        </is>
      </c>
      <c r="D222" s="111" t="inlineStr">
        <is>
          <t>2026-03-06</t>
        </is>
      </c>
      <c r="E222" s="112" t="n">
        <v>1092</v>
      </c>
      <c r="F222" s="112" t="n">
        <v>1985</v>
      </c>
      <c r="G222" s="112" t="n">
        <v>2401.85</v>
      </c>
      <c r="H222" s="112" t="n">
        <v>893</v>
      </c>
      <c r="I222" s="113" t="n">
        <v>44.98740554156171</v>
      </c>
      <c r="J222" s="113" t="n">
        <v>81.77655677655677</v>
      </c>
      <c r="K222" s="114" t="n"/>
      <c r="L222" s="115" t="n"/>
      <c r="M222" s="114" t="n"/>
      <c r="N222" s="115" t="n"/>
    </row>
    <row r="223">
      <c r="A223" s="116" t="inlineStr">
        <is>
          <t>Hevea</t>
        </is>
      </c>
      <c r="B223" s="116" t="inlineStr">
        <is>
          <t>557-01955</t>
        </is>
      </c>
      <c r="C223" s="116" t="inlineStr">
        <is>
          <t>MANHATAN-8 SET SOFÁ 3 PLAZAS / 3 SEATER SOFA SET / SET CANAPÉ 3 PLACES</t>
        </is>
      </c>
      <c r="D223" s="117" t="inlineStr">
        <is>
          <t>2026-05-07</t>
        </is>
      </c>
      <c r="E223" s="118" t="n">
        <v>1251</v>
      </c>
      <c r="F223" s="118" t="n">
        <v>1985</v>
      </c>
      <c r="G223" s="118" t="n">
        <v>2401.85</v>
      </c>
      <c r="H223" s="118" t="n">
        <v>734</v>
      </c>
      <c r="I223" s="119" t="n">
        <v>36.97732997481108</v>
      </c>
      <c r="J223" s="119" t="n">
        <v>58.6730615507594</v>
      </c>
      <c r="K223" s="120" t="n">
        <v>159</v>
      </c>
      <c r="L223" s="121" t="n">
        <v>14.56043956043956</v>
      </c>
      <c r="M223" s="120" t="n">
        <v>0</v>
      </c>
      <c r="N223" s="121" t="n">
        <v>0</v>
      </c>
    </row>
    <row r="224">
      <c r="A224" s="104" t="inlineStr">
        <is>
          <t>Hevea</t>
        </is>
      </c>
      <c r="B224" s="104" t="inlineStr">
        <is>
          <t>557-0793</t>
        </is>
      </c>
      <c r="C224" s="104" t="inlineStr">
        <is>
          <t>BOLONIA XL-7 SET SOFA 2 PLAZAS/SOFA/CANAPÉ</t>
        </is>
      </c>
      <c r="D224" s="105" t="inlineStr">
        <is>
          <t>2026-03-06</t>
        </is>
      </c>
      <c r="E224" s="106" t="n">
        <v>1898</v>
      </c>
      <c r="F224" s="106" t="n">
        <v>3450</v>
      </c>
      <c r="G224" s="106" t="n">
        <v>4174.5</v>
      </c>
      <c r="H224" s="106" t="n">
        <v>1552</v>
      </c>
      <c r="I224" s="107" t="n">
        <v>44.98550724637681</v>
      </c>
      <c r="J224" s="107" t="n">
        <v>81.77028451001054</v>
      </c>
      <c r="K224" s="108" t="n"/>
      <c r="L224" s="109" t="n"/>
      <c r="M224" s="108" t="n"/>
      <c r="N224" s="109" t="n"/>
    </row>
    <row r="225">
      <c r="A225" s="122" t="inlineStr">
        <is>
          <t>Hevea</t>
        </is>
      </c>
      <c r="B225" s="122" t="inlineStr">
        <is>
          <t>557-0793</t>
        </is>
      </c>
      <c r="C225" s="122" t="inlineStr">
        <is>
          <t>BOLONIA XL-7 SET SOFA 2 PLAZAS/SOFA/CANAPÉ</t>
        </is>
      </c>
      <c r="D225" s="123" t="inlineStr">
        <is>
          <t>2026-04-17</t>
        </is>
      </c>
      <c r="E225" s="124" t="n">
        <v>2174</v>
      </c>
      <c r="F225" s="124" t="n">
        <v>3450</v>
      </c>
      <c r="G225" s="124" t="n">
        <v>4174.5</v>
      </c>
      <c r="H225" s="124" t="n">
        <v>1276</v>
      </c>
      <c r="I225" s="125" t="n">
        <v>36.98550724637681</v>
      </c>
      <c r="J225" s="125" t="n">
        <v>58.69365225390985</v>
      </c>
      <c r="K225" s="126" t="n">
        <v>276</v>
      </c>
      <c r="L225" s="127" t="n">
        <v>14.54162276080084</v>
      </c>
      <c r="M225" s="126" t="n">
        <v>0</v>
      </c>
      <c r="N225" s="127" t="n">
        <v>0</v>
      </c>
    </row>
    <row r="226">
      <c r="A226" s="122" t="inlineStr">
        <is>
          <t>Hevea</t>
        </is>
      </c>
      <c r="B226" s="122" t="inlineStr">
        <is>
          <t>557-0793</t>
        </is>
      </c>
      <c r="C226" s="122" t="inlineStr">
        <is>
          <t>BOLONIA XL-7 SET SOFA 2 PLAZAS/SOFA/CANAPÉ</t>
        </is>
      </c>
      <c r="D226" s="123" t="inlineStr">
        <is>
          <t>2026-05-07</t>
        </is>
      </c>
      <c r="E226" s="124" t="n">
        <v>2174</v>
      </c>
      <c r="F226" s="124" t="n">
        <v>3450</v>
      </c>
      <c r="G226" s="124" t="n">
        <v>4174.5</v>
      </c>
      <c r="H226" s="124" t="n">
        <v>1276</v>
      </c>
      <c r="I226" s="125" t="n">
        <v>36.98550724637681</v>
      </c>
      <c r="J226" s="125" t="n">
        <v>58.69365225390985</v>
      </c>
      <c r="K226" s="126" t="n">
        <v>0</v>
      </c>
      <c r="L226" s="127" t="n">
        <v>0</v>
      </c>
      <c r="M226" s="126" t="n">
        <v>0</v>
      </c>
      <c r="N226" s="127" t="n">
        <v>0</v>
      </c>
    </row>
    <row r="227">
      <c r="A227" s="110" t="inlineStr">
        <is>
          <t>Hevea</t>
        </is>
      </c>
      <c r="B227" s="110" t="inlineStr">
        <is>
          <t>557-0794</t>
        </is>
      </c>
      <c r="C227" s="110" t="inlineStr">
        <is>
          <t>HASTON-1 SILLÓN / ARMCHAIR / FAUTEUIL</t>
        </is>
      </c>
      <c r="D227" s="111" t="inlineStr">
        <is>
          <t>2026-03-06</t>
        </is>
      </c>
      <c r="E227" s="112" t="n">
        <v>253</v>
      </c>
      <c r="F227" s="112" t="n">
        <v>460</v>
      </c>
      <c r="G227" s="112" t="n">
        <v>556.6</v>
      </c>
      <c r="H227" s="112" t="n">
        <v>207</v>
      </c>
      <c r="I227" s="113" t="n">
        <v>45</v>
      </c>
      <c r="J227" s="113" t="n">
        <v>81.81818181818183</v>
      </c>
      <c r="K227" s="114" t="n"/>
      <c r="L227" s="115" t="n"/>
      <c r="M227" s="114" t="n"/>
      <c r="N227" s="115" t="n"/>
    </row>
    <row r="228">
      <c r="A228" s="116" t="inlineStr">
        <is>
          <t>Hevea</t>
        </is>
      </c>
      <c r="B228" s="116" t="inlineStr">
        <is>
          <t>557-0794</t>
        </is>
      </c>
      <c r="C228" s="116" t="inlineStr">
        <is>
          <t>HASTON-1</t>
        </is>
      </c>
      <c r="D228" s="117" t="inlineStr">
        <is>
          <t>2026-04-17</t>
        </is>
      </c>
      <c r="E228" s="118" t="n">
        <v>290</v>
      </c>
      <c r="F228" s="118" t="n">
        <v>460</v>
      </c>
      <c r="G228" s="118" t="n">
        <v>556.6</v>
      </c>
      <c r="H228" s="118" t="n">
        <v>170</v>
      </c>
      <c r="I228" s="119" t="n">
        <v>36.95652173913043</v>
      </c>
      <c r="J228" s="119" t="n">
        <v>58.62068965517241</v>
      </c>
      <c r="K228" s="120" t="n">
        <v>37</v>
      </c>
      <c r="L228" s="121" t="n">
        <v>14.62450592885375</v>
      </c>
      <c r="M228" s="120" t="n">
        <v>0</v>
      </c>
      <c r="N228" s="121" t="n">
        <v>0</v>
      </c>
    </row>
    <row r="229">
      <c r="A229" s="116" t="inlineStr">
        <is>
          <t>Hevea</t>
        </is>
      </c>
      <c r="B229" s="116" t="inlineStr">
        <is>
          <t>557-0794</t>
        </is>
      </c>
      <c r="C229" s="116" t="inlineStr">
        <is>
          <t>HASTON-1 SILLÓN / ARMCHAIR / FAUTEUIL</t>
        </is>
      </c>
      <c r="D229" s="117" t="inlineStr">
        <is>
          <t>2026-05-07</t>
        </is>
      </c>
      <c r="E229" s="118" t="n">
        <v>290</v>
      </c>
      <c r="F229" s="118" t="n">
        <v>460</v>
      </c>
      <c r="G229" s="118" t="n">
        <v>556.6</v>
      </c>
      <c r="H229" s="118" t="n">
        <v>170</v>
      </c>
      <c r="I229" s="119" t="n">
        <v>36.95652173913043</v>
      </c>
      <c r="J229" s="119" t="n">
        <v>58.62068965517241</v>
      </c>
      <c r="K229" s="120" t="n">
        <v>0</v>
      </c>
      <c r="L229" s="121" t="n">
        <v>0</v>
      </c>
      <c r="M229" s="120" t="n">
        <v>0</v>
      </c>
      <c r="N229" s="121" t="n">
        <v>0</v>
      </c>
    </row>
    <row r="230">
      <c r="A230" s="104" t="inlineStr">
        <is>
          <t>Hevea</t>
        </is>
      </c>
      <c r="B230" s="104" t="inlineStr">
        <is>
          <t>557-0795</t>
        </is>
      </c>
      <c r="C230" s="104" t="inlineStr">
        <is>
          <t>HASTON-2 SOFÁ 2 PLAZAS / 2 SEATER SOFA / CANAPÉ 2 PLACES</t>
        </is>
      </c>
      <c r="D230" s="105" t="inlineStr">
        <is>
          <t>2026-03-06</t>
        </is>
      </c>
      <c r="E230" s="106" t="n">
        <v>413</v>
      </c>
      <c r="F230" s="106" t="n">
        <v>750</v>
      </c>
      <c r="G230" s="106" t="n">
        <v>907.5</v>
      </c>
      <c r="H230" s="106" t="n">
        <v>337</v>
      </c>
      <c r="I230" s="107" t="n">
        <v>44.93333333333333</v>
      </c>
      <c r="J230" s="107" t="n">
        <v>81.59806295399515</v>
      </c>
      <c r="K230" s="108" t="n"/>
      <c r="L230" s="109" t="n"/>
      <c r="M230" s="108" t="n"/>
      <c r="N230" s="109" t="n"/>
    </row>
    <row r="231">
      <c r="A231" s="122" t="inlineStr">
        <is>
          <t>Hevea</t>
        </is>
      </c>
      <c r="B231" s="122" t="inlineStr">
        <is>
          <t>557-0795</t>
        </is>
      </c>
      <c r="C231" s="122" t="inlineStr">
        <is>
          <t>HASTON-2</t>
        </is>
      </c>
      <c r="D231" s="123" t="inlineStr">
        <is>
          <t>2026-04-17</t>
        </is>
      </c>
      <c r="E231" s="124" t="n">
        <v>473</v>
      </c>
      <c r="F231" s="124" t="n">
        <v>750</v>
      </c>
      <c r="G231" s="124" t="n">
        <v>907.5</v>
      </c>
      <c r="H231" s="124" t="n">
        <v>277</v>
      </c>
      <c r="I231" s="125" t="n">
        <v>36.93333333333334</v>
      </c>
      <c r="J231" s="125" t="n">
        <v>58.56236786469344</v>
      </c>
      <c r="K231" s="126" t="n">
        <v>60</v>
      </c>
      <c r="L231" s="127" t="n">
        <v>14.52784503631961</v>
      </c>
      <c r="M231" s="126" t="n">
        <v>0</v>
      </c>
      <c r="N231" s="127" t="n">
        <v>0</v>
      </c>
    </row>
    <row r="232">
      <c r="A232" s="122" t="inlineStr">
        <is>
          <t>Hevea</t>
        </is>
      </c>
      <c r="B232" s="122" t="inlineStr">
        <is>
          <t>557-0795</t>
        </is>
      </c>
      <c r="C232" s="122" t="inlineStr">
        <is>
          <t>HASTON-2 SOFÁ 2 PLAZAS / 2 SEATER SOFA / CANAPÉ 2 PLACES</t>
        </is>
      </c>
      <c r="D232" s="123" t="inlineStr">
        <is>
          <t>2026-05-07</t>
        </is>
      </c>
      <c r="E232" s="124" t="n">
        <v>473</v>
      </c>
      <c r="F232" s="124" t="n">
        <v>750</v>
      </c>
      <c r="G232" s="124" t="n">
        <v>907.5</v>
      </c>
      <c r="H232" s="124" t="n">
        <v>277</v>
      </c>
      <c r="I232" s="125" t="n">
        <v>36.93333333333334</v>
      </c>
      <c r="J232" s="125" t="n">
        <v>58.56236786469344</v>
      </c>
      <c r="K232" s="126" t="n">
        <v>0</v>
      </c>
      <c r="L232" s="127" t="n">
        <v>0</v>
      </c>
      <c r="M232" s="126" t="n">
        <v>0</v>
      </c>
      <c r="N232" s="127" t="n">
        <v>0</v>
      </c>
    </row>
    <row r="233">
      <c r="A233" s="110" t="inlineStr">
        <is>
          <t>Hevea</t>
        </is>
      </c>
      <c r="B233" s="110" t="inlineStr">
        <is>
          <t>557-0796</t>
        </is>
      </c>
      <c r="C233" s="110" t="inlineStr">
        <is>
          <t>HASTON-3 SOFÁ 3 PLAZAS / 3 SEATER SOFA / CANAPÉ 3 PLACES</t>
        </is>
      </c>
      <c r="D233" s="111" t="inlineStr">
        <is>
          <t>2026-03-06</t>
        </is>
      </c>
      <c r="E233" s="112" t="n">
        <v>545</v>
      </c>
      <c r="F233" s="112" t="n">
        <v>990</v>
      </c>
      <c r="G233" s="112" t="n">
        <v>1197.9</v>
      </c>
      <c r="H233" s="112" t="n">
        <v>445</v>
      </c>
      <c r="I233" s="113" t="n">
        <v>44.94949494949495</v>
      </c>
      <c r="J233" s="113" t="n">
        <v>81.65137614678899</v>
      </c>
      <c r="K233" s="114" t="n"/>
      <c r="L233" s="115" t="n"/>
      <c r="M233" s="114" t="n"/>
      <c r="N233" s="115" t="n"/>
    </row>
    <row r="234">
      <c r="A234" s="116" t="inlineStr">
        <is>
          <t>Hevea</t>
        </is>
      </c>
      <c r="B234" s="116" t="inlineStr">
        <is>
          <t>557-0796</t>
        </is>
      </c>
      <c r="C234" s="116" t="inlineStr">
        <is>
          <t>HASTON-3</t>
        </is>
      </c>
      <c r="D234" s="117" t="inlineStr">
        <is>
          <t>2026-04-17</t>
        </is>
      </c>
      <c r="E234" s="118" t="n">
        <v>624</v>
      </c>
      <c r="F234" s="118" t="n">
        <v>990</v>
      </c>
      <c r="G234" s="118" t="n">
        <v>1197.9</v>
      </c>
      <c r="H234" s="118" t="n">
        <v>366</v>
      </c>
      <c r="I234" s="119" t="n">
        <v>36.96969696969697</v>
      </c>
      <c r="J234" s="119" t="n">
        <v>58.65384615384615</v>
      </c>
      <c r="K234" s="120" t="n">
        <v>79</v>
      </c>
      <c r="L234" s="121" t="n">
        <v>14.4954128440367</v>
      </c>
      <c r="M234" s="120" t="n">
        <v>0</v>
      </c>
      <c r="N234" s="121" t="n">
        <v>0</v>
      </c>
    </row>
    <row r="235">
      <c r="A235" s="116" t="inlineStr">
        <is>
          <t>Hevea</t>
        </is>
      </c>
      <c r="B235" s="116" t="inlineStr">
        <is>
          <t>557-0796</t>
        </is>
      </c>
      <c r="C235" s="116" t="inlineStr">
        <is>
          <t>HASTON-3 SOFÁ 3 PLAZAS / 3 SEATER SOFA / CANAPÉ 3 PLACES</t>
        </is>
      </c>
      <c r="D235" s="117" t="inlineStr">
        <is>
          <t>2026-05-07</t>
        </is>
      </c>
      <c r="E235" s="118" t="n">
        <v>624</v>
      </c>
      <c r="F235" s="118" t="n">
        <v>990</v>
      </c>
      <c r="G235" s="118" t="n">
        <v>1197.9</v>
      </c>
      <c r="H235" s="118" t="n">
        <v>366</v>
      </c>
      <c r="I235" s="119" t="n">
        <v>36.96969696969697</v>
      </c>
      <c r="J235" s="119" t="n">
        <v>58.65384615384615</v>
      </c>
      <c r="K235" s="120" t="n">
        <v>0</v>
      </c>
      <c r="L235" s="121" t="n">
        <v>0</v>
      </c>
      <c r="M235" s="120" t="n">
        <v>0</v>
      </c>
      <c r="N235" s="121" t="n">
        <v>0</v>
      </c>
    </row>
    <row r="236">
      <c r="A236" s="104" t="inlineStr">
        <is>
          <t>Hevea</t>
        </is>
      </c>
      <c r="B236" s="104" t="inlineStr">
        <is>
          <t>557-0798</t>
        </is>
      </c>
      <c r="C236" s="104" t="inlineStr">
        <is>
          <t>HASTON-7 SET SOFÁ 2 PLAZAS / 2 SEATER SOFA SET / SET CANAPÉ 2 PLACES</t>
        </is>
      </c>
      <c r="D236" s="105" t="inlineStr">
        <is>
          <t>2026-03-06</t>
        </is>
      </c>
      <c r="E236" s="106" t="n">
        <v>1070</v>
      </c>
      <c r="F236" s="106" t="n">
        <v>1945</v>
      </c>
      <c r="G236" s="106" t="n">
        <v>2353.45</v>
      </c>
      <c r="H236" s="106" t="n">
        <v>875</v>
      </c>
      <c r="I236" s="107" t="n">
        <v>44.98714652956298</v>
      </c>
      <c r="J236" s="107" t="n">
        <v>81.77570093457945</v>
      </c>
      <c r="K236" s="108" t="n"/>
      <c r="L236" s="109" t="n"/>
      <c r="M236" s="108" t="n"/>
      <c r="N236" s="109" t="n"/>
    </row>
    <row r="237">
      <c r="A237" s="122" t="inlineStr">
        <is>
          <t>Hevea</t>
        </is>
      </c>
      <c r="B237" s="122" t="inlineStr">
        <is>
          <t>557-0798</t>
        </is>
      </c>
      <c r="C237" s="122" t="inlineStr">
        <is>
          <t>HASTON-7</t>
        </is>
      </c>
      <c r="D237" s="123" t="inlineStr">
        <is>
          <t>2026-04-17</t>
        </is>
      </c>
      <c r="E237" s="124" t="n">
        <v>1225</v>
      </c>
      <c r="F237" s="124" t="n">
        <v>1945</v>
      </c>
      <c r="G237" s="124" t="n">
        <v>2353.45</v>
      </c>
      <c r="H237" s="124" t="n">
        <v>720</v>
      </c>
      <c r="I237" s="125" t="n">
        <v>37.01799485861182</v>
      </c>
      <c r="J237" s="125" t="n">
        <v>58.77551020408164</v>
      </c>
      <c r="K237" s="126" t="n">
        <v>155</v>
      </c>
      <c r="L237" s="127" t="n">
        <v>14.48598130841121</v>
      </c>
      <c r="M237" s="126" t="n">
        <v>0</v>
      </c>
      <c r="N237" s="127" t="n">
        <v>0</v>
      </c>
    </row>
    <row r="238">
      <c r="A238" s="122" t="inlineStr">
        <is>
          <t>Hevea</t>
        </is>
      </c>
      <c r="B238" s="122" t="inlineStr">
        <is>
          <t>557-0798</t>
        </is>
      </c>
      <c r="C238" s="122" t="inlineStr">
        <is>
          <t>HASTON-7 SET SOFÁ 2 PLAZAS / 2 SEATER SOFA SET / SET CANAPÉ 2 PLACES</t>
        </is>
      </c>
      <c r="D238" s="123" t="inlineStr">
        <is>
          <t>2026-05-07</t>
        </is>
      </c>
      <c r="E238" s="124" t="n">
        <v>1226</v>
      </c>
      <c r="F238" s="124" t="n">
        <v>1945</v>
      </c>
      <c r="G238" s="124" t="n">
        <v>2353.45</v>
      </c>
      <c r="H238" s="124" t="n">
        <v>719</v>
      </c>
      <c r="I238" s="125" t="n">
        <v>36.96658097686375</v>
      </c>
      <c r="J238" s="125" t="n">
        <v>58.64600326264274</v>
      </c>
      <c r="K238" s="126" t="n">
        <v>1</v>
      </c>
      <c r="L238" s="127" t="n">
        <v>0.0816326530612245</v>
      </c>
      <c r="M238" s="126" t="n">
        <v>0</v>
      </c>
      <c r="N238" s="127" t="n">
        <v>0</v>
      </c>
    </row>
    <row r="239">
      <c r="A239" s="110" t="inlineStr">
        <is>
          <t>Hevea</t>
        </is>
      </c>
      <c r="B239" s="110" t="inlineStr">
        <is>
          <t>557-0799</t>
        </is>
      </c>
      <c r="C239" s="110" t="inlineStr">
        <is>
          <t>HASTON-8 SET SOFÁ 3 PLAZAS / 3 SEATER SOFA SET / SET CANAPÉ 3 PLACES</t>
        </is>
      </c>
      <c r="D239" s="111" t="inlineStr">
        <is>
          <t>2026-03-06</t>
        </is>
      </c>
      <c r="E239" s="112" t="n">
        <v>1252</v>
      </c>
      <c r="F239" s="112" t="n">
        <v>2275</v>
      </c>
      <c r="G239" s="112" t="n">
        <v>2752.75</v>
      </c>
      <c r="H239" s="112" t="n">
        <v>1023</v>
      </c>
      <c r="I239" s="113" t="n">
        <v>44.96703296703296</v>
      </c>
      <c r="J239" s="113" t="n">
        <v>81.70926517571885</v>
      </c>
      <c r="K239" s="114" t="n"/>
      <c r="L239" s="115" t="n"/>
      <c r="M239" s="114" t="n"/>
      <c r="N239" s="115" t="n"/>
    </row>
    <row r="240">
      <c r="A240" s="116" t="inlineStr">
        <is>
          <t>Hevea</t>
        </is>
      </c>
      <c r="B240" s="116" t="inlineStr">
        <is>
          <t>557-0799</t>
        </is>
      </c>
      <c r="C240" s="116" t="inlineStr">
        <is>
          <t>HASTON-8</t>
        </is>
      </c>
      <c r="D240" s="117" t="inlineStr">
        <is>
          <t>2026-04-17</t>
        </is>
      </c>
      <c r="E240" s="118" t="n">
        <v>1433</v>
      </c>
      <c r="F240" s="118" t="n">
        <v>2275</v>
      </c>
      <c r="G240" s="118" t="n">
        <v>2752.75</v>
      </c>
      <c r="H240" s="118" t="n">
        <v>842</v>
      </c>
      <c r="I240" s="119" t="n">
        <v>37.01098901098901</v>
      </c>
      <c r="J240" s="119" t="n">
        <v>58.75785066294487</v>
      </c>
      <c r="K240" s="120" t="n">
        <v>181</v>
      </c>
      <c r="L240" s="121" t="n">
        <v>14.45686900958466</v>
      </c>
      <c r="M240" s="120" t="n">
        <v>0</v>
      </c>
      <c r="N240" s="121" t="n">
        <v>0</v>
      </c>
    </row>
    <row r="241">
      <c r="A241" s="116" t="inlineStr">
        <is>
          <t>Hevea</t>
        </is>
      </c>
      <c r="B241" s="116" t="inlineStr">
        <is>
          <t>557-0799</t>
        </is>
      </c>
      <c r="C241" s="116" t="inlineStr">
        <is>
          <t>HASTON-8 SET SOFÁ 3 PLAZAS / 3 SEATER SOFA SET / SET CANAPÉ 3 PLACES</t>
        </is>
      </c>
      <c r="D241" s="117" t="inlineStr">
        <is>
          <t>2026-05-07</t>
        </is>
      </c>
      <c r="E241" s="118" t="n">
        <v>1434</v>
      </c>
      <c r="F241" s="118" t="n">
        <v>2275</v>
      </c>
      <c r="G241" s="118" t="n">
        <v>2752.75</v>
      </c>
      <c r="H241" s="118" t="n">
        <v>841</v>
      </c>
      <c r="I241" s="119" t="n">
        <v>36.96703296703296</v>
      </c>
      <c r="J241" s="119" t="n">
        <v>58.64714086471409</v>
      </c>
      <c r="K241" s="120" t="n">
        <v>1</v>
      </c>
      <c r="L241" s="121" t="n">
        <v>0.06978367062107467</v>
      </c>
      <c r="M241" s="120" t="n">
        <v>0</v>
      </c>
      <c r="N241" s="121" t="n">
        <v>0</v>
      </c>
    </row>
    <row r="242">
      <c r="A242" s="104" t="inlineStr">
        <is>
          <t>Hevea</t>
        </is>
      </c>
      <c r="B242" s="104" t="inlineStr">
        <is>
          <t>557-0919</t>
        </is>
      </c>
      <c r="C242" s="104" t="inlineStr">
        <is>
          <t>MANHATAN-2</t>
        </is>
      </c>
      <c r="D242" s="105" t="inlineStr">
        <is>
          <t>2026-04-17</t>
        </is>
      </c>
      <c r="E242" s="106" t="n">
        <v>372</v>
      </c>
      <c r="F242" s="106" t="n">
        <v>1690</v>
      </c>
      <c r="G242" s="106" t="n">
        <v>2044.9</v>
      </c>
      <c r="H242" s="106" t="n">
        <v>1318</v>
      </c>
      <c r="I242" s="107" t="n">
        <v>77.98816568047337</v>
      </c>
      <c r="J242" s="107" t="n">
        <v>354.3010752688172</v>
      </c>
      <c r="K242" s="108" t="n"/>
      <c r="L242" s="109" t="n"/>
      <c r="M242" s="108" t="n"/>
      <c r="N242" s="109" t="n"/>
    </row>
    <row r="243">
      <c r="A243" s="110" t="inlineStr">
        <is>
          <t>Hevea</t>
        </is>
      </c>
      <c r="B243" s="110" t="inlineStr">
        <is>
          <t>557-0919</t>
        </is>
      </c>
      <c r="C243" s="110" t="inlineStr">
        <is>
          <t>PÉRGOLA VENECIA / VENECIA PERGOLA / PERGOLA VENECIA</t>
        </is>
      </c>
      <c r="D243" s="111" t="inlineStr">
        <is>
          <t>2026-03-06</t>
        </is>
      </c>
      <c r="E243" s="112" t="n">
        <v>930</v>
      </c>
      <c r="F243" s="112" t="n">
        <v>1690</v>
      </c>
      <c r="G243" s="112" t="n">
        <v>2044.9</v>
      </c>
      <c r="H243" s="112" t="n">
        <v>760</v>
      </c>
      <c r="I243" s="113" t="n">
        <v>44.97041420118343</v>
      </c>
      <c r="J243" s="113" t="n">
        <v>81.72043010752688</v>
      </c>
      <c r="K243" s="114" t="n"/>
      <c r="L243" s="115" t="n"/>
      <c r="M243" s="114" t="n"/>
      <c r="N243" s="115" t="n"/>
    </row>
    <row r="244">
      <c r="A244" s="116" t="inlineStr">
        <is>
          <t>Hevea</t>
        </is>
      </c>
      <c r="B244" s="116" t="inlineStr">
        <is>
          <t>557-0919</t>
        </is>
      </c>
      <c r="C244" s="116" t="inlineStr">
        <is>
          <t>PÉRGOLA VENECIA / VENECIA PERGOLA / PERGOLA VENECIA</t>
        </is>
      </c>
      <c r="D244" s="117" t="inlineStr">
        <is>
          <t>2026-05-07</t>
        </is>
      </c>
      <c r="E244" s="118" t="n">
        <v>1065</v>
      </c>
      <c r="F244" s="118" t="n">
        <v>1690</v>
      </c>
      <c r="G244" s="118" t="n">
        <v>2044.9</v>
      </c>
      <c r="H244" s="118" t="n">
        <v>625</v>
      </c>
      <c r="I244" s="119" t="n">
        <v>36.98224852071006</v>
      </c>
      <c r="J244" s="119" t="n">
        <v>58.68544600938967</v>
      </c>
      <c r="K244" s="120" t="n">
        <v>135</v>
      </c>
      <c r="L244" s="121" t="n">
        <v>14.51612903225807</v>
      </c>
      <c r="M244" s="120" t="n">
        <v>0</v>
      </c>
      <c r="N244" s="121" t="n">
        <v>0</v>
      </c>
    </row>
    <row r="245">
      <c r="A245" s="104" t="inlineStr">
        <is>
          <t>Hevea</t>
        </is>
      </c>
      <c r="B245" s="104" t="inlineStr">
        <is>
          <t>557-1070</t>
        </is>
      </c>
      <c r="C245" s="104" t="inlineStr">
        <is>
          <t>MESA CENTRO 90</t>
        </is>
      </c>
      <c r="D245" s="105" t="inlineStr">
        <is>
          <t>2026-03-06</t>
        </is>
      </c>
      <c r="E245" s="106" t="n">
        <v>152</v>
      </c>
      <c r="F245" s="106" t="n">
        <v>275</v>
      </c>
      <c r="G245" s="106" t="n">
        <v>332.75</v>
      </c>
      <c r="H245" s="106" t="n">
        <v>123</v>
      </c>
      <c r="I245" s="107" t="n">
        <v>44.72727272727273</v>
      </c>
      <c r="J245" s="107" t="n">
        <v>80.92105263157895</v>
      </c>
      <c r="K245" s="108" t="n"/>
      <c r="L245" s="109" t="n"/>
      <c r="M245" s="108" t="n"/>
      <c r="N245" s="109" t="n"/>
    </row>
    <row r="246">
      <c r="A246" s="122" t="inlineStr">
        <is>
          <t>Hevea</t>
        </is>
      </c>
      <c r="B246" s="122" t="inlineStr">
        <is>
          <t>557-1070</t>
        </is>
      </c>
      <c r="C246" s="122" t="inlineStr">
        <is>
          <t>MESA CENTRO 90</t>
        </is>
      </c>
      <c r="D246" s="123" t="inlineStr">
        <is>
          <t>2026-04-17</t>
        </is>
      </c>
      <c r="E246" s="124" t="n">
        <v>173</v>
      </c>
      <c r="F246" s="124" t="n">
        <v>275</v>
      </c>
      <c r="G246" s="124" t="n">
        <v>332.75</v>
      </c>
      <c r="H246" s="124" t="n">
        <v>102</v>
      </c>
      <c r="I246" s="125" t="n">
        <v>37.09090909090909</v>
      </c>
      <c r="J246" s="125" t="n">
        <v>58.95953757225434</v>
      </c>
      <c r="K246" s="126" t="n">
        <v>21</v>
      </c>
      <c r="L246" s="127" t="n">
        <v>13.81578947368421</v>
      </c>
      <c r="M246" s="126" t="n">
        <v>0</v>
      </c>
      <c r="N246" s="127" t="n">
        <v>0</v>
      </c>
    </row>
    <row r="247">
      <c r="A247" s="122" t="inlineStr">
        <is>
          <t>Hevea</t>
        </is>
      </c>
      <c r="B247" s="122" t="inlineStr">
        <is>
          <t>557-1070</t>
        </is>
      </c>
      <c r="C247" s="122" t="inlineStr">
        <is>
          <t>MESA CENTRO 90</t>
        </is>
      </c>
      <c r="D247" s="123" t="inlineStr">
        <is>
          <t>2026-05-07</t>
        </is>
      </c>
      <c r="E247" s="124" t="n">
        <v>174</v>
      </c>
      <c r="F247" s="124" t="n">
        <v>275</v>
      </c>
      <c r="G247" s="124" t="n">
        <v>332.75</v>
      </c>
      <c r="H247" s="124" t="n">
        <v>101</v>
      </c>
      <c r="I247" s="125" t="n">
        <v>36.72727272727273</v>
      </c>
      <c r="J247" s="125" t="n">
        <v>58.04597701149425</v>
      </c>
      <c r="K247" s="126" t="n">
        <v>1</v>
      </c>
      <c r="L247" s="127" t="n">
        <v>0.5780346820809248</v>
      </c>
      <c r="M247" s="126" t="n">
        <v>0</v>
      </c>
      <c r="N247" s="127" t="n">
        <v>0</v>
      </c>
    </row>
    <row r="248">
      <c r="A248" s="110" t="inlineStr">
        <is>
          <t>Hevea</t>
        </is>
      </c>
      <c r="B248" s="110" t="inlineStr">
        <is>
          <t>557-1071</t>
        </is>
      </c>
      <c r="C248" s="110" t="inlineStr">
        <is>
          <t>UNIVERSAL-80 MESA CENTRO/COFFEE TABLE</t>
        </is>
      </c>
      <c r="D248" s="111" t="inlineStr">
        <is>
          <t>2026-03-06</t>
        </is>
      </c>
      <c r="E248" s="112" t="n">
        <v>154</v>
      </c>
      <c r="F248" s="112" t="n">
        <v>280</v>
      </c>
      <c r="G248" s="112" t="n">
        <v>338.8</v>
      </c>
      <c r="H248" s="112" t="n">
        <v>126</v>
      </c>
      <c r="I248" s="113" t="n">
        <v>45</v>
      </c>
      <c r="J248" s="113" t="n">
        <v>81.81818181818183</v>
      </c>
      <c r="K248" s="114" t="n"/>
      <c r="L248" s="115" t="n"/>
      <c r="M248" s="114" t="n"/>
      <c r="N248" s="115" t="n"/>
    </row>
    <row r="249">
      <c r="A249" s="116" t="inlineStr">
        <is>
          <t>Hevea</t>
        </is>
      </c>
      <c r="B249" s="116" t="inlineStr">
        <is>
          <t>557-1071</t>
        </is>
      </c>
      <c r="C249" s="116" t="inlineStr">
        <is>
          <t>UNIVERSAL-80 MESA CENTRO/COFFEE TABLE</t>
        </is>
      </c>
      <c r="D249" s="117" t="inlineStr">
        <is>
          <t>2026-04-17</t>
        </is>
      </c>
      <c r="E249" s="118" t="n">
        <v>176</v>
      </c>
      <c r="F249" s="118" t="n">
        <v>280</v>
      </c>
      <c r="G249" s="118" t="n">
        <v>338.8</v>
      </c>
      <c r="H249" s="118" t="n">
        <v>104</v>
      </c>
      <c r="I249" s="119" t="n">
        <v>37.14285714285715</v>
      </c>
      <c r="J249" s="119" t="n">
        <v>59.09090909090909</v>
      </c>
      <c r="K249" s="120" t="n">
        <v>22</v>
      </c>
      <c r="L249" s="121" t="n">
        <v>14.28571428571428</v>
      </c>
      <c r="M249" s="120" t="n">
        <v>0</v>
      </c>
      <c r="N249" s="121" t="n">
        <v>0</v>
      </c>
    </row>
    <row r="250">
      <c r="A250" s="116" t="inlineStr">
        <is>
          <t>Hevea</t>
        </is>
      </c>
      <c r="B250" s="116" t="inlineStr">
        <is>
          <t>557-1071</t>
        </is>
      </c>
      <c r="C250" s="116" t="inlineStr">
        <is>
          <t>UNIVERSAL-80 MESA CENTRO/COFFEE TABLE</t>
        </is>
      </c>
      <c r="D250" s="117" t="inlineStr">
        <is>
          <t>2026-05-07</t>
        </is>
      </c>
      <c r="E250" s="118" t="n">
        <v>177</v>
      </c>
      <c r="F250" s="118" t="n">
        <v>280</v>
      </c>
      <c r="G250" s="118" t="n">
        <v>338.8</v>
      </c>
      <c r="H250" s="118" t="n">
        <v>103</v>
      </c>
      <c r="I250" s="119" t="n">
        <v>36.78571428571429</v>
      </c>
      <c r="J250" s="119" t="n">
        <v>58.19209039548022</v>
      </c>
      <c r="K250" s="120" t="n">
        <v>1</v>
      </c>
      <c r="L250" s="121" t="n">
        <v>0.5681818181818182</v>
      </c>
      <c r="M250" s="120" t="n">
        <v>0</v>
      </c>
      <c r="N250" s="121" t="n">
        <v>0</v>
      </c>
    </row>
    <row r="251">
      <c r="A251" s="104" t="inlineStr">
        <is>
          <t>Hevea</t>
        </is>
      </c>
      <c r="B251" s="104" t="inlineStr">
        <is>
          <t>557-1089</t>
        </is>
      </c>
      <c r="C251" s="104" t="inlineStr">
        <is>
          <t>BELLAGIO-1 SILLÓN/ARMCHAIR/FAUTEUIL</t>
        </is>
      </c>
      <c r="D251" s="105" t="inlineStr">
        <is>
          <t>2026-03-06</t>
        </is>
      </c>
      <c r="E251" s="106" t="n">
        <v>361</v>
      </c>
      <c r="F251" s="106" t="n">
        <v>655</v>
      </c>
      <c r="G251" s="106" t="n">
        <v>792.55</v>
      </c>
      <c r="H251" s="106" t="n">
        <v>294</v>
      </c>
      <c r="I251" s="107" t="n">
        <v>44.88549618320611</v>
      </c>
      <c r="J251" s="107" t="n">
        <v>81.4404432132964</v>
      </c>
      <c r="K251" s="108" t="n"/>
      <c r="L251" s="109" t="n"/>
      <c r="M251" s="108" t="n"/>
      <c r="N251" s="109" t="n"/>
    </row>
    <row r="252">
      <c r="A252" s="122" t="inlineStr">
        <is>
          <t>Hevea</t>
        </is>
      </c>
      <c r="B252" s="122" t="inlineStr">
        <is>
          <t>557-1089</t>
        </is>
      </c>
      <c r="C252" s="122" t="inlineStr">
        <is>
          <t>BELLAGIO-1 SILLÓN/ARMCHAIR/FAUTEUIL</t>
        </is>
      </c>
      <c r="D252" s="123" t="inlineStr">
        <is>
          <t>2026-04-17</t>
        </is>
      </c>
      <c r="E252" s="124" t="n">
        <v>413</v>
      </c>
      <c r="F252" s="124" t="n">
        <v>655</v>
      </c>
      <c r="G252" s="124" t="n">
        <v>792.55</v>
      </c>
      <c r="H252" s="124" t="n">
        <v>242</v>
      </c>
      <c r="I252" s="125" t="n">
        <v>36.94656488549619</v>
      </c>
      <c r="J252" s="125" t="n">
        <v>58.59564164648911</v>
      </c>
      <c r="K252" s="126" t="n">
        <v>52</v>
      </c>
      <c r="L252" s="127" t="n">
        <v>14.40443213296399</v>
      </c>
      <c r="M252" s="126" t="n">
        <v>0</v>
      </c>
      <c r="N252" s="127" t="n">
        <v>0</v>
      </c>
    </row>
    <row r="253">
      <c r="A253" s="122" t="inlineStr">
        <is>
          <t>Hevea</t>
        </is>
      </c>
      <c r="B253" s="122" t="inlineStr">
        <is>
          <t>557-1089</t>
        </is>
      </c>
      <c r="C253" s="122" t="inlineStr">
        <is>
          <t>BELLAGIO-1 SILLÓN/ARMCHAIR/FAUTEUIL</t>
        </is>
      </c>
      <c r="D253" s="123" t="inlineStr">
        <is>
          <t>2026-05-07</t>
        </is>
      </c>
      <c r="E253" s="124" t="n">
        <v>413</v>
      </c>
      <c r="F253" s="124" t="n">
        <v>655</v>
      </c>
      <c r="G253" s="124" t="n">
        <v>792.55</v>
      </c>
      <c r="H253" s="124" t="n">
        <v>242</v>
      </c>
      <c r="I253" s="125" t="n">
        <v>36.94656488549619</v>
      </c>
      <c r="J253" s="125" t="n">
        <v>58.59564164648911</v>
      </c>
      <c r="K253" s="126" t="n">
        <v>0</v>
      </c>
      <c r="L253" s="127" t="n">
        <v>0</v>
      </c>
      <c r="M253" s="126" t="n">
        <v>0</v>
      </c>
      <c r="N253" s="127" t="n">
        <v>0</v>
      </c>
    </row>
    <row r="254">
      <c r="A254" s="110" t="inlineStr">
        <is>
          <t>Hevea</t>
        </is>
      </c>
      <c r="B254" s="110" t="inlineStr">
        <is>
          <t>557-1090</t>
        </is>
      </c>
      <c r="C254" s="110" t="inlineStr">
        <is>
          <t>BELLAGIO-3 SOFA 3 PLAZAS/SOFA/CANAPÉ</t>
        </is>
      </c>
      <c r="D254" s="111" t="inlineStr">
        <is>
          <t>2026-03-06</t>
        </is>
      </c>
      <c r="E254" s="112" t="n">
        <v>677</v>
      </c>
      <c r="F254" s="112" t="n">
        <v>1230</v>
      </c>
      <c r="G254" s="112" t="n">
        <v>1488.3</v>
      </c>
      <c r="H254" s="112" t="n">
        <v>553</v>
      </c>
      <c r="I254" s="113" t="n">
        <v>44.95934959349594</v>
      </c>
      <c r="J254" s="113" t="n">
        <v>81.68389955686854</v>
      </c>
      <c r="K254" s="114" t="n"/>
      <c r="L254" s="115" t="n"/>
      <c r="M254" s="114" t="n"/>
      <c r="N254" s="115" t="n"/>
    </row>
    <row r="255">
      <c r="A255" s="116" t="inlineStr">
        <is>
          <t>Hevea</t>
        </is>
      </c>
      <c r="B255" s="116" t="inlineStr">
        <is>
          <t>557-1090</t>
        </is>
      </c>
      <c r="C255" s="116" t="inlineStr">
        <is>
          <t>BELLAGIO-3 SOFA 3 PLAZAS/SOFA/CANAPÉ</t>
        </is>
      </c>
      <c r="D255" s="117" t="inlineStr">
        <is>
          <t>2026-04-17</t>
        </is>
      </c>
      <c r="E255" s="118" t="n">
        <v>775</v>
      </c>
      <c r="F255" s="118" t="n">
        <v>1230</v>
      </c>
      <c r="G255" s="118" t="n">
        <v>1488.3</v>
      </c>
      <c r="H255" s="118" t="n">
        <v>455</v>
      </c>
      <c r="I255" s="119" t="n">
        <v>36.99186991869919</v>
      </c>
      <c r="J255" s="119" t="n">
        <v>58.70967741935483</v>
      </c>
      <c r="K255" s="120" t="n">
        <v>98</v>
      </c>
      <c r="L255" s="121" t="n">
        <v>14.47562776957164</v>
      </c>
      <c r="M255" s="120" t="n">
        <v>0</v>
      </c>
      <c r="N255" s="121" t="n">
        <v>0</v>
      </c>
    </row>
    <row r="256">
      <c r="A256" s="116" t="inlineStr">
        <is>
          <t>Hevea</t>
        </is>
      </c>
      <c r="B256" s="116" t="inlineStr">
        <is>
          <t>557-1090</t>
        </is>
      </c>
      <c r="C256" s="116" t="inlineStr">
        <is>
          <t>BELLAGIO-3 SOFA 3 PLAZAS/SOFA/CANAPÉ</t>
        </is>
      </c>
      <c r="D256" s="117" t="inlineStr">
        <is>
          <t>2026-05-07</t>
        </is>
      </c>
      <c r="E256" s="118" t="n">
        <v>775</v>
      </c>
      <c r="F256" s="118" t="n">
        <v>1230</v>
      </c>
      <c r="G256" s="118" t="n">
        <v>1488.3</v>
      </c>
      <c r="H256" s="118" t="n">
        <v>455</v>
      </c>
      <c r="I256" s="119" t="n">
        <v>36.99186991869919</v>
      </c>
      <c r="J256" s="119" t="n">
        <v>58.70967741935483</v>
      </c>
      <c r="K256" s="120" t="n">
        <v>0</v>
      </c>
      <c r="L256" s="121" t="n">
        <v>0</v>
      </c>
      <c r="M256" s="120" t="n">
        <v>0</v>
      </c>
      <c r="N256" s="121" t="n">
        <v>0</v>
      </c>
    </row>
    <row r="257">
      <c r="A257" s="104" t="inlineStr">
        <is>
          <t>Hevea</t>
        </is>
      </c>
      <c r="B257" s="104" t="inlineStr">
        <is>
          <t>557-1091</t>
        </is>
      </c>
      <c r="C257" s="104" t="inlineStr">
        <is>
          <t>BELLAGIO-2 SOFA 2 PLAZAS/SOFA/CANAPÉ</t>
        </is>
      </c>
      <c r="D257" s="105" t="inlineStr">
        <is>
          <t>2026-03-06</t>
        </is>
      </c>
      <c r="E257" s="106" t="n">
        <v>479</v>
      </c>
      <c r="F257" s="106" t="n">
        <v>870</v>
      </c>
      <c r="G257" s="106" t="n">
        <v>1052.7</v>
      </c>
      <c r="H257" s="106" t="n">
        <v>391</v>
      </c>
      <c r="I257" s="107" t="n">
        <v>44.94252873563218</v>
      </c>
      <c r="J257" s="107" t="n">
        <v>81.62839248434238</v>
      </c>
      <c r="K257" s="108" t="n"/>
      <c r="L257" s="109" t="n"/>
      <c r="M257" s="108" t="n"/>
      <c r="N257" s="109" t="n"/>
    </row>
    <row r="258">
      <c r="A258" s="122" t="inlineStr">
        <is>
          <t>Hevea</t>
        </is>
      </c>
      <c r="B258" s="122" t="inlineStr">
        <is>
          <t>557-1091</t>
        </is>
      </c>
      <c r="C258" s="122" t="inlineStr">
        <is>
          <t>BELLAGIO-2 SOFA 2 PLAZAS/SOFA/CANAPÉ</t>
        </is>
      </c>
      <c r="D258" s="123" t="inlineStr">
        <is>
          <t>2026-04-17</t>
        </is>
      </c>
      <c r="E258" s="124" t="n">
        <v>548</v>
      </c>
      <c r="F258" s="124" t="n">
        <v>870</v>
      </c>
      <c r="G258" s="124" t="n">
        <v>1052.7</v>
      </c>
      <c r="H258" s="124" t="n">
        <v>322</v>
      </c>
      <c r="I258" s="125" t="n">
        <v>37.01149425287356</v>
      </c>
      <c r="J258" s="125" t="n">
        <v>58.75912408759124</v>
      </c>
      <c r="K258" s="126" t="n">
        <v>69</v>
      </c>
      <c r="L258" s="127" t="n">
        <v>14.40501043841336</v>
      </c>
      <c r="M258" s="126" t="n">
        <v>0</v>
      </c>
      <c r="N258" s="127" t="n">
        <v>0</v>
      </c>
    </row>
    <row r="259">
      <c r="A259" s="122" t="inlineStr">
        <is>
          <t>Hevea</t>
        </is>
      </c>
      <c r="B259" s="122" t="inlineStr">
        <is>
          <t>557-1091</t>
        </is>
      </c>
      <c r="C259" s="122" t="inlineStr">
        <is>
          <t>BELLAGIO-2 SOFA 2 PLAZAS/SOFA/CANAPÉ</t>
        </is>
      </c>
      <c r="D259" s="123" t="inlineStr">
        <is>
          <t>2026-05-07</t>
        </is>
      </c>
      <c r="E259" s="124" t="n">
        <v>549</v>
      </c>
      <c r="F259" s="124" t="n">
        <v>870</v>
      </c>
      <c r="G259" s="124" t="n">
        <v>1052.7</v>
      </c>
      <c r="H259" s="124" t="n">
        <v>321</v>
      </c>
      <c r="I259" s="125" t="n">
        <v>36.89655172413794</v>
      </c>
      <c r="J259" s="125" t="n">
        <v>58.46994535519126</v>
      </c>
      <c r="K259" s="126" t="n">
        <v>1</v>
      </c>
      <c r="L259" s="127" t="n">
        <v>0.1824817518248175</v>
      </c>
      <c r="M259" s="126" t="n">
        <v>0</v>
      </c>
      <c r="N259" s="127" t="n">
        <v>0</v>
      </c>
    </row>
    <row r="260">
      <c r="A260" s="110" t="inlineStr">
        <is>
          <t>Hevea</t>
        </is>
      </c>
      <c r="B260" s="110" t="inlineStr">
        <is>
          <t>557-1092</t>
        </is>
      </c>
      <c r="C260" s="110" t="inlineStr">
        <is>
          <t>BELLAGIO-4 MESA CENTRO 125</t>
        </is>
      </c>
      <c r="D260" s="111" t="inlineStr">
        <is>
          <t>2026-03-06</t>
        </is>
      </c>
      <c r="E260" s="112" t="n">
        <v>171</v>
      </c>
      <c r="F260" s="112" t="n">
        <v>310</v>
      </c>
      <c r="G260" s="112" t="n">
        <v>375.1</v>
      </c>
      <c r="H260" s="112" t="n">
        <v>139</v>
      </c>
      <c r="I260" s="113" t="n">
        <v>44.83870967741935</v>
      </c>
      <c r="J260" s="113" t="n">
        <v>81.28654970760235</v>
      </c>
      <c r="K260" s="114" t="n"/>
      <c r="L260" s="115" t="n"/>
      <c r="M260" s="114" t="n"/>
      <c r="N260" s="115" t="n"/>
    </row>
    <row r="261">
      <c r="A261" s="116" t="inlineStr">
        <is>
          <t>Hevea</t>
        </is>
      </c>
      <c r="B261" s="116" t="inlineStr">
        <is>
          <t>557-1092</t>
        </is>
      </c>
      <c r="C261" s="116" t="inlineStr">
        <is>
          <t>BELLAGIO-4 MESA CENTRO 125</t>
        </is>
      </c>
      <c r="D261" s="117" t="inlineStr">
        <is>
          <t>2026-04-17</t>
        </is>
      </c>
      <c r="E261" s="118" t="n">
        <v>195</v>
      </c>
      <c r="F261" s="118" t="n">
        <v>310</v>
      </c>
      <c r="G261" s="118" t="n">
        <v>375.1</v>
      </c>
      <c r="H261" s="118" t="n">
        <v>115</v>
      </c>
      <c r="I261" s="119" t="n">
        <v>37.09677419354838</v>
      </c>
      <c r="J261" s="119" t="n">
        <v>58.97435897435898</v>
      </c>
      <c r="K261" s="120" t="n">
        <v>24</v>
      </c>
      <c r="L261" s="121" t="n">
        <v>14.03508771929824</v>
      </c>
      <c r="M261" s="120" t="n">
        <v>0</v>
      </c>
      <c r="N261" s="121" t="n">
        <v>0</v>
      </c>
    </row>
    <row r="262">
      <c r="A262" s="116" t="inlineStr">
        <is>
          <t>Hevea</t>
        </is>
      </c>
      <c r="B262" s="116" t="inlineStr">
        <is>
          <t>557-1092</t>
        </is>
      </c>
      <c r="C262" s="116" t="inlineStr">
        <is>
          <t>BELLAGIO-4 MESA CENTRO 125</t>
        </is>
      </c>
      <c r="D262" s="117" t="inlineStr">
        <is>
          <t>2026-05-07</t>
        </is>
      </c>
      <c r="E262" s="118" t="n">
        <v>196</v>
      </c>
      <c r="F262" s="118" t="n">
        <v>310</v>
      </c>
      <c r="G262" s="118" t="n">
        <v>375.1</v>
      </c>
      <c r="H262" s="118" t="n">
        <v>114</v>
      </c>
      <c r="I262" s="119" t="n">
        <v>36.7741935483871</v>
      </c>
      <c r="J262" s="119" t="n">
        <v>58.16326530612245</v>
      </c>
      <c r="K262" s="120" t="n">
        <v>1</v>
      </c>
      <c r="L262" s="121" t="n">
        <v>0.5128205128205128</v>
      </c>
      <c r="M262" s="120" t="n">
        <v>0</v>
      </c>
      <c r="N262" s="121" t="n">
        <v>0</v>
      </c>
    </row>
    <row r="263">
      <c r="A263" s="104" t="inlineStr">
        <is>
          <t>Hevea</t>
        </is>
      </c>
      <c r="B263" s="104" t="inlineStr">
        <is>
          <t>557-1094</t>
        </is>
      </c>
      <c r="C263" s="104" t="inlineStr">
        <is>
          <t>BELLAGIO-7 SET SOFÁ 2 PLAZAS / 2 SEATER SOFA SET / SET CANAPÉ 2 PLACES</t>
        </is>
      </c>
      <c r="D263" s="105" t="inlineStr">
        <is>
          <t>2026-03-06</t>
        </is>
      </c>
      <c r="E263" s="106" t="n">
        <v>1370</v>
      </c>
      <c r="F263" s="106" t="n">
        <v>2490</v>
      </c>
      <c r="G263" s="106" t="n">
        <v>3012.9</v>
      </c>
      <c r="H263" s="106" t="n">
        <v>1120</v>
      </c>
      <c r="I263" s="107" t="n">
        <v>44.97991967871486</v>
      </c>
      <c r="J263" s="107" t="n">
        <v>81.75182481751825</v>
      </c>
      <c r="K263" s="108" t="n"/>
      <c r="L263" s="109" t="n"/>
      <c r="M263" s="108" t="n"/>
      <c r="N263" s="109" t="n"/>
    </row>
    <row r="264">
      <c r="A264" s="122" t="inlineStr">
        <is>
          <t>Hevea</t>
        </is>
      </c>
      <c r="B264" s="122" t="inlineStr">
        <is>
          <t>557-1094</t>
        </is>
      </c>
      <c r="C264" s="122" t="inlineStr">
        <is>
          <t>BELLAGIO-7 SET SOFÁ 2 PLAZAS / 2 SEATER SOFA SET / SET CANAPÉ 2 PLACES</t>
        </is>
      </c>
      <c r="D264" s="123" t="inlineStr">
        <is>
          <t>2026-04-17</t>
        </is>
      </c>
      <c r="E264" s="124" t="n">
        <v>1569</v>
      </c>
      <c r="F264" s="124" t="n">
        <v>2490</v>
      </c>
      <c r="G264" s="124" t="n">
        <v>3012.9</v>
      </c>
      <c r="H264" s="124" t="n">
        <v>921</v>
      </c>
      <c r="I264" s="125" t="n">
        <v>36.98795180722891</v>
      </c>
      <c r="J264" s="125" t="n">
        <v>58.69980879541109</v>
      </c>
      <c r="K264" s="126" t="n">
        <v>199</v>
      </c>
      <c r="L264" s="127" t="n">
        <v>14.52554744525547</v>
      </c>
      <c r="M264" s="126" t="n">
        <v>0</v>
      </c>
      <c r="N264" s="127" t="n">
        <v>0</v>
      </c>
    </row>
    <row r="265">
      <c r="A265" s="122" t="inlineStr">
        <is>
          <t>Hevea</t>
        </is>
      </c>
      <c r="B265" s="122" t="inlineStr">
        <is>
          <t>557-1094</t>
        </is>
      </c>
      <c r="C265" s="122" t="inlineStr">
        <is>
          <t>BELLAGIO-7 SET SOFÁ 2 PLAZAS / 2 SEATER SOFA SET / SET CANAPÉ 2 PLACES</t>
        </is>
      </c>
      <c r="D265" s="123" t="inlineStr">
        <is>
          <t>2026-05-07</t>
        </is>
      </c>
      <c r="E265" s="124" t="n">
        <v>1569</v>
      </c>
      <c r="F265" s="124" t="n">
        <v>2490</v>
      </c>
      <c r="G265" s="124" t="n">
        <v>3012.9</v>
      </c>
      <c r="H265" s="124" t="n">
        <v>921</v>
      </c>
      <c r="I265" s="125" t="n">
        <v>36.98795180722891</v>
      </c>
      <c r="J265" s="125" t="n">
        <v>58.69980879541109</v>
      </c>
      <c r="K265" s="126" t="n">
        <v>0</v>
      </c>
      <c r="L265" s="127" t="n">
        <v>0</v>
      </c>
      <c r="M265" s="126" t="n">
        <v>0</v>
      </c>
      <c r="N265" s="127" t="n">
        <v>0</v>
      </c>
    </row>
    <row r="266">
      <c r="A266" s="110" t="inlineStr">
        <is>
          <t>Hevea</t>
        </is>
      </c>
      <c r="B266" s="110" t="inlineStr">
        <is>
          <t>557-1095</t>
        </is>
      </c>
      <c r="C266" s="110" t="inlineStr">
        <is>
          <t>BELLAGIO-8 SET SOFÁ 3 PLAZAS / 3 SEATER SOFA SET / SET CANAPÉ 3 PLACES</t>
        </is>
      </c>
      <c r="D266" s="111" t="inlineStr">
        <is>
          <t>2026-03-06</t>
        </is>
      </c>
      <c r="E266" s="112" t="n">
        <v>1568</v>
      </c>
      <c r="F266" s="112" t="n">
        <v>2850</v>
      </c>
      <c r="G266" s="112" t="n">
        <v>3448.5</v>
      </c>
      <c r="H266" s="112" t="n">
        <v>1282</v>
      </c>
      <c r="I266" s="113" t="n">
        <v>44.98245614035088</v>
      </c>
      <c r="J266" s="113" t="n">
        <v>81.76020408163265</v>
      </c>
      <c r="K266" s="114" t="n"/>
      <c r="L266" s="115" t="n"/>
      <c r="M266" s="114" t="n"/>
      <c r="N266" s="115" t="n"/>
    </row>
    <row r="267">
      <c r="A267" s="116" t="inlineStr">
        <is>
          <t>Hevea</t>
        </is>
      </c>
      <c r="B267" s="116" t="inlineStr">
        <is>
          <t>557-1095</t>
        </is>
      </c>
      <c r="C267" s="116" t="inlineStr">
        <is>
          <t>BELLAGIO-8 SET SOFÁ 3 PLAZAS / 3 SEATER SOFA SET / SET CANAPÉ 3 PLACES</t>
        </is>
      </c>
      <c r="D267" s="117" t="inlineStr">
        <is>
          <t>2026-04-17</t>
        </is>
      </c>
      <c r="E267" s="118" t="n">
        <v>1796</v>
      </c>
      <c r="F267" s="118" t="n">
        <v>2850</v>
      </c>
      <c r="G267" s="118" t="n">
        <v>3448.5</v>
      </c>
      <c r="H267" s="118" t="n">
        <v>1054</v>
      </c>
      <c r="I267" s="119" t="n">
        <v>36.98245614035088</v>
      </c>
      <c r="J267" s="119" t="n">
        <v>58.68596881959911</v>
      </c>
      <c r="K267" s="120" t="n">
        <v>228</v>
      </c>
      <c r="L267" s="121" t="n">
        <v>14.54081632653061</v>
      </c>
      <c r="M267" s="120" t="n">
        <v>0</v>
      </c>
      <c r="N267" s="121" t="n">
        <v>0</v>
      </c>
    </row>
    <row r="268">
      <c r="A268" s="116" t="inlineStr">
        <is>
          <t>Hevea</t>
        </is>
      </c>
      <c r="B268" s="116" t="inlineStr">
        <is>
          <t>557-1095</t>
        </is>
      </c>
      <c r="C268" s="116" t="inlineStr">
        <is>
          <t>BELLAGIO-8 SET SOFÁ 3 PLAZAS / 3 SEATER SOFA SET / SET CANAPÉ 3 PLACES</t>
        </is>
      </c>
      <c r="D268" s="117" t="inlineStr">
        <is>
          <t>2026-05-07</t>
        </is>
      </c>
      <c r="E268" s="118" t="n">
        <v>1796</v>
      </c>
      <c r="F268" s="118" t="n">
        <v>2850</v>
      </c>
      <c r="G268" s="118" t="n">
        <v>3448.5</v>
      </c>
      <c r="H268" s="118" t="n">
        <v>1054</v>
      </c>
      <c r="I268" s="119" t="n">
        <v>36.98245614035088</v>
      </c>
      <c r="J268" s="119" t="n">
        <v>58.68596881959911</v>
      </c>
      <c r="K268" s="120" t="n">
        <v>0</v>
      </c>
      <c r="L268" s="121" t="n">
        <v>0</v>
      </c>
      <c r="M268" s="120" t="n">
        <v>0</v>
      </c>
      <c r="N268" s="121" t="n">
        <v>0</v>
      </c>
    </row>
    <row r="269">
      <c r="A269" s="104" t="inlineStr">
        <is>
          <t>Hevea</t>
        </is>
      </c>
      <c r="B269" s="104" t="inlineStr">
        <is>
          <t>557-1164</t>
        </is>
      </c>
      <c r="C269" s="104" t="inlineStr">
        <is>
          <t>ADEL-7 SET SOFÁ RINCONERA / CORNER SOFA SET / SET CANAPÉ D’ANGLE</t>
        </is>
      </c>
      <c r="D269" s="105" t="inlineStr">
        <is>
          <t>2026-03-06</t>
        </is>
      </c>
      <c r="E269" s="106" t="n">
        <v>1172</v>
      </c>
      <c r="F269" s="106" t="n">
        <v>2130</v>
      </c>
      <c r="G269" s="106" t="n">
        <v>2577.3</v>
      </c>
      <c r="H269" s="106" t="n">
        <v>958</v>
      </c>
      <c r="I269" s="107" t="n">
        <v>44.97652582159624</v>
      </c>
      <c r="J269" s="107" t="n">
        <v>81.74061433447099</v>
      </c>
      <c r="K269" s="108" t="n"/>
      <c r="L269" s="109" t="n"/>
      <c r="M269" s="108" t="n"/>
      <c r="N269" s="109" t="n"/>
    </row>
    <row r="270">
      <c r="A270" s="122" t="inlineStr">
        <is>
          <t>Hevea</t>
        </is>
      </c>
      <c r="B270" s="122" t="inlineStr">
        <is>
          <t>557-1164</t>
        </is>
      </c>
      <c r="C270" s="122" t="inlineStr">
        <is>
          <t>ADEL-7 SET SOFÁ RINCONERA / CORNER SOFA SET / SET CANAPÉ D’ANGLE</t>
        </is>
      </c>
      <c r="D270" s="123" t="inlineStr">
        <is>
          <t>2026-05-07</t>
        </is>
      </c>
      <c r="E270" s="124" t="n">
        <v>1342</v>
      </c>
      <c r="F270" s="124" t="n">
        <v>2130</v>
      </c>
      <c r="G270" s="124" t="n">
        <v>2577.3</v>
      </c>
      <c r="H270" s="124" t="n">
        <v>788</v>
      </c>
      <c r="I270" s="125" t="n">
        <v>36.99530516431925</v>
      </c>
      <c r="J270" s="125" t="n">
        <v>58.71833084947839</v>
      </c>
      <c r="K270" s="126" t="n">
        <v>170</v>
      </c>
      <c r="L270" s="127" t="n">
        <v>14.50511945392491</v>
      </c>
      <c r="M270" s="126" t="n">
        <v>0</v>
      </c>
      <c r="N270" s="127" t="n">
        <v>0</v>
      </c>
    </row>
    <row r="271">
      <c r="A271" s="110" t="inlineStr">
        <is>
          <t>Hevea</t>
        </is>
      </c>
      <c r="B271" s="110" t="inlineStr">
        <is>
          <t>557-1164</t>
        </is>
      </c>
      <c r="C271" s="110" t="inlineStr">
        <is>
          <t>CORCEGA-135x90</t>
        </is>
      </c>
      <c r="D271" s="111" t="inlineStr">
        <is>
          <t>2026-04-17</t>
        </is>
      </c>
      <c r="E271" s="112" t="n">
        <v>343</v>
      </c>
      <c r="F271" s="112" t="n">
        <v>2130</v>
      </c>
      <c r="G271" s="112" t="n">
        <v>2577.3</v>
      </c>
      <c r="H271" s="112" t="n">
        <v>1787</v>
      </c>
      <c r="I271" s="113" t="n">
        <v>83.89671361502347</v>
      </c>
      <c r="J271" s="113" t="n">
        <v>520.9912536443148</v>
      </c>
      <c r="K271" s="114" t="n"/>
      <c r="L271" s="115" t="n"/>
      <c r="M271" s="114" t="n"/>
      <c r="N271" s="115" t="n"/>
    </row>
    <row r="272">
      <c r="A272" s="104" t="inlineStr">
        <is>
          <t>Hevea</t>
        </is>
      </c>
      <c r="B272" s="104" t="inlineStr">
        <is>
          <t>557-1563</t>
        </is>
      </c>
      <c r="C272" s="104" t="inlineStr">
        <is>
          <t>MESA CENTRO 120</t>
        </is>
      </c>
      <c r="D272" s="105" t="inlineStr">
        <is>
          <t>2026-03-06</t>
        </is>
      </c>
      <c r="E272" s="106" t="n">
        <v>201</v>
      </c>
      <c r="F272" s="106" t="n">
        <v>365</v>
      </c>
      <c r="G272" s="106" t="n">
        <v>441.65</v>
      </c>
      <c r="H272" s="106" t="n">
        <v>164</v>
      </c>
      <c r="I272" s="107" t="n">
        <v>44.93150684931507</v>
      </c>
      <c r="J272" s="107" t="n">
        <v>81.59203980099502</v>
      </c>
      <c r="K272" s="108" t="n"/>
      <c r="L272" s="109" t="n"/>
      <c r="M272" s="108" t="n"/>
      <c r="N272" s="109" t="n"/>
    </row>
    <row r="273">
      <c r="A273" s="122" t="inlineStr">
        <is>
          <t>Hevea</t>
        </is>
      </c>
      <c r="B273" s="122" t="inlineStr">
        <is>
          <t>557-1563</t>
        </is>
      </c>
      <c r="C273" s="122" t="inlineStr">
        <is>
          <t>MESA CENTRO 120</t>
        </is>
      </c>
      <c r="D273" s="123" t="inlineStr">
        <is>
          <t>2026-04-17</t>
        </is>
      </c>
      <c r="E273" s="124" t="n">
        <v>230</v>
      </c>
      <c r="F273" s="124" t="n">
        <v>365</v>
      </c>
      <c r="G273" s="124" t="n">
        <v>441.65</v>
      </c>
      <c r="H273" s="124" t="n">
        <v>135</v>
      </c>
      <c r="I273" s="125" t="n">
        <v>36.98630136986301</v>
      </c>
      <c r="J273" s="125" t="n">
        <v>58.69565217391305</v>
      </c>
      <c r="K273" s="126" t="n">
        <v>29</v>
      </c>
      <c r="L273" s="127" t="n">
        <v>14.42786069651741</v>
      </c>
      <c r="M273" s="126" t="n">
        <v>0</v>
      </c>
      <c r="N273" s="127" t="n">
        <v>0</v>
      </c>
    </row>
    <row r="274">
      <c r="A274" s="122" t="inlineStr">
        <is>
          <t>Hevea</t>
        </is>
      </c>
      <c r="B274" s="122" t="inlineStr">
        <is>
          <t>557-1563</t>
        </is>
      </c>
      <c r="C274" s="122" t="inlineStr">
        <is>
          <t>MESA CENTRO 120</t>
        </is>
      </c>
      <c r="D274" s="123" t="inlineStr">
        <is>
          <t>2026-05-07</t>
        </is>
      </c>
      <c r="E274" s="124" t="n">
        <v>230</v>
      </c>
      <c r="F274" s="124" t="n">
        <v>365</v>
      </c>
      <c r="G274" s="124" t="n">
        <v>441.65</v>
      </c>
      <c r="H274" s="124" t="n">
        <v>135</v>
      </c>
      <c r="I274" s="125" t="n">
        <v>36.98630136986301</v>
      </c>
      <c r="J274" s="125" t="n">
        <v>58.69565217391305</v>
      </c>
      <c r="K274" s="126" t="n">
        <v>0</v>
      </c>
      <c r="L274" s="127" t="n">
        <v>0</v>
      </c>
      <c r="M274" s="126" t="n">
        <v>0</v>
      </c>
      <c r="N274" s="127" t="n">
        <v>0</v>
      </c>
    </row>
    <row r="275">
      <c r="A275" s="110" t="inlineStr">
        <is>
          <t>Hevea</t>
        </is>
      </c>
      <c r="B275" s="110" t="inlineStr">
        <is>
          <t>557-1563</t>
        </is>
      </c>
      <c r="C275" s="110" t="inlineStr">
        <is>
          <t>UNIVERSAL-120 MESA CENTRO 120/COFFEE TABLE</t>
        </is>
      </c>
      <c r="D275" s="111" t="inlineStr">
        <is>
          <t>2026-03-06</t>
        </is>
      </c>
      <c r="E275" s="112" t="n">
        <v>215</v>
      </c>
      <c r="F275" s="112" t="n">
        <v>390</v>
      </c>
      <c r="G275" s="112" t="n">
        <v>471.9</v>
      </c>
      <c r="H275" s="112" t="n">
        <v>175</v>
      </c>
      <c r="I275" s="113" t="n">
        <v>44.87179487179488</v>
      </c>
      <c r="J275" s="113" t="n">
        <v>81.3953488372093</v>
      </c>
      <c r="K275" s="114" t="n"/>
      <c r="L275" s="115" t="n"/>
      <c r="M275" s="114" t="n"/>
      <c r="N275" s="115" t="n"/>
    </row>
    <row r="276">
      <c r="A276" s="116" t="inlineStr">
        <is>
          <t>Hevea</t>
        </is>
      </c>
      <c r="B276" s="116" t="inlineStr">
        <is>
          <t>557-1563</t>
        </is>
      </c>
      <c r="C276" s="116" t="inlineStr">
        <is>
          <t>UNIVERSAL-120 MESA CENTRO 120/COFFEE TABLE</t>
        </is>
      </c>
      <c r="D276" s="117" t="inlineStr">
        <is>
          <t>2026-04-17</t>
        </is>
      </c>
      <c r="E276" s="118" t="n">
        <v>246</v>
      </c>
      <c r="F276" s="118" t="n">
        <v>390</v>
      </c>
      <c r="G276" s="118" t="n">
        <v>471.9</v>
      </c>
      <c r="H276" s="118" t="n">
        <v>144</v>
      </c>
      <c r="I276" s="119" t="n">
        <v>36.92307692307693</v>
      </c>
      <c r="J276" s="119" t="n">
        <v>58.53658536585365</v>
      </c>
      <c r="K276" s="120" t="n">
        <v>31</v>
      </c>
      <c r="L276" s="121" t="n">
        <v>14.41860465116279</v>
      </c>
      <c r="M276" s="120" t="n">
        <v>0</v>
      </c>
      <c r="N276" s="121" t="n">
        <v>0</v>
      </c>
    </row>
    <row r="277">
      <c r="A277" s="116" t="inlineStr">
        <is>
          <t>Hevea</t>
        </is>
      </c>
      <c r="B277" s="116" t="inlineStr">
        <is>
          <t>557-1563</t>
        </is>
      </c>
      <c r="C277" s="116" t="inlineStr">
        <is>
          <t>UNIVERSAL-120 MESA CENTRO 120/COFFEE TABLE</t>
        </is>
      </c>
      <c r="D277" s="117" t="inlineStr">
        <is>
          <t>2026-05-07</t>
        </is>
      </c>
      <c r="E277" s="118" t="n">
        <v>246</v>
      </c>
      <c r="F277" s="118" t="n">
        <v>390</v>
      </c>
      <c r="G277" s="118" t="n">
        <v>471.9</v>
      </c>
      <c r="H277" s="118" t="n">
        <v>144</v>
      </c>
      <c r="I277" s="119" t="n">
        <v>36.92307692307693</v>
      </c>
      <c r="J277" s="119" t="n">
        <v>58.53658536585365</v>
      </c>
      <c r="K277" s="120" t="n">
        <v>0</v>
      </c>
      <c r="L277" s="121" t="n">
        <v>0</v>
      </c>
      <c r="M277" s="120" t="n">
        <v>0</v>
      </c>
      <c r="N277" s="121" t="n">
        <v>0</v>
      </c>
    </row>
    <row r="278">
      <c r="A278" s="104" t="inlineStr">
        <is>
          <t>Hevea</t>
        </is>
      </c>
      <c r="B278" s="104" t="inlineStr">
        <is>
          <t>557-1682</t>
        </is>
      </c>
      <c r="C278" s="104" t="inlineStr">
        <is>
          <t>BASE PARASOL 25KG</t>
        </is>
      </c>
      <c r="D278" s="105" t="inlineStr">
        <is>
          <t>2026-04-17</t>
        </is>
      </c>
      <c r="E278" s="106" t="n">
        <v>41</v>
      </c>
      <c r="F278" s="106" t="n">
        <v>890</v>
      </c>
      <c r="G278" s="106" t="n">
        <v>1076.9</v>
      </c>
      <c r="H278" s="106" t="n">
        <v>849</v>
      </c>
      <c r="I278" s="107" t="n">
        <v>95.39325842696628</v>
      </c>
      <c r="J278" s="107" t="n">
        <v>2070.731707317073</v>
      </c>
      <c r="K278" s="108" t="n"/>
      <c r="L278" s="109" t="n"/>
      <c r="M278" s="108" t="n"/>
      <c r="N278" s="109" t="n"/>
    </row>
    <row r="279">
      <c r="A279" s="110" t="inlineStr">
        <is>
          <t>Hevea</t>
        </is>
      </c>
      <c r="B279" s="110" t="inlineStr">
        <is>
          <t>557-1682</t>
        </is>
      </c>
      <c r="C279" s="110" t="inlineStr">
        <is>
          <t>PARASOL SAMSON Ø350 / SAMSON PARASOL / PARASOL SAMSON</t>
        </is>
      </c>
      <c r="D279" s="111" t="inlineStr">
        <is>
          <t>2026-03-06</t>
        </is>
      </c>
      <c r="E279" s="112" t="n">
        <v>490</v>
      </c>
      <c r="F279" s="112" t="n">
        <v>890</v>
      </c>
      <c r="G279" s="112" t="n">
        <v>1076.9</v>
      </c>
      <c r="H279" s="112" t="n">
        <v>400</v>
      </c>
      <c r="I279" s="113" t="n">
        <v>44.9438202247191</v>
      </c>
      <c r="J279" s="113" t="n">
        <v>81.63265306122449</v>
      </c>
      <c r="K279" s="114" t="n"/>
      <c r="L279" s="115" t="n"/>
      <c r="M279" s="114" t="n"/>
      <c r="N279" s="115" t="n"/>
    </row>
    <row r="280">
      <c r="A280" s="116" t="inlineStr">
        <is>
          <t>Hevea</t>
        </is>
      </c>
      <c r="B280" s="116" t="inlineStr">
        <is>
          <t>557-1682</t>
        </is>
      </c>
      <c r="C280" s="116" t="inlineStr">
        <is>
          <t>PARASOL SAMSON Ø350 / SAMSON PARASOL / PARASOL SAMSON</t>
        </is>
      </c>
      <c r="D280" s="117" t="inlineStr">
        <is>
          <t>2026-05-07</t>
        </is>
      </c>
      <c r="E280" s="118" t="n">
        <v>561</v>
      </c>
      <c r="F280" s="118" t="n">
        <v>890</v>
      </c>
      <c r="G280" s="118" t="n">
        <v>1076.9</v>
      </c>
      <c r="H280" s="118" t="n">
        <v>329</v>
      </c>
      <c r="I280" s="119" t="n">
        <v>36.96629213483146</v>
      </c>
      <c r="J280" s="119" t="n">
        <v>58.64527629233511</v>
      </c>
      <c r="K280" s="120" t="n">
        <v>71</v>
      </c>
      <c r="L280" s="121" t="n">
        <v>14.48979591836735</v>
      </c>
      <c r="M280" s="120" t="n">
        <v>0</v>
      </c>
      <c r="N280" s="121" t="n">
        <v>0</v>
      </c>
    </row>
    <row r="281">
      <c r="A281" s="104" t="inlineStr">
        <is>
          <t>Hevea</t>
        </is>
      </c>
      <c r="B281" s="104" t="inlineStr">
        <is>
          <t>558-0033</t>
        </is>
      </c>
      <c r="C281" s="104" t="inlineStr">
        <is>
          <t>BICOLOR MESA CENTRO 120/COFFEE TABLE/TABLE CENTRE HPL</t>
        </is>
      </c>
      <c r="D281" s="105" t="inlineStr">
        <is>
          <t>2026-03-06</t>
        </is>
      </c>
      <c r="E281" s="106" t="n">
        <v>325</v>
      </c>
      <c r="F281" s="106" t="n">
        <v>590</v>
      </c>
      <c r="G281" s="106" t="n">
        <v>713.9</v>
      </c>
      <c r="H281" s="106" t="n">
        <v>265</v>
      </c>
      <c r="I281" s="107" t="n">
        <v>44.91525423728814</v>
      </c>
      <c r="J281" s="107" t="n">
        <v>81.53846153846153</v>
      </c>
      <c r="K281" s="108" t="n"/>
      <c r="L281" s="109" t="n"/>
      <c r="M281" s="108" t="n"/>
      <c r="N281" s="109" t="n"/>
    </row>
    <row r="282">
      <c r="A282" s="122" t="inlineStr">
        <is>
          <t>Hevea</t>
        </is>
      </c>
      <c r="B282" s="122" t="inlineStr">
        <is>
          <t>558-0033</t>
        </is>
      </c>
      <c r="C282" s="122" t="inlineStr">
        <is>
          <t>BICOLOR MESA CENTRO 120</t>
        </is>
      </c>
      <c r="D282" s="123" t="inlineStr">
        <is>
          <t>2026-04-17</t>
        </is>
      </c>
      <c r="E282" s="124" t="n">
        <v>372</v>
      </c>
      <c r="F282" s="124" t="n">
        <v>590</v>
      </c>
      <c r="G282" s="124" t="n">
        <v>713.9</v>
      </c>
      <c r="H282" s="124" t="n">
        <v>218</v>
      </c>
      <c r="I282" s="125" t="n">
        <v>36.94915254237288</v>
      </c>
      <c r="J282" s="125" t="n">
        <v>58.60215053763442</v>
      </c>
      <c r="K282" s="126" t="n">
        <v>47</v>
      </c>
      <c r="L282" s="127" t="n">
        <v>14.46153846153846</v>
      </c>
      <c r="M282" s="126" t="n">
        <v>0</v>
      </c>
      <c r="N282" s="127" t="n">
        <v>0</v>
      </c>
    </row>
    <row r="283">
      <c r="A283" s="122" t="inlineStr">
        <is>
          <t>Hevea</t>
        </is>
      </c>
      <c r="B283" s="122" t="inlineStr">
        <is>
          <t>558-0033</t>
        </is>
      </c>
      <c r="C283" s="122" t="inlineStr">
        <is>
          <t>BICOLOR MESA CENTRO 120/COFFEE TABLE/TABLE CENTRE HPL</t>
        </is>
      </c>
      <c r="D283" s="123" t="inlineStr">
        <is>
          <t>2026-05-07</t>
        </is>
      </c>
      <c r="E283" s="124" t="n">
        <v>372</v>
      </c>
      <c r="F283" s="124" t="n">
        <v>590</v>
      </c>
      <c r="G283" s="124" t="n">
        <v>713.9</v>
      </c>
      <c r="H283" s="124" t="n">
        <v>218</v>
      </c>
      <c r="I283" s="125" t="n">
        <v>36.94915254237288</v>
      </c>
      <c r="J283" s="125" t="n">
        <v>58.60215053763442</v>
      </c>
      <c r="K283" s="126" t="n">
        <v>0</v>
      </c>
      <c r="L283" s="127" t="n">
        <v>0</v>
      </c>
      <c r="M283" s="126" t="n">
        <v>0</v>
      </c>
      <c r="N283" s="127" t="n">
        <v>0</v>
      </c>
    </row>
    <row r="284">
      <c r="A284" s="110" t="inlineStr">
        <is>
          <t>Hevea</t>
        </is>
      </c>
      <c r="B284" s="110" t="inlineStr">
        <is>
          <t>558-0039</t>
        </is>
      </c>
      <c r="C284" s="110" t="inlineStr">
        <is>
          <t>BICOLOR MESA CENTRO 135/COFFEE TABLE/TABLE CENTRE HPL</t>
        </is>
      </c>
      <c r="D284" s="111" t="inlineStr">
        <is>
          <t>2026-03-06</t>
        </is>
      </c>
      <c r="E284" s="112" t="n">
        <v>380</v>
      </c>
      <c r="F284" s="112" t="n">
        <v>690</v>
      </c>
      <c r="G284" s="112" t="n">
        <v>834.9</v>
      </c>
      <c r="H284" s="112" t="n">
        <v>310</v>
      </c>
      <c r="I284" s="113" t="n">
        <v>44.92753623188405</v>
      </c>
      <c r="J284" s="113" t="n">
        <v>81.57894736842105</v>
      </c>
      <c r="K284" s="114" t="n"/>
      <c r="L284" s="115" t="n"/>
      <c r="M284" s="114" t="n"/>
      <c r="N284" s="115" t="n"/>
    </row>
    <row r="285">
      <c r="A285" s="116" t="inlineStr">
        <is>
          <t>Hevea</t>
        </is>
      </c>
      <c r="B285" s="116" t="inlineStr">
        <is>
          <t>558-0039</t>
        </is>
      </c>
      <c r="C285" s="116" t="inlineStr">
        <is>
          <t>BICOLOR MESA CENTRO 135</t>
        </is>
      </c>
      <c r="D285" s="117" t="inlineStr">
        <is>
          <t>2026-04-17</t>
        </is>
      </c>
      <c r="E285" s="118" t="n">
        <v>435</v>
      </c>
      <c r="F285" s="118" t="n">
        <v>690</v>
      </c>
      <c r="G285" s="118" t="n">
        <v>834.9</v>
      </c>
      <c r="H285" s="118" t="n">
        <v>255</v>
      </c>
      <c r="I285" s="119" t="n">
        <v>36.95652173913043</v>
      </c>
      <c r="J285" s="119" t="n">
        <v>58.62068965517241</v>
      </c>
      <c r="K285" s="120" t="n">
        <v>55</v>
      </c>
      <c r="L285" s="121" t="n">
        <v>14.47368421052632</v>
      </c>
      <c r="M285" s="120" t="n">
        <v>0</v>
      </c>
      <c r="N285" s="121" t="n">
        <v>0</v>
      </c>
    </row>
    <row r="286">
      <c r="A286" s="116" t="inlineStr">
        <is>
          <t>Hevea</t>
        </is>
      </c>
      <c r="B286" s="116" t="inlineStr">
        <is>
          <t>558-0039</t>
        </is>
      </c>
      <c r="C286" s="116" t="inlineStr">
        <is>
          <t>BICOLOR MESA CENTRO 135/COFFEE TABLE/TABLE CENTRE HPL</t>
        </is>
      </c>
      <c r="D286" s="117" t="inlineStr">
        <is>
          <t>2026-05-07</t>
        </is>
      </c>
      <c r="E286" s="118" t="n">
        <v>435</v>
      </c>
      <c r="F286" s="118" t="n">
        <v>690</v>
      </c>
      <c r="G286" s="118" t="n">
        <v>834.9</v>
      </c>
      <c r="H286" s="118" t="n">
        <v>255</v>
      </c>
      <c r="I286" s="119" t="n">
        <v>36.95652173913043</v>
      </c>
      <c r="J286" s="119" t="n">
        <v>58.62068965517241</v>
      </c>
      <c r="K286" s="120" t="n">
        <v>0</v>
      </c>
      <c r="L286" s="121" t="n">
        <v>0</v>
      </c>
      <c r="M286" s="120" t="n">
        <v>0</v>
      </c>
      <c r="N286" s="121" t="n">
        <v>0</v>
      </c>
    </row>
    <row r="287">
      <c r="A287" s="104" t="inlineStr">
        <is>
          <t>Hevea</t>
        </is>
      </c>
      <c r="B287" s="104" t="inlineStr">
        <is>
          <t>558-0049</t>
        </is>
      </c>
      <c r="C287" s="104" t="inlineStr">
        <is>
          <t>BICOLOR STANDARD-55 REPOSAPIES/FOOTSTOOL/REPOSE-PIEDS</t>
        </is>
      </c>
      <c r="D287" s="105" t="inlineStr">
        <is>
          <t>2026-03-06</t>
        </is>
      </c>
      <c r="E287" s="106" t="n">
        <v>231</v>
      </c>
      <c r="F287" s="106" t="n">
        <v>420</v>
      </c>
      <c r="G287" s="106" t="n">
        <v>508.2</v>
      </c>
      <c r="H287" s="106" t="n">
        <v>189</v>
      </c>
      <c r="I287" s="107" t="n">
        <v>45</v>
      </c>
      <c r="J287" s="107" t="n">
        <v>81.81818181818183</v>
      </c>
      <c r="K287" s="108" t="n"/>
      <c r="L287" s="109" t="n"/>
      <c r="M287" s="108" t="n"/>
      <c r="N287" s="109" t="n"/>
    </row>
    <row r="288">
      <c r="A288" s="122" t="inlineStr">
        <is>
          <t>Hevea</t>
        </is>
      </c>
      <c r="B288" s="122" t="inlineStr">
        <is>
          <t>558-0049</t>
        </is>
      </c>
      <c r="C288" s="122" t="inlineStr">
        <is>
          <t>BICOLOR STANDARD-55 REPOSAPIES</t>
        </is>
      </c>
      <c r="D288" s="123" t="inlineStr">
        <is>
          <t>2026-04-17</t>
        </is>
      </c>
      <c r="E288" s="124" t="n">
        <v>265</v>
      </c>
      <c r="F288" s="124" t="n">
        <v>420</v>
      </c>
      <c r="G288" s="124" t="n">
        <v>508.2</v>
      </c>
      <c r="H288" s="124" t="n">
        <v>155</v>
      </c>
      <c r="I288" s="125" t="n">
        <v>36.90476190476191</v>
      </c>
      <c r="J288" s="125" t="n">
        <v>58.49056603773585</v>
      </c>
      <c r="K288" s="126" t="n">
        <v>34</v>
      </c>
      <c r="L288" s="127" t="n">
        <v>14.71861471861472</v>
      </c>
      <c r="M288" s="126" t="n">
        <v>0</v>
      </c>
      <c r="N288" s="127" t="n">
        <v>0</v>
      </c>
    </row>
    <row r="289">
      <c r="A289" s="122" t="inlineStr">
        <is>
          <t>Hevea</t>
        </is>
      </c>
      <c r="B289" s="122" t="inlineStr">
        <is>
          <t>558-0049</t>
        </is>
      </c>
      <c r="C289" s="122" t="inlineStr">
        <is>
          <t>BICOLOR STANDARD-55 REPOSAPIES/FOOTSTOOL/REPOSE-PIEDS</t>
        </is>
      </c>
      <c r="D289" s="123" t="inlineStr">
        <is>
          <t>2026-05-07</t>
        </is>
      </c>
      <c r="E289" s="124" t="n">
        <v>265</v>
      </c>
      <c r="F289" s="124" t="n">
        <v>420</v>
      </c>
      <c r="G289" s="124" t="n">
        <v>508.2</v>
      </c>
      <c r="H289" s="124" t="n">
        <v>155</v>
      </c>
      <c r="I289" s="125" t="n">
        <v>36.90476190476191</v>
      </c>
      <c r="J289" s="125" t="n">
        <v>58.49056603773585</v>
      </c>
      <c r="K289" s="126" t="n">
        <v>0</v>
      </c>
      <c r="L289" s="127" t="n">
        <v>0</v>
      </c>
      <c r="M289" s="126" t="n">
        <v>0</v>
      </c>
      <c r="N289" s="127" t="n">
        <v>0</v>
      </c>
    </row>
    <row r="290">
      <c r="A290" s="110" t="inlineStr">
        <is>
          <t>Hevea</t>
        </is>
      </c>
      <c r="B290" s="110" t="inlineStr">
        <is>
          <t>558-0050</t>
        </is>
      </c>
      <c r="C290" s="110" t="inlineStr">
        <is>
          <t>DIVA-8 BICOLOR SET SOFA 3 PLAZAS/SOFA/CANAPÉ</t>
        </is>
      </c>
      <c r="D290" s="111" t="inlineStr">
        <is>
          <t>2026-03-06</t>
        </is>
      </c>
      <c r="E290" s="112" t="n">
        <v>2002</v>
      </c>
      <c r="F290" s="112" t="n">
        <v>3640</v>
      </c>
      <c r="G290" s="112" t="n">
        <v>4404.4</v>
      </c>
      <c r="H290" s="112" t="n">
        <v>1638</v>
      </c>
      <c r="I290" s="113" t="n">
        <v>45</v>
      </c>
      <c r="J290" s="113" t="n">
        <v>81.81818181818183</v>
      </c>
      <c r="K290" s="114" t="n"/>
      <c r="L290" s="115" t="n"/>
      <c r="M290" s="114" t="n"/>
      <c r="N290" s="115" t="n"/>
    </row>
    <row r="291">
      <c r="A291" s="116" t="inlineStr">
        <is>
          <t>Hevea</t>
        </is>
      </c>
      <c r="B291" s="116" t="inlineStr">
        <is>
          <t>558-0050</t>
        </is>
      </c>
      <c r="C291" s="116" t="inlineStr">
        <is>
          <t>DIVA-8 BICOLOR SET SOFA 3 PLAZAS</t>
        </is>
      </c>
      <c r="D291" s="117" t="inlineStr">
        <is>
          <t>2026-04-17</t>
        </is>
      </c>
      <c r="E291" s="118" t="n">
        <v>2293</v>
      </c>
      <c r="F291" s="118" t="n">
        <v>3640</v>
      </c>
      <c r="G291" s="118" t="n">
        <v>4404.4</v>
      </c>
      <c r="H291" s="118" t="n">
        <v>1347</v>
      </c>
      <c r="I291" s="119" t="n">
        <v>37.00549450549451</v>
      </c>
      <c r="J291" s="119" t="n">
        <v>58.74400348887919</v>
      </c>
      <c r="K291" s="120" t="n">
        <v>291</v>
      </c>
      <c r="L291" s="121" t="n">
        <v>14.53546453546453</v>
      </c>
      <c r="M291" s="120" t="n">
        <v>0</v>
      </c>
      <c r="N291" s="121" t="n">
        <v>0</v>
      </c>
    </row>
    <row r="292">
      <c r="A292" s="116" t="inlineStr">
        <is>
          <t>Hevea</t>
        </is>
      </c>
      <c r="B292" s="116" t="inlineStr">
        <is>
          <t>558-0050</t>
        </is>
      </c>
      <c r="C292" s="116" t="inlineStr">
        <is>
          <t>DIVA-8 BICOLOR SET SOFA 3 PLAZAS/SOFA/CANAPÉ</t>
        </is>
      </c>
      <c r="D292" s="117" t="inlineStr">
        <is>
          <t>2026-05-07</t>
        </is>
      </c>
      <c r="E292" s="118" t="n">
        <v>2294</v>
      </c>
      <c r="F292" s="118" t="n">
        <v>3640</v>
      </c>
      <c r="G292" s="118" t="n">
        <v>4404.4</v>
      </c>
      <c r="H292" s="118" t="n">
        <v>1346</v>
      </c>
      <c r="I292" s="119" t="n">
        <v>36.97802197802198</v>
      </c>
      <c r="J292" s="119" t="n">
        <v>58.67480383609416</v>
      </c>
      <c r="K292" s="120" t="n">
        <v>1</v>
      </c>
      <c r="L292" s="121" t="n">
        <v>0.04361098996947231</v>
      </c>
      <c r="M292" s="120" t="n">
        <v>0</v>
      </c>
      <c r="N292" s="121" t="n">
        <v>0</v>
      </c>
    </row>
    <row r="293">
      <c r="A293" s="104" t="inlineStr">
        <is>
          <t>Hevea</t>
        </is>
      </c>
      <c r="B293" s="104" t="inlineStr">
        <is>
          <t>558-0051</t>
        </is>
      </c>
      <c r="C293" s="104" t="inlineStr">
        <is>
          <t>DIVA-1 BICOLOR SILLON/ARMCHAIR/FAUTEUIL</t>
        </is>
      </c>
      <c r="D293" s="105" t="inlineStr">
        <is>
          <t>2026-03-06</t>
        </is>
      </c>
      <c r="E293" s="106" t="n">
        <v>429</v>
      </c>
      <c r="F293" s="106" t="n">
        <v>780</v>
      </c>
      <c r="G293" s="106" t="n">
        <v>943.8</v>
      </c>
      <c r="H293" s="106" t="n">
        <v>351</v>
      </c>
      <c r="I293" s="107" t="n">
        <v>45</v>
      </c>
      <c r="J293" s="107" t="n">
        <v>81.81818181818183</v>
      </c>
      <c r="K293" s="108" t="n"/>
      <c r="L293" s="109" t="n"/>
      <c r="M293" s="108" t="n"/>
      <c r="N293" s="109" t="n"/>
    </row>
    <row r="294">
      <c r="A294" s="122" t="inlineStr">
        <is>
          <t>Hevea</t>
        </is>
      </c>
      <c r="B294" s="122" t="inlineStr">
        <is>
          <t>558-0051</t>
        </is>
      </c>
      <c r="C294" s="122" t="inlineStr">
        <is>
          <t>DIVA-1 BICOLOR SILLON/ARMCHAIR/FAUTEUIL</t>
        </is>
      </c>
      <c r="D294" s="123" t="inlineStr">
        <is>
          <t>2026-04-17</t>
        </is>
      </c>
      <c r="E294" s="124" t="n">
        <v>491</v>
      </c>
      <c r="F294" s="124" t="n">
        <v>780</v>
      </c>
      <c r="G294" s="124" t="n">
        <v>943.8</v>
      </c>
      <c r="H294" s="124" t="n">
        <v>289</v>
      </c>
      <c r="I294" s="125" t="n">
        <v>37.05128205128205</v>
      </c>
      <c r="J294" s="125" t="n">
        <v>58.85947046843177</v>
      </c>
      <c r="K294" s="126" t="n">
        <v>62</v>
      </c>
      <c r="L294" s="127" t="n">
        <v>14.45221445221445</v>
      </c>
      <c r="M294" s="126" t="n">
        <v>0</v>
      </c>
      <c r="N294" s="127" t="n">
        <v>0</v>
      </c>
    </row>
    <row r="295">
      <c r="A295" s="122" t="inlineStr">
        <is>
          <t>Hevea</t>
        </is>
      </c>
      <c r="B295" s="122" t="inlineStr">
        <is>
          <t>558-0051</t>
        </is>
      </c>
      <c r="C295" s="122" t="inlineStr">
        <is>
          <t>DIVA-1 BICOLOR SILLON/ARMCHAIR/FAUTEUIL</t>
        </is>
      </c>
      <c r="D295" s="123" t="inlineStr">
        <is>
          <t>2026-05-07</t>
        </is>
      </c>
      <c r="E295" s="124" t="n">
        <v>492</v>
      </c>
      <c r="F295" s="124" t="n">
        <v>780</v>
      </c>
      <c r="G295" s="124" t="n">
        <v>943.8</v>
      </c>
      <c r="H295" s="124" t="n">
        <v>288</v>
      </c>
      <c r="I295" s="125" t="n">
        <v>36.92307692307693</v>
      </c>
      <c r="J295" s="125" t="n">
        <v>58.53658536585365</v>
      </c>
      <c r="K295" s="126" t="n">
        <v>1</v>
      </c>
      <c r="L295" s="127" t="n">
        <v>0.2036659877800407</v>
      </c>
      <c r="M295" s="126" t="n">
        <v>0</v>
      </c>
      <c r="N295" s="127" t="n">
        <v>0</v>
      </c>
    </row>
    <row r="296">
      <c r="A296" s="110" t="inlineStr">
        <is>
          <t>Hevea</t>
        </is>
      </c>
      <c r="B296" s="110" t="inlineStr">
        <is>
          <t>558-0052</t>
        </is>
      </c>
      <c r="C296" s="110" t="inlineStr">
        <is>
          <t>DIVA-3 BICOLOR SOFA 3 PLAZAS/SOFA/CANAPÉ</t>
        </is>
      </c>
      <c r="D296" s="111" t="inlineStr">
        <is>
          <t>2026-03-06</t>
        </is>
      </c>
      <c r="E296" s="112" t="n">
        <v>765</v>
      </c>
      <c r="F296" s="112" t="n">
        <v>1390</v>
      </c>
      <c r="G296" s="112" t="n">
        <v>1681.9</v>
      </c>
      <c r="H296" s="112" t="n">
        <v>625</v>
      </c>
      <c r="I296" s="113" t="n">
        <v>44.96402877697842</v>
      </c>
      <c r="J296" s="113" t="n">
        <v>81.69934640522875</v>
      </c>
      <c r="K296" s="114" t="n"/>
      <c r="L296" s="115" t="n"/>
      <c r="M296" s="114" t="n"/>
      <c r="N296" s="115" t="n"/>
    </row>
    <row r="297">
      <c r="A297" s="116" t="inlineStr">
        <is>
          <t>Hevea</t>
        </is>
      </c>
      <c r="B297" s="116" t="inlineStr">
        <is>
          <t>558-0052</t>
        </is>
      </c>
      <c r="C297" s="116" t="inlineStr">
        <is>
          <t>DIVA-3 BICOLOR SOFA 3 PLAZAS/SOFA/CANAPÉ</t>
        </is>
      </c>
      <c r="D297" s="117" t="inlineStr">
        <is>
          <t>2026-04-17</t>
        </is>
      </c>
      <c r="E297" s="118" t="n">
        <v>876</v>
      </c>
      <c r="F297" s="118" t="n">
        <v>1390</v>
      </c>
      <c r="G297" s="118" t="n">
        <v>1681.9</v>
      </c>
      <c r="H297" s="118" t="n">
        <v>514</v>
      </c>
      <c r="I297" s="119" t="n">
        <v>36.97841726618705</v>
      </c>
      <c r="J297" s="119" t="n">
        <v>58.675799086758</v>
      </c>
      <c r="K297" s="120" t="n">
        <v>111</v>
      </c>
      <c r="L297" s="121" t="n">
        <v>14.50980392156863</v>
      </c>
      <c r="M297" s="120" t="n">
        <v>0</v>
      </c>
      <c r="N297" s="121" t="n">
        <v>0</v>
      </c>
    </row>
    <row r="298">
      <c r="A298" s="116" t="inlineStr">
        <is>
          <t>Hevea</t>
        </is>
      </c>
      <c r="B298" s="116" t="inlineStr">
        <is>
          <t>558-0052</t>
        </is>
      </c>
      <c r="C298" s="116" t="inlineStr">
        <is>
          <t>DIVA-3 BICOLOR SOFA 3 PLAZAS/SOFA/CANAPÉ</t>
        </is>
      </c>
      <c r="D298" s="117" t="inlineStr">
        <is>
          <t>2026-05-07</t>
        </is>
      </c>
      <c r="E298" s="118" t="n">
        <v>876</v>
      </c>
      <c r="F298" s="118" t="n">
        <v>1390</v>
      </c>
      <c r="G298" s="118" t="n">
        <v>1681.9</v>
      </c>
      <c r="H298" s="118" t="n">
        <v>514</v>
      </c>
      <c r="I298" s="119" t="n">
        <v>36.97841726618705</v>
      </c>
      <c r="J298" s="119" t="n">
        <v>58.675799086758</v>
      </c>
      <c r="K298" s="120" t="n">
        <v>0</v>
      </c>
      <c r="L298" s="121" t="n">
        <v>0</v>
      </c>
      <c r="M298" s="120" t="n">
        <v>0</v>
      </c>
      <c r="N298" s="121" t="n">
        <v>0</v>
      </c>
    </row>
    <row r="299">
      <c r="A299" s="104" t="inlineStr">
        <is>
          <t>Hevea</t>
        </is>
      </c>
      <c r="B299" s="104" t="inlineStr">
        <is>
          <t>558-0066</t>
        </is>
      </c>
      <c r="C299" s="104" t="inlineStr">
        <is>
          <t>DIVA-7 BICOLOR SET SOFA 2 PLAZAS/SOFA/CANAPÉ</t>
        </is>
      </c>
      <c r="D299" s="105" t="inlineStr">
        <is>
          <t>2026-03-06</t>
        </is>
      </c>
      <c r="E299" s="106" t="n">
        <v>1802</v>
      </c>
      <c r="F299" s="106" t="n">
        <v>3275</v>
      </c>
      <c r="G299" s="106" t="n">
        <v>3962.75</v>
      </c>
      <c r="H299" s="106" t="n">
        <v>1473</v>
      </c>
      <c r="I299" s="107" t="n">
        <v>44.97709923664122</v>
      </c>
      <c r="J299" s="107" t="n">
        <v>81.74250832408435</v>
      </c>
      <c r="K299" s="108" t="n"/>
      <c r="L299" s="109" t="n"/>
      <c r="M299" s="108" t="n"/>
      <c r="N299" s="109" t="n"/>
    </row>
    <row r="300">
      <c r="A300" s="122" t="inlineStr">
        <is>
          <t>Hevea</t>
        </is>
      </c>
      <c r="B300" s="122" t="inlineStr">
        <is>
          <t>558-0066</t>
        </is>
      </c>
      <c r="C300" s="122" t="inlineStr">
        <is>
          <t>DIVA-7 BICOLOR SET SOFA 2 PLAZAS</t>
        </is>
      </c>
      <c r="D300" s="123" t="inlineStr">
        <is>
          <t>2026-04-17</t>
        </is>
      </c>
      <c r="E300" s="124" t="n">
        <v>2063</v>
      </c>
      <c r="F300" s="124" t="n">
        <v>3275</v>
      </c>
      <c r="G300" s="124" t="n">
        <v>3962.75</v>
      </c>
      <c r="H300" s="124" t="n">
        <v>1212</v>
      </c>
      <c r="I300" s="125" t="n">
        <v>37.00763358778626</v>
      </c>
      <c r="J300" s="125" t="n">
        <v>58.74939408628212</v>
      </c>
      <c r="K300" s="126" t="n">
        <v>261</v>
      </c>
      <c r="L300" s="127" t="n">
        <v>14.48390677025527</v>
      </c>
      <c r="M300" s="126" t="n">
        <v>0</v>
      </c>
      <c r="N300" s="127" t="n">
        <v>0</v>
      </c>
    </row>
    <row r="301">
      <c r="A301" s="122" t="inlineStr">
        <is>
          <t>Hevea</t>
        </is>
      </c>
      <c r="B301" s="122" t="inlineStr">
        <is>
          <t>558-0066</t>
        </is>
      </c>
      <c r="C301" s="122" t="inlineStr">
        <is>
          <t>DIVA-7 BICOLOR SET SOFA 2 PLAZAS/SOFA/CANAPÉ</t>
        </is>
      </c>
      <c r="D301" s="123" t="inlineStr">
        <is>
          <t>2026-05-07</t>
        </is>
      </c>
      <c r="E301" s="124" t="n">
        <v>2064</v>
      </c>
      <c r="F301" s="124" t="n">
        <v>3275</v>
      </c>
      <c r="G301" s="124" t="n">
        <v>3962.75</v>
      </c>
      <c r="H301" s="124" t="n">
        <v>1211</v>
      </c>
      <c r="I301" s="125" t="n">
        <v>36.97709923664122</v>
      </c>
      <c r="J301" s="125" t="n">
        <v>58.67248062015504</v>
      </c>
      <c r="K301" s="126" t="n">
        <v>1</v>
      </c>
      <c r="L301" s="127" t="n">
        <v>0.04847309743092584</v>
      </c>
      <c r="M301" s="126" t="n">
        <v>0</v>
      </c>
      <c r="N301" s="127" t="n">
        <v>0</v>
      </c>
    </row>
    <row r="302">
      <c r="A302" s="110" t="inlineStr">
        <is>
          <t>Hevea</t>
        </is>
      </c>
      <c r="B302" s="110" t="inlineStr">
        <is>
          <t>558-0070</t>
        </is>
      </c>
      <c r="C302" s="110" t="inlineStr">
        <is>
          <t>DIVA-2 BICOLOR SOFA 2 PLAZAS/SOFA/CANAPÉ</t>
        </is>
      </c>
      <c r="D302" s="111" t="inlineStr">
        <is>
          <t>2026-03-06</t>
        </is>
      </c>
      <c r="E302" s="112" t="n">
        <v>619</v>
      </c>
      <c r="F302" s="112" t="n">
        <v>1125</v>
      </c>
      <c r="G302" s="112" t="n">
        <v>1361.25</v>
      </c>
      <c r="H302" s="112" t="n">
        <v>506</v>
      </c>
      <c r="I302" s="113" t="n">
        <v>44.97777777777777</v>
      </c>
      <c r="J302" s="113" t="n">
        <v>81.74474959612277</v>
      </c>
      <c r="K302" s="114" t="n"/>
      <c r="L302" s="115" t="n"/>
      <c r="M302" s="114" t="n"/>
      <c r="N302" s="115" t="n"/>
    </row>
    <row r="303">
      <c r="A303" s="116" t="inlineStr">
        <is>
          <t>Hevea</t>
        </is>
      </c>
      <c r="B303" s="116" t="inlineStr">
        <is>
          <t>558-0070</t>
        </is>
      </c>
      <c r="C303" s="116" t="inlineStr">
        <is>
          <t>DIVA-2 BICOLOR SOFA 2 PLAZAS/SOFA/CANAPÉ</t>
        </is>
      </c>
      <c r="D303" s="117" t="inlineStr">
        <is>
          <t>2026-04-17</t>
        </is>
      </c>
      <c r="E303" s="118" t="n">
        <v>709</v>
      </c>
      <c r="F303" s="118" t="n">
        <v>1125</v>
      </c>
      <c r="G303" s="118" t="n">
        <v>1361.25</v>
      </c>
      <c r="H303" s="118" t="n">
        <v>416</v>
      </c>
      <c r="I303" s="119" t="n">
        <v>36.97777777777777</v>
      </c>
      <c r="J303" s="119" t="n">
        <v>58.67418899858956</v>
      </c>
      <c r="K303" s="120" t="n">
        <v>90</v>
      </c>
      <c r="L303" s="121" t="n">
        <v>14.53957996768982</v>
      </c>
      <c r="M303" s="120" t="n">
        <v>0</v>
      </c>
      <c r="N303" s="121" t="n">
        <v>0</v>
      </c>
    </row>
    <row r="304">
      <c r="A304" s="116" t="inlineStr">
        <is>
          <t>Hevea</t>
        </is>
      </c>
      <c r="B304" s="116" t="inlineStr">
        <is>
          <t>558-0070</t>
        </is>
      </c>
      <c r="C304" s="116" t="inlineStr">
        <is>
          <t>DIVA-2 BICOLOR SOFA 2 PLAZAS/SOFA/CANAPÉ</t>
        </is>
      </c>
      <c r="D304" s="117" t="inlineStr">
        <is>
          <t>2026-05-07</t>
        </is>
      </c>
      <c r="E304" s="118" t="n">
        <v>709</v>
      </c>
      <c r="F304" s="118" t="n">
        <v>1125</v>
      </c>
      <c r="G304" s="118" t="n">
        <v>1361.25</v>
      </c>
      <c r="H304" s="118" t="n">
        <v>416</v>
      </c>
      <c r="I304" s="119" t="n">
        <v>36.97777777777777</v>
      </c>
      <c r="J304" s="119" t="n">
        <v>58.67418899858956</v>
      </c>
      <c r="K304" s="120" t="n">
        <v>0</v>
      </c>
      <c r="L304" s="121" t="n">
        <v>0</v>
      </c>
      <c r="M304" s="120" t="n">
        <v>0</v>
      </c>
      <c r="N304" s="121" t="n">
        <v>0</v>
      </c>
    </row>
    <row r="305">
      <c r="A305" s="104" t="inlineStr">
        <is>
          <t>Hevea</t>
        </is>
      </c>
      <c r="B305" s="104" t="inlineStr">
        <is>
          <t>600-010021</t>
        </is>
      </c>
      <c r="C305" s="104" t="inlineStr">
        <is>
          <t>YINA-1 SILLON/ARMCHAIR/FAUTEUIL</t>
        </is>
      </c>
      <c r="D305" s="105" t="inlineStr">
        <is>
          <t>2026-03-06</t>
        </is>
      </c>
      <c r="E305" s="106" t="n">
        <v>435</v>
      </c>
      <c r="F305" s="106" t="n">
        <v>790</v>
      </c>
      <c r="G305" s="106" t="n">
        <v>955.9</v>
      </c>
      <c r="H305" s="106" t="n">
        <v>355</v>
      </c>
      <c r="I305" s="107" t="n">
        <v>44.9367088607595</v>
      </c>
      <c r="J305" s="107" t="n">
        <v>81.60919540229885</v>
      </c>
      <c r="K305" s="108" t="n"/>
      <c r="L305" s="109" t="n"/>
      <c r="M305" s="108" t="n"/>
      <c r="N305" s="109" t="n"/>
    </row>
    <row r="306">
      <c r="A306" s="122" t="inlineStr">
        <is>
          <t>Hevea</t>
        </is>
      </c>
      <c r="B306" s="122" t="inlineStr">
        <is>
          <t>600-010021</t>
        </is>
      </c>
      <c r="C306" s="122" t="inlineStr">
        <is>
          <t>YINA-1 SILLON/ARMCHAIR/FAUTEUIL</t>
        </is>
      </c>
      <c r="D306" s="123" t="inlineStr">
        <is>
          <t>2026-04-17</t>
        </is>
      </c>
      <c r="E306" s="124" t="n">
        <v>498</v>
      </c>
      <c r="F306" s="124" t="n">
        <v>790</v>
      </c>
      <c r="G306" s="124" t="n">
        <v>955.9</v>
      </c>
      <c r="H306" s="124" t="n">
        <v>292</v>
      </c>
      <c r="I306" s="125" t="n">
        <v>36.9620253164557</v>
      </c>
      <c r="J306" s="125" t="n">
        <v>58.63453815261044</v>
      </c>
      <c r="K306" s="126" t="n">
        <v>63</v>
      </c>
      <c r="L306" s="127" t="n">
        <v>14.48275862068966</v>
      </c>
      <c r="M306" s="126" t="n">
        <v>0</v>
      </c>
      <c r="N306" s="127" t="n">
        <v>0</v>
      </c>
    </row>
    <row r="307">
      <c r="A307" s="122" t="inlineStr">
        <is>
          <t>Hevea</t>
        </is>
      </c>
      <c r="B307" s="122" t="inlineStr">
        <is>
          <t>600-010021</t>
        </is>
      </c>
      <c r="C307" s="122" t="inlineStr">
        <is>
          <t>YINA-1 SILLON/ARMCHAIR/FAUTEUIL</t>
        </is>
      </c>
      <c r="D307" s="123" t="inlineStr">
        <is>
          <t>2026-05-07</t>
        </is>
      </c>
      <c r="E307" s="124" t="n">
        <v>498</v>
      </c>
      <c r="F307" s="124" t="n">
        <v>790</v>
      </c>
      <c r="G307" s="124" t="n">
        <v>955.9</v>
      </c>
      <c r="H307" s="124" t="n">
        <v>292</v>
      </c>
      <c r="I307" s="125" t="n">
        <v>36.9620253164557</v>
      </c>
      <c r="J307" s="125" t="n">
        <v>58.63453815261044</v>
      </c>
      <c r="K307" s="126" t="n">
        <v>0</v>
      </c>
      <c r="L307" s="127" t="n">
        <v>0</v>
      </c>
      <c r="M307" s="126" t="n">
        <v>0</v>
      </c>
      <c r="N307" s="127" t="n">
        <v>0</v>
      </c>
    </row>
    <row r="308">
      <c r="A308" s="110" t="inlineStr">
        <is>
          <t>Hevea</t>
        </is>
      </c>
      <c r="B308" s="110" t="inlineStr">
        <is>
          <t>600-010022</t>
        </is>
      </c>
      <c r="C308" s="110" t="inlineStr">
        <is>
          <t>YINA-2 SOFA 2 PLAZAS/SOFÁ/CANAPÉ</t>
        </is>
      </c>
      <c r="D308" s="111" t="inlineStr">
        <is>
          <t>2026-03-06</t>
        </is>
      </c>
      <c r="E308" s="112" t="n">
        <v>636</v>
      </c>
      <c r="F308" s="112" t="n">
        <v>1155</v>
      </c>
      <c r="G308" s="112" t="n">
        <v>1397.55</v>
      </c>
      <c r="H308" s="112" t="n">
        <v>519</v>
      </c>
      <c r="I308" s="113" t="n">
        <v>44.93506493506494</v>
      </c>
      <c r="J308" s="113" t="n">
        <v>81.60377358490565</v>
      </c>
      <c r="K308" s="114" t="n"/>
      <c r="L308" s="115" t="n"/>
      <c r="M308" s="114" t="n"/>
      <c r="N308" s="115" t="n"/>
    </row>
    <row r="309">
      <c r="A309" s="116" t="inlineStr">
        <is>
          <t>Hevea</t>
        </is>
      </c>
      <c r="B309" s="116" t="inlineStr">
        <is>
          <t>600-010022</t>
        </is>
      </c>
      <c r="C309" s="116" t="inlineStr">
        <is>
          <t>YINA-2 SOFA 2 PLAZAS/SOFÁ/CANAPÉ</t>
        </is>
      </c>
      <c r="D309" s="117" t="inlineStr">
        <is>
          <t>2026-04-17</t>
        </is>
      </c>
      <c r="E309" s="118" t="n">
        <v>728</v>
      </c>
      <c r="F309" s="118" t="n">
        <v>1155</v>
      </c>
      <c r="G309" s="118" t="n">
        <v>1397.55</v>
      </c>
      <c r="H309" s="118" t="n">
        <v>427</v>
      </c>
      <c r="I309" s="119" t="n">
        <v>36.96969696969697</v>
      </c>
      <c r="J309" s="119" t="n">
        <v>58.65384615384615</v>
      </c>
      <c r="K309" s="120" t="n">
        <v>92</v>
      </c>
      <c r="L309" s="121" t="n">
        <v>14.46540880503145</v>
      </c>
      <c r="M309" s="120" t="n">
        <v>0</v>
      </c>
      <c r="N309" s="121" t="n">
        <v>0</v>
      </c>
    </row>
    <row r="310">
      <c r="A310" s="116" t="inlineStr">
        <is>
          <t>Hevea</t>
        </is>
      </c>
      <c r="B310" s="116" t="inlineStr">
        <is>
          <t>600-010022</t>
        </is>
      </c>
      <c r="C310" s="116" t="inlineStr">
        <is>
          <t>YINA-2 SOFA 2 PLAZAS/SOFÁ/CANAPÉ</t>
        </is>
      </c>
      <c r="D310" s="117" t="inlineStr">
        <is>
          <t>2026-05-07</t>
        </is>
      </c>
      <c r="E310" s="118" t="n">
        <v>728</v>
      </c>
      <c r="F310" s="118" t="n">
        <v>1155</v>
      </c>
      <c r="G310" s="118" t="n">
        <v>1397.55</v>
      </c>
      <c r="H310" s="118" t="n">
        <v>427</v>
      </c>
      <c r="I310" s="119" t="n">
        <v>36.96969696969697</v>
      </c>
      <c r="J310" s="119" t="n">
        <v>58.65384615384615</v>
      </c>
      <c r="K310" s="120" t="n">
        <v>0</v>
      </c>
      <c r="L310" s="121" t="n">
        <v>0</v>
      </c>
      <c r="M310" s="120" t="n">
        <v>0</v>
      </c>
      <c r="N310" s="121" t="n">
        <v>0</v>
      </c>
    </row>
    <row r="311">
      <c r="A311" s="104" t="inlineStr">
        <is>
          <t>Hevea</t>
        </is>
      </c>
      <c r="B311" s="104" t="inlineStr">
        <is>
          <t>600-010023</t>
        </is>
      </c>
      <c r="C311" s="104" t="inlineStr">
        <is>
          <t>YINA-3 SOFA 3 PLAZAS/SOFÁ/CANAPÉ</t>
        </is>
      </c>
      <c r="D311" s="105" t="inlineStr">
        <is>
          <t>2026-03-06</t>
        </is>
      </c>
      <c r="E311" s="106" t="n">
        <v>806</v>
      </c>
      <c r="F311" s="106" t="n">
        <v>1465</v>
      </c>
      <c r="G311" s="106" t="n">
        <v>1772.65</v>
      </c>
      <c r="H311" s="106" t="n">
        <v>659</v>
      </c>
      <c r="I311" s="107" t="n">
        <v>44.98293515358362</v>
      </c>
      <c r="J311" s="107" t="n">
        <v>81.76178660049628</v>
      </c>
      <c r="K311" s="108" t="n"/>
      <c r="L311" s="109" t="n"/>
      <c r="M311" s="108" t="n"/>
      <c r="N311" s="109" t="n"/>
    </row>
    <row r="312">
      <c r="A312" s="122" t="inlineStr">
        <is>
          <t>Hevea</t>
        </is>
      </c>
      <c r="B312" s="122" t="inlineStr">
        <is>
          <t>600-010023</t>
        </is>
      </c>
      <c r="C312" s="122" t="inlineStr">
        <is>
          <t>YINA-3 SOFA 3 PLAZAS/SOFÁ/CANAPÉ</t>
        </is>
      </c>
      <c r="D312" s="123" t="inlineStr">
        <is>
          <t>2026-04-17</t>
        </is>
      </c>
      <c r="E312" s="124" t="n">
        <v>923</v>
      </c>
      <c r="F312" s="124" t="n">
        <v>1465</v>
      </c>
      <c r="G312" s="124" t="n">
        <v>1772.65</v>
      </c>
      <c r="H312" s="124" t="n">
        <v>542</v>
      </c>
      <c r="I312" s="125" t="n">
        <v>36.99658703071672</v>
      </c>
      <c r="J312" s="125" t="n">
        <v>58.72156013001083</v>
      </c>
      <c r="K312" s="126" t="n">
        <v>117</v>
      </c>
      <c r="L312" s="127" t="n">
        <v>14.51612903225807</v>
      </c>
      <c r="M312" s="126" t="n">
        <v>0</v>
      </c>
      <c r="N312" s="127" t="n">
        <v>0</v>
      </c>
    </row>
    <row r="313">
      <c r="A313" s="122" t="inlineStr">
        <is>
          <t>Hevea</t>
        </is>
      </c>
      <c r="B313" s="122" t="inlineStr">
        <is>
          <t>600-010023</t>
        </is>
      </c>
      <c r="C313" s="122" t="inlineStr">
        <is>
          <t>YINA-3 SOFA 3 PLAZAS/SOFÁ/CANAPÉ</t>
        </is>
      </c>
      <c r="D313" s="123" t="inlineStr">
        <is>
          <t>2026-05-07</t>
        </is>
      </c>
      <c r="E313" s="124" t="n">
        <v>923</v>
      </c>
      <c r="F313" s="124" t="n">
        <v>1465</v>
      </c>
      <c r="G313" s="124" t="n">
        <v>1772.65</v>
      </c>
      <c r="H313" s="124" t="n">
        <v>542</v>
      </c>
      <c r="I313" s="125" t="n">
        <v>36.99658703071672</v>
      </c>
      <c r="J313" s="125" t="n">
        <v>58.72156013001083</v>
      </c>
      <c r="K313" s="126" t="n">
        <v>0</v>
      </c>
      <c r="L313" s="127" t="n">
        <v>0</v>
      </c>
      <c r="M313" s="126" t="n">
        <v>0</v>
      </c>
      <c r="N313" s="127" t="n">
        <v>0</v>
      </c>
    </row>
    <row r="314">
      <c r="A314" s="110" t="inlineStr">
        <is>
          <t>Hevea</t>
        </is>
      </c>
      <c r="B314" s="110" t="inlineStr">
        <is>
          <t>600-010024</t>
        </is>
      </c>
      <c r="C314" s="110" t="inlineStr">
        <is>
          <t>YINA-70 HPL MESA CENTRO/COFFEE TABLE/TABLE CENTRE</t>
        </is>
      </c>
      <c r="D314" s="111" t="inlineStr">
        <is>
          <t>2026-03-06</t>
        </is>
      </c>
      <c r="E314" s="112" t="n">
        <v>229</v>
      </c>
      <c r="F314" s="112" t="n">
        <v>415</v>
      </c>
      <c r="G314" s="112" t="n">
        <v>502.15</v>
      </c>
      <c r="H314" s="112" t="n">
        <v>186</v>
      </c>
      <c r="I314" s="113" t="n">
        <v>44.81927710843374</v>
      </c>
      <c r="J314" s="113" t="n">
        <v>81.22270742358079</v>
      </c>
      <c r="K314" s="114" t="n"/>
      <c r="L314" s="115" t="n"/>
      <c r="M314" s="114" t="n"/>
      <c r="N314" s="115" t="n"/>
    </row>
    <row r="315">
      <c r="A315" s="116" t="inlineStr">
        <is>
          <t>Hevea</t>
        </is>
      </c>
      <c r="B315" s="116" t="inlineStr">
        <is>
          <t>600-010024</t>
        </is>
      </c>
      <c r="C315" s="116" t="inlineStr">
        <is>
          <t>YINA-70 HPL MESA CENTRO/COFFEE TABLE/TABLE CENTRE</t>
        </is>
      </c>
      <c r="D315" s="117" t="inlineStr">
        <is>
          <t>2026-04-17</t>
        </is>
      </c>
      <c r="E315" s="118" t="n">
        <v>261</v>
      </c>
      <c r="F315" s="118" t="n">
        <v>415</v>
      </c>
      <c r="G315" s="118" t="n">
        <v>502.15</v>
      </c>
      <c r="H315" s="118" t="n">
        <v>154</v>
      </c>
      <c r="I315" s="119" t="n">
        <v>37.10843373493976</v>
      </c>
      <c r="J315" s="119" t="n">
        <v>59.00383141762452</v>
      </c>
      <c r="K315" s="120" t="n">
        <v>32</v>
      </c>
      <c r="L315" s="121" t="n">
        <v>13.97379912663755</v>
      </c>
      <c r="M315" s="120" t="n">
        <v>0</v>
      </c>
      <c r="N315" s="121" t="n">
        <v>0</v>
      </c>
    </row>
    <row r="316">
      <c r="A316" s="116" t="inlineStr">
        <is>
          <t>Hevea</t>
        </is>
      </c>
      <c r="B316" s="116" t="inlineStr">
        <is>
          <t>600-010024</t>
        </is>
      </c>
      <c r="C316" s="116" t="inlineStr">
        <is>
          <t>YINA-70 HPL MESA CENTRO/COFFEE TABLE/TABLE CENTRE</t>
        </is>
      </c>
      <c r="D316" s="117" t="inlineStr">
        <is>
          <t>2026-05-07</t>
        </is>
      </c>
      <c r="E316" s="118" t="n">
        <v>262</v>
      </c>
      <c r="F316" s="118" t="n">
        <v>415</v>
      </c>
      <c r="G316" s="118" t="n">
        <v>502.15</v>
      </c>
      <c r="H316" s="118" t="n">
        <v>153</v>
      </c>
      <c r="I316" s="119" t="n">
        <v>36.86746987951807</v>
      </c>
      <c r="J316" s="119" t="n">
        <v>58.3969465648855</v>
      </c>
      <c r="K316" s="120" t="n">
        <v>1</v>
      </c>
      <c r="L316" s="121" t="n">
        <v>0.3831417624521072</v>
      </c>
      <c r="M316" s="120" t="n">
        <v>0</v>
      </c>
      <c r="N316" s="121" t="n">
        <v>0</v>
      </c>
    </row>
    <row r="317">
      <c r="A317" s="104" t="inlineStr">
        <is>
          <t>Hevea</t>
        </is>
      </c>
      <c r="B317" s="104" t="inlineStr">
        <is>
          <t>600-010025</t>
        </is>
      </c>
      <c r="C317" s="104" t="inlineStr">
        <is>
          <t>YINA-5 REPOSAPIES/FOOTSTOOL/REPOSE-PIEDS</t>
        </is>
      </c>
      <c r="D317" s="105" t="inlineStr">
        <is>
          <t>2026-03-06</t>
        </is>
      </c>
      <c r="E317" s="106" t="n">
        <v>176</v>
      </c>
      <c r="F317" s="106" t="n">
        <v>320</v>
      </c>
      <c r="G317" s="106" t="n">
        <v>387.2</v>
      </c>
      <c r="H317" s="106" t="n">
        <v>144</v>
      </c>
      <c r="I317" s="107" t="n">
        <v>45</v>
      </c>
      <c r="J317" s="107" t="n">
        <v>81.81818181818183</v>
      </c>
      <c r="K317" s="108" t="n"/>
      <c r="L317" s="109" t="n"/>
      <c r="M317" s="108" t="n"/>
      <c r="N317" s="109" t="n"/>
    </row>
    <row r="318">
      <c r="A318" s="122" t="inlineStr">
        <is>
          <t>Hevea</t>
        </is>
      </c>
      <c r="B318" s="122" t="inlineStr">
        <is>
          <t>600-010025</t>
        </is>
      </c>
      <c r="C318" s="122" t="inlineStr">
        <is>
          <t>YINA-5 REPOSAPIES/FOOTSTOOL/REPOSE-PIEDS</t>
        </is>
      </c>
      <c r="D318" s="123" t="inlineStr">
        <is>
          <t>2026-04-17</t>
        </is>
      </c>
      <c r="E318" s="124" t="n">
        <v>202</v>
      </c>
      <c r="F318" s="124" t="n">
        <v>320</v>
      </c>
      <c r="G318" s="124" t="n">
        <v>387.2</v>
      </c>
      <c r="H318" s="124" t="n">
        <v>118</v>
      </c>
      <c r="I318" s="125" t="n">
        <v>36.875</v>
      </c>
      <c r="J318" s="125" t="n">
        <v>58.41584158415841</v>
      </c>
      <c r="K318" s="126" t="n">
        <v>26</v>
      </c>
      <c r="L318" s="127" t="n">
        <v>14.77272727272727</v>
      </c>
      <c r="M318" s="126" t="n">
        <v>0</v>
      </c>
      <c r="N318" s="127" t="n">
        <v>0</v>
      </c>
    </row>
    <row r="319">
      <c r="A319" s="122" t="inlineStr">
        <is>
          <t>Hevea</t>
        </is>
      </c>
      <c r="B319" s="122" t="inlineStr">
        <is>
          <t>600-010025</t>
        </is>
      </c>
      <c r="C319" s="122" t="inlineStr">
        <is>
          <t>YINA-5 REPOSAPIES/FOOTSTOOL/REPOSE-PIEDS</t>
        </is>
      </c>
      <c r="D319" s="123" t="inlineStr">
        <is>
          <t>2026-05-07</t>
        </is>
      </c>
      <c r="E319" s="124" t="n">
        <v>202</v>
      </c>
      <c r="F319" s="124" t="n">
        <v>320</v>
      </c>
      <c r="G319" s="124" t="n">
        <v>387.2</v>
      </c>
      <c r="H319" s="124" t="n">
        <v>118</v>
      </c>
      <c r="I319" s="125" t="n">
        <v>36.875</v>
      </c>
      <c r="J319" s="125" t="n">
        <v>58.41584158415841</v>
      </c>
      <c r="K319" s="126" t="n">
        <v>0</v>
      </c>
      <c r="L319" s="127" t="n">
        <v>0</v>
      </c>
      <c r="M319" s="126" t="n">
        <v>0</v>
      </c>
      <c r="N319" s="127" t="n">
        <v>0</v>
      </c>
    </row>
    <row r="320">
      <c r="A320" s="110" t="inlineStr">
        <is>
          <t>Hevea</t>
        </is>
      </c>
      <c r="B320" s="110" t="inlineStr">
        <is>
          <t>600-010026</t>
        </is>
      </c>
      <c r="C320" s="110" t="inlineStr">
        <is>
          <t>YINA-7 SET SOFÁ 2 PLAZAS / 2 SEATER SOFA SET / SET CANAPÉ 2 PLACES</t>
        </is>
      </c>
      <c r="D320" s="111" t="inlineStr">
        <is>
          <t>2026-03-06</t>
        </is>
      </c>
      <c r="E320" s="112" t="n">
        <v>1736</v>
      </c>
      <c r="F320" s="112" t="n">
        <v>3155</v>
      </c>
      <c r="G320" s="112" t="n">
        <v>3817.55</v>
      </c>
      <c r="H320" s="112" t="n">
        <v>1419</v>
      </c>
      <c r="I320" s="113" t="n">
        <v>44.97622820919176</v>
      </c>
      <c r="J320" s="113" t="n">
        <v>81.73963133640552</v>
      </c>
      <c r="K320" s="114" t="n"/>
      <c r="L320" s="115" t="n"/>
      <c r="M320" s="114" t="n"/>
      <c r="N320" s="115" t="n"/>
    </row>
    <row r="321">
      <c r="A321" s="116" t="inlineStr">
        <is>
          <t>Hevea</t>
        </is>
      </c>
      <c r="B321" s="116" t="inlineStr">
        <is>
          <t>600-010026</t>
        </is>
      </c>
      <c r="C321" s="116" t="inlineStr">
        <is>
          <t>YINA-7 SET SOFÁ 2 PLAZAS / 2 SEATER SOFA SET / SET CANAPÉ 2 PLACES</t>
        </is>
      </c>
      <c r="D321" s="117" t="inlineStr">
        <is>
          <t>2026-04-17</t>
        </is>
      </c>
      <c r="E321" s="118" t="n">
        <v>1988</v>
      </c>
      <c r="F321" s="118" t="n">
        <v>3155</v>
      </c>
      <c r="G321" s="118" t="n">
        <v>3817.55</v>
      </c>
      <c r="H321" s="118" t="n">
        <v>1167</v>
      </c>
      <c r="I321" s="119" t="n">
        <v>36.98890649762282</v>
      </c>
      <c r="J321" s="119" t="n">
        <v>58.70221327967807</v>
      </c>
      <c r="K321" s="120" t="n">
        <v>252</v>
      </c>
      <c r="L321" s="121" t="n">
        <v>14.51612903225807</v>
      </c>
      <c r="M321" s="120" t="n">
        <v>0</v>
      </c>
      <c r="N321" s="121" t="n">
        <v>0</v>
      </c>
    </row>
    <row r="322">
      <c r="A322" s="116" t="inlineStr">
        <is>
          <t>Hevea</t>
        </is>
      </c>
      <c r="B322" s="116" t="inlineStr">
        <is>
          <t>600-010026</t>
        </is>
      </c>
      <c r="C322" s="116" t="inlineStr">
        <is>
          <t>YINA-7 SET SOFÁ 2 PLAZAS / 2 SEATER SOFA SET / SET CANAPÉ 2 PLACES</t>
        </is>
      </c>
      <c r="D322" s="117" t="inlineStr">
        <is>
          <t>2026-05-07</t>
        </is>
      </c>
      <c r="E322" s="118" t="n">
        <v>1988</v>
      </c>
      <c r="F322" s="118" t="n">
        <v>3155</v>
      </c>
      <c r="G322" s="118" t="n">
        <v>3817.55</v>
      </c>
      <c r="H322" s="118" t="n">
        <v>1167</v>
      </c>
      <c r="I322" s="119" t="n">
        <v>36.98890649762282</v>
      </c>
      <c r="J322" s="119" t="n">
        <v>58.70221327967807</v>
      </c>
      <c r="K322" s="120" t="n">
        <v>0</v>
      </c>
      <c r="L322" s="121" t="n">
        <v>0</v>
      </c>
      <c r="M322" s="120" t="n">
        <v>0</v>
      </c>
      <c r="N322" s="121" t="n">
        <v>0</v>
      </c>
    </row>
    <row r="323">
      <c r="A323" s="104" t="inlineStr">
        <is>
          <t>Hevea</t>
        </is>
      </c>
      <c r="B323" s="104" t="inlineStr">
        <is>
          <t>600-010027</t>
        </is>
      </c>
      <c r="C323" s="104" t="inlineStr">
        <is>
          <t>YINA-8 SET SOFÁ 3 PLAZAS / 3 SEATER SOFA SET / SET CANAPÉ 3 PLACES</t>
        </is>
      </c>
      <c r="D323" s="105" t="inlineStr">
        <is>
          <t>2026-03-06</t>
        </is>
      </c>
      <c r="E323" s="106" t="n">
        <v>1906</v>
      </c>
      <c r="F323" s="106" t="n">
        <v>3465</v>
      </c>
      <c r="G323" s="106" t="n">
        <v>4192.65</v>
      </c>
      <c r="H323" s="106" t="n">
        <v>1559</v>
      </c>
      <c r="I323" s="107" t="n">
        <v>44.992784992785</v>
      </c>
      <c r="J323" s="107" t="n">
        <v>81.79433368310598</v>
      </c>
      <c r="K323" s="108" t="n"/>
      <c r="L323" s="109" t="n"/>
      <c r="M323" s="108" t="n"/>
      <c r="N323" s="109" t="n"/>
    </row>
    <row r="324">
      <c r="A324" s="122" t="inlineStr">
        <is>
          <t>Hevea</t>
        </is>
      </c>
      <c r="B324" s="122" t="inlineStr">
        <is>
          <t>600-010027</t>
        </is>
      </c>
      <c r="C324" s="122" t="inlineStr">
        <is>
          <t>YINA-8 SET SOFÁ 3 PLAZAS / 3 SEATER SOFA SET / SET CANAPÉ 3 PLACES</t>
        </is>
      </c>
      <c r="D324" s="123" t="inlineStr">
        <is>
          <t>2026-04-17</t>
        </is>
      </c>
      <c r="E324" s="124" t="n">
        <v>2183</v>
      </c>
      <c r="F324" s="124" t="n">
        <v>3465</v>
      </c>
      <c r="G324" s="124" t="n">
        <v>4192.65</v>
      </c>
      <c r="H324" s="124" t="n">
        <v>1282</v>
      </c>
      <c r="I324" s="125" t="n">
        <v>36.998556998557</v>
      </c>
      <c r="J324" s="125" t="n">
        <v>58.7265231333028</v>
      </c>
      <c r="K324" s="126" t="n">
        <v>277</v>
      </c>
      <c r="L324" s="127" t="n">
        <v>14.53305351521511</v>
      </c>
      <c r="M324" s="126" t="n">
        <v>0</v>
      </c>
      <c r="N324" s="127" t="n">
        <v>0</v>
      </c>
    </row>
    <row r="325">
      <c r="A325" s="122" t="inlineStr">
        <is>
          <t>Hevea</t>
        </is>
      </c>
      <c r="B325" s="122" t="inlineStr">
        <is>
          <t>600-010027</t>
        </is>
      </c>
      <c r="C325" s="122" t="inlineStr">
        <is>
          <t>YINA-8 SET SOFÁ 3 PLAZAS / 3 SEATER SOFA SET / SET CANAPÉ 3 PLACES</t>
        </is>
      </c>
      <c r="D325" s="123" t="inlineStr">
        <is>
          <t>2026-05-07</t>
        </is>
      </c>
      <c r="E325" s="124" t="n">
        <v>2183</v>
      </c>
      <c r="F325" s="124" t="n">
        <v>3465</v>
      </c>
      <c r="G325" s="124" t="n">
        <v>4192.65</v>
      </c>
      <c r="H325" s="124" t="n">
        <v>1282</v>
      </c>
      <c r="I325" s="125" t="n">
        <v>36.998556998557</v>
      </c>
      <c r="J325" s="125" t="n">
        <v>58.7265231333028</v>
      </c>
      <c r="K325" s="126" t="n">
        <v>0</v>
      </c>
      <c r="L325" s="127" t="n">
        <v>0</v>
      </c>
      <c r="M325" s="126" t="n">
        <v>0</v>
      </c>
      <c r="N325" s="127" t="n">
        <v>0</v>
      </c>
    </row>
    <row r="326">
      <c r="A326" s="110" t="inlineStr">
        <is>
          <t>Hevea</t>
        </is>
      </c>
      <c r="B326" s="110" t="inlineStr">
        <is>
          <t>600-010090</t>
        </is>
      </c>
      <c r="C326" s="110" t="inlineStr">
        <is>
          <t>CLOE-1 SILLON/ARMCHAIR/FAUTEUIL</t>
        </is>
      </c>
      <c r="D326" s="111" t="inlineStr">
        <is>
          <t>2026-03-06</t>
        </is>
      </c>
      <c r="E326" s="112" t="n">
        <v>443</v>
      </c>
      <c r="F326" s="112" t="n">
        <v>805</v>
      </c>
      <c r="G326" s="112" t="n">
        <v>974.05</v>
      </c>
      <c r="H326" s="112" t="n">
        <v>362</v>
      </c>
      <c r="I326" s="113" t="n">
        <v>44.96894409937888</v>
      </c>
      <c r="J326" s="113" t="n">
        <v>81.7155756207675</v>
      </c>
      <c r="K326" s="114" t="n"/>
      <c r="L326" s="115" t="n"/>
      <c r="M326" s="114" t="n"/>
      <c r="N326" s="115" t="n"/>
    </row>
    <row r="327">
      <c r="A327" s="116" t="inlineStr">
        <is>
          <t>Hevea</t>
        </is>
      </c>
      <c r="B327" s="116" t="inlineStr">
        <is>
          <t>600-010090</t>
        </is>
      </c>
      <c r="C327" s="116" t="inlineStr">
        <is>
          <t>CLOE-1 SILLON/ARMCHAIR/FAUTEUIL</t>
        </is>
      </c>
      <c r="D327" s="117" t="inlineStr">
        <is>
          <t>2026-04-17</t>
        </is>
      </c>
      <c r="E327" s="118" t="n">
        <v>507</v>
      </c>
      <c r="F327" s="118" t="n">
        <v>805</v>
      </c>
      <c r="G327" s="118" t="n">
        <v>974.05</v>
      </c>
      <c r="H327" s="118" t="n">
        <v>298</v>
      </c>
      <c r="I327" s="119" t="n">
        <v>37.01863354037267</v>
      </c>
      <c r="J327" s="119" t="n">
        <v>58.77712031558185</v>
      </c>
      <c r="K327" s="120" t="n">
        <v>64</v>
      </c>
      <c r="L327" s="121" t="n">
        <v>14.44695259593679</v>
      </c>
      <c r="M327" s="120" t="n">
        <v>0</v>
      </c>
      <c r="N327" s="121" t="n">
        <v>0</v>
      </c>
    </row>
    <row r="328">
      <c r="A328" s="116" t="inlineStr">
        <is>
          <t>Hevea</t>
        </is>
      </c>
      <c r="B328" s="116" t="inlineStr">
        <is>
          <t>600-010090</t>
        </is>
      </c>
      <c r="C328" s="116" t="inlineStr">
        <is>
          <t>CLOE-1 SILLON/ARMCHAIR/FAUTEUIL</t>
        </is>
      </c>
      <c r="D328" s="117" t="inlineStr">
        <is>
          <t>2026-05-07</t>
        </is>
      </c>
      <c r="E328" s="118" t="n">
        <v>508</v>
      </c>
      <c r="F328" s="118" t="n">
        <v>805</v>
      </c>
      <c r="G328" s="118" t="n">
        <v>974.05</v>
      </c>
      <c r="H328" s="118" t="n">
        <v>297</v>
      </c>
      <c r="I328" s="119" t="n">
        <v>36.8944099378882</v>
      </c>
      <c r="J328" s="119" t="n">
        <v>58.46456692913385</v>
      </c>
      <c r="K328" s="120" t="n">
        <v>1</v>
      </c>
      <c r="L328" s="121" t="n">
        <v>0.1972386587771203</v>
      </c>
      <c r="M328" s="120" t="n">
        <v>0</v>
      </c>
      <c r="N328" s="121" t="n">
        <v>0</v>
      </c>
    </row>
    <row r="329">
      <c r="A329" s="104" t="inlineStr">
        <is>
          <t>Hevea</t>
        </is>
      </c>
      <c r="B329" s="104" t="inlineStr">
        <is>
          <t>600-010091</t>
        </is>
      </c>
      <c r="C329" s="104" t="inlineStr">
        <is>
          <t>CLOE SOFA 2 PLAZAS/SOFA/CANAPÉ</t>
        </is>
      </c>
      <c r="D329" s="105" t="inlineStr">
        <is>
          <t>2026-03-06</t>
        </is>
      </c>
      <c r="E329" s="106" t="n">
        <v>630</v>
      </c>
      <c r="F329" s="106" t="n">
        <v>1145</v>
      </c>
      <c r="G329" s="106" t="n">
        <v>1385.45</v>
      </c>
      <c r="H329" s="106" t="n">
        <v>515</v>
      </c>
      <c r="I329" s="107" t="n">
        <v>44.97816593886463</v>
      </c>
      <c r="J329" s="107" t="n">
        <v>81.74603174603175</v>
      </c>
      <c r="K329" s="108" t="n"/>
      <c r="L329" s="109" t="n"/>
      <c r="M329" s="108" t="n"/>
      <c r="N329" s="109" t="n"/>
    </row>
    <row r="330">
      <c r="A330" s="122" t="inlineStr">
        <is>
          <t>Hevea</t>
        </is>
      </c>
      <c r="B330" s="122" t="inlineStr">
        <is>
          <t>600-010091</t>
        </is>
      </c>
      <c r="C330" s="122" t="inlineStr">
        <is>
          <t>CLOE SOFA 2 PLAZAS/SOFA/CANAPÉ</t>
        </is>
      </c>
      <c r="D330" s="123" t="inlineStr">
        <is>
          <t>2026-04-17</t>
        </is>
      </c>
      <c r="E330" s="124" t="n">
        <v>721</v>
      </c>
      <c r="F330" s="124" t="n">
        <v>1145</v>
      </c>
      <c r="G330" s="124" t="n">
        <v>1385.45</v>
      </c>
      <c r="H330" s="124" t="n">
        <v>424</v>
      </c>
      <c r="I330" s="125" t="n">
        <v>37.03056768558952</v>
      </c>
      <c r="J330" s="125" t="n">
        <v>58.80721220527045</v>
      </c>
      <c r="K330" s="126" t="n">
        <v>91</v>
      </c>
      <c r="L330" s="127" t="n">
        <v>14.44444444444444</v>
      </c>
      <c r="M330" s="126" t="n">
        <v>0</v>
      </c>
      <c r="N330" s="127" t="n">
        <v>0</v>
      </c>
    </row>
    <row r="331">
      <c r="A331" s="122" t="inlineStr">
        <is>
          <t>Hevea</t>
        </is>
      </c>
      <c r="B331" s="122" t="inlineStr">
        <is>
          <t>600-010091</t>
        </is>
      </c>
      <c r="C331" s="122" t="inlineStr">
        <is>
          <t>CLOE SOFA 2 PLAZAS/SOFA/CANAPÉ</t>
        </is>
      </c>
      <c r="D331" s="123" t="inlineStr">
        <is>
          <t>2026-05-07</t>
        </is>
      </c>
      <c r="E331" s="124" t="n">
        <v>722</v>
      </c>
      <c r="F331" s="124" t="n">
        <v>1145</v>
      </c>
      <c r="G331" s="124" t="n">
        <v>1385.45</v>
      </c>
      <c r="H331" s="124" t="n">
        <v>423</v>
      </c>
      <c r="I331" s="125" t="n">
        <v>36.94323144104803</v>
      </c>
      <c r="J331" s="125" t="n">
        <v>58.58725761772853</v>
      </c>
      <c r="K331" s="126" t="n">
        <v>1</v>
      </c>
      <c r="L331" s="127" t="n">
        <v>0.1386962552011096</v>
      </c>
      <c r="M331" s="126" t="n">
        <v>0</v>
      </c>
      <c r="N331" s="127" t="n">
        <v>0</v>
      </c>
    </row>
    <row r="332">
      <c r="A332" s="110" t="inlineStr">
        <is>
          <t>Hevea</t>
        </is>
      </c>
      <c r="B332" s="110" t="inlineStr">
        <is>
          <t>600-010092</t>
        </is>
      </c>
      <c r="C332" s="110" t="inlineStr">
        <is>
          <t>CLOE SOFA 3 PLAZAS/SOFA/CANAPÉ</t>
        </is>
      </c>
      <c r="D332" s="111" t="inlineStr">
        <is>
          <t>2026-03-06</t>
        </is>
      </c>
      <c r="E332" s="112" t="n">
        <v>872</v>
      </c>
      <c r="F332" s="112" t="n">
        <v>1585</v>
      </c>
      <c r="G332" s="112" t="n">
        <v>1917.85</v>
      </c>
      <c r="H332" s="112" t="n">
        <v>713</v>
      </c>
      <c r="I332" s="113" t="n">
        <v>44.98422712933754</v>
      </c>
      <c r="J332" s="113" t="n">
        <v>81.76605504587155</v>
      </c>
      <c r="K332" s="114" t="n"/>
      <c r="L332" s="115" t="n"/>
      <c r="M332" s="114" t="n"/>
      <c r="N332" s="115" t="n"/>
    </row>
    <row r="333">
      <c r="A333" s="116" t="inlineStr">
        <is>
          <t>Hevea</t>
        </is>
      </c>
      <c r="B333" s="116" t="inlineStr">
        <is>
          <t>600-010092</t>
        </is>
      </c>
      <c r="C333" s="116" t="inlineStr">
        <is>
          <t>CLOE SOFA 3 PLAZAS/SOFA/CANAPÉ</t>
        </is>
      </c>
      <c r="D333" s="117" t="inlineStr">
        <is>
          <t>2026-04-17</t>
        </is>
      </c>
      <c r="E333" s="118" t="n">
        <v>999</v>
      </c>
      <c r="F333" s="118" t="n">
        <v>1585</v>
      </c>
      <c r="G333" s="118" t="n">
        <v>1917.85</v>
      </c>
      <c r="H333" s="118" t="n">
        <v>586</v>
      </c>
      <c r="I333" s="119" t="n">
        <v>36.97160883280758</v>
      </c>
      <c r="J333" s="119" t="n">
        <v>58.65865865865866</v>
      </c>
      <c r="K333" s="120" t="n">
        <v>127</v>
      </c>
      <c r="L333" s="121" t="n">
        <v>14.56422018348624</v>
      </c>
      <c r="M333" s="120" t="n">
        <v>0</v>
      </c>
      <c r="N333" s="121" t="n">
        <v>0</v>
      </c>
    </row>
    <row r="334">
      <c r="A334" s="116" t="inlineStr">
        <is>
          <t>Hevea</t>
        </is>
      </c>
      <c r="B334" s="116" t="inlineStr">
        <is>
          <t>600-010092</t>
        </is>
      </c>
      <c r="C334" s="116" t="inlineStr">
        <is>
          <t>CLOE SOFA 3 PLAZAS/SOFA/CANAPÉ</t>
        </is>
      </c>
      <c r="D334" s="117" t="inlineStr">
        <is>
          <t>2026-05-07</t>
        </is>
      </c>
      <c r="E334" s="118" t="n">
        <v>999</v>
      </c>
      <c r="F334" s="118" t="n">
        <v>1585</v>
      </c>
      <c r="G334" s="118" t="n">
        <v>1917.85</v>
      </c>
      <c r="H334" s="118" t="n">
        <v>586</v>
      </c>
      <c r="I334" s="119" t="n">
        <v>36.97160883280758</v>
      </c>
      <c r="J334" s="119" t="n">
        <v>58.65865865865866</v>
      </c>
      <c r="K334" s="120" t="n">
        <v>0</v>
      </c>
      <c r="L334" s="121" t="n">
        <v>0</v>
      </c>
      <c r="M334" s="120" t="n">
        <v>0</v>
      </c>
      <c r="N334" s="121" t="n">
        <v>0</v>
      </c>
    </row>
    <row r="335">
      <c r="A335" s="104" t="inlineStr">
        <is>
          <t>Hevea</t>
        </is>
      </c>
      <c r="B335" s="104" t="inlineStr">
        <is>
          <t>600-010093</t>
        </is>
      </c>
      <c r="C335" s="104" t="inlineStr">
        <is>
          <t>CLOE-5 REPOSAPIES/FOOTSTOOL/REPOSE-PIEDS</t>
        </is>
      </c>
      <c r="D335" s="105" t="inlineStr">
        <is>
          <t>2026-03-06</t>
        </is>
      </c>
      <c r="E335" s="106" t="n">
        <v>86</v>
      </c>
      <c r="F335" s="106" t="n">
        <v>155</v>
      </c>
      <c r="G335" s="106" t="n">
        <v>187.55</v>
      </c>
      <c r="H335" s="106" t="n">
        <v>69</v>
      </c>
      <c r="I335" s="107" t="n">
        <v>44.51612903225806</v>
      </c>
      <c r="J335" s="107" t="n">
        <v>80.23255813953489</v>
      </c>
      <c r="K335" s="108" t="n"/>
      <c r="L335" s="109" t="n"/>
      <c r="M335" s="108" t="n"/>
      <c r="N335" s="109" t="n"/>
    </row>
    <row r="336">
      <c r="A336" s="122" t="inlineStr">
        <is>
          <t>Hevea</t>
        </is>
      </c>
      <c r="B336" s="122" t="inlineStr">
        <is>
          <t>600-010093</t>
        </is>
      </c>
      <c r="C336" s="122" t="inlineStr">
        <is>
          <t>CLOE-5 REPOSAPIES/FOOTSTOOL/REPOSE-PIEDS</t>
        </is>
      </c>
      <c r="D336" s="123" t="inlineStr">
        <is>
          <t>2026-04-17</t>
        </is>
      </c>
      <c r="E336" s="124" t="n">
        <v>98</v>
      </c>
      <c r="F336" s="124" t="n">
        <v>155</v>
      </c>
      <c r="G336" s="124" t="n">
        <v>187.55</v>
      </c>
      <c r="H336" s="124" t="n">
        <v>57</v>
      </c>
      <c r="I336" s="125" t="n">
        <v>36.7741935483871</v>
      </c>
      <c r="J336" s="125" t="n">
        <v>58.16326530612245</v>
      </c>
      <c r="K336" s="126" t="n">
        <v>12</v>
      </c>
      <c r="L336" s="127" t="n">
        <v>13.95348837209302</v>
      </c>
      <c r="M336" s="126" t="n">
        <v>0</v>
      </c>
      <c r="N336" s="127" t="n">
        <v>0</v>
      </c>
    </row>
    <row r="337">
      <c r="A337" s="122" t="inlineStr">
        <is>
          <t>Hevea</t>
        </is>
      </c>
      <c r="B337" s="122" t="inlineStr">
        <is>
          <t>600-010093</t>
        </is>
      </c>
      <c r="C337" s="122" t="inlineStr">
        <is>
          <t>CLOE-5 REPOSAPIES/FOOTSTOOL/REPOSE-PIEDS</t>
        </is>
      </c>
      <c r="D337" s="123" t="inlineStr">
        <is>
          <t>2026-05-07</t>
        </is>
      </c>
      <c r="E337" s="124" t="n">
        <v>98</v>
      </c>
      <c r="F337" s="124" t="n">
        <v>155</v>
      </c>
      <c r="G337" s="124" t="n">
        <v>187.55</v>
      </c>
      <c r="H337" s="124" t="n">
        <v>57</v>
      </c>
      <c r="I337" s="125" t="n">
        <v>36.7741935483871</v>
      </c>
      <c r="J337" s="125" t="n">
        <v>58.16326530612245</v>
      </c>
      <c r="K337" s="126" t="n">
        <v>0</v>
      </c>
      <c r="L337" s="127" t="n">
        <v>0</v>
      </c>
      <c r="M337" s="126" t="n">
        <v>0</v>
      </c>
      <c r="N337" s="127" t="n">
        <v>0</v>
      </c>
    </row>
    <row r="338">
      <c r="A338" s="110" t="inlineStr">
        <is>
          <t>Hevea</t>
        </is>
      </c>
      <c r="B338" s="110" t="inlineStr">
        <is>
          <t>921-0009</t>
        </is>
      </c>
      <c r="C338" s="110" t="inlineStr">
        <is>
          <t>JUEGO 4 LOSAS CEMENTO BASE PARASOL GRANITE</t>
        </is>
      </c>
      <c r="D338" s="111" t="inlineStr">
        <is>
          <t>2026-03-06</t>
        </is>
      </c>
      <c r="E338" s="112" t="n">
        <v>99</v>
      </c>
      <c r="F338" s="112" t="n">
        <v>180</v>
      </c>
      <c r="G338" s="112" t="n">
        <v>217.8</v>
      </c>
      <c r="H338" s="112" t="n">
        <v>81</v>
      </c>
      <c r="I338" s="113" t="n">
        <v>45</v>
      </c>
      <c r="J338" s="113" t="n">
        <v>81.81818181818183</v>
      </c>
      <c r="K338" s="114" t="n"/>
      <c r="L338" s="115" t="n"/>
      <c r="M338" s="114" t="n"/>
      <c r="N338" s="115" t="n"/>
    </row>
    <row r="339">
      <c r="A339" s="116" t="inlineStr">
        <is>
          <t>Hevea</t>
        </is>
      </c>
      <c r="B339" s="116" t="inlineStr">
        <is>
          <t>921-0009</t>
        </is>
      </c>
      <c r="C339" s="116" t="inlineStr">
        <is>
          <t>JUEGO 4 LOSAS CEMENTO BASE PARASOL GRANITE</t>
        </is>
      </c>
      <c r="D339" s="117" t="inlineStr">
        <is>
          <t>2026-05-07</t>
        </is>
      </c>
      <c r="E339" s="118" t="n">
        <v>114</v>
      </c>
      <c r="F339" s="118" t="n">
        <v>180</v>
      </c>
      <c r="G339" s="118" t="n">
        <v>217.8</v>
      </c>
      <c r="H339" s="118" t="n">
        <v>66</v>
      </c>
      <c r="I339" s="119" t="n">
        <v>36.66666666666666</v>
      </c>
      <c r="J339" s="119" t="n">
        <v>57.89473684210527</v>
      </c>
      <c r="K339" s="120" t="n">
        <v>15</v>
      </c>
      <c r="L339" s="121" t="n">
        <v>15.15151515151515</v>
      </c>
      <c r="M339" s="120" t="n">
        <v>0</v>
      </c>
      <c r="N339" s="121" t="n">
        <v>0</v>
      </c>
    </row>
    <row r="340">
      <c r="A340" s="104" t="inlineStr">
        <is>
          <t>Hevea</t>
        </is>
      </c>
      <c r="B340" s="104" t="inlineStr">
        <is>
          <t>921-0009</t>
        </is>
      </c>
      <c r="C340" s="104" t="inlineStr">
        <is>
          <t>YULIEN BANCO</t>
        </is>
      </c>
      <c r="D340" s="105" t="inlineStr">
        <is>
          <t>2026-04-17</t>
        </is>
      </c>
      <c r="E340" s="106" t="n">
        <v>1509</v>
      </c>
      <c r="F340" s="106" t="n">
        <v>180</v>
      </c>
      <c r="G340" s="106" t="n">
        <v>217.8</v>
      </c>
      <c r="H340" s="106" t="n">
        <v>-1329</v>
      </c>
      <c r="I340" s="107" t="n">
        <v>-738.3333333333334</v>
      </c>
      <c r="J340" s="107" t="n">
        <v>-88.07157057654076</v>
      </c>
      <c r="K340" s="108" t="n"/>
      <c r="L340" s="109" t="n"/>
      <c r="M340" s="108" t="n"/>
      <c r="N340" s="109" t="n"/>
    </row>
    <row r="341">
      <c r="A341" s="110" t="inlineStr">
        <is>
          <t>Hevea</t>
        </is>
      </c>
      <c r="B341" s="110" t="inlineStr">
        <is>
          <t>921-0026</t>
        </is>
      </c>
      <c r="C341" s="110" t="inlineStr">
        <is>
          <t>BALANCÍN SIDNEY</t>
        </is>
      </c>
      <c r="D341" s="111" t="inlineStr">
        <is>
          <t>2026-04-17</t>
        </is>
      </c>
      <c r="E341" s="112" t="n">
        <v>939</v>
      </c>
      <c r="F341" s="112" t="n">
        <v>65</v>
      </c>
      <c r="G341" s="112" t="n">
        <v>78.65000000000001</v>
      </c>
      <c r="H341" s="112" t="n">
        <v>-874</v>
      </c>
      <c r="I341" s="113" t="n">
        <v>-1344.615384615385</v>
      </c>
      <c r="J341" s="113" t="n">
        <v>-93.07774227902024</v>
      </c>
      <c r="K341" s="114" t="n"/>
      <c r="L341" s="115" t="n"/>
      <c r="M341" s="114" t="n"/>
      <c r="N341" s="115" t="n"/>
    </row>
    <row r="342">
      <c r="A342" s="104" t="inlineStr">
        <is>
          <t>Hevea</t>
        </is>
      </c>
      <c r="B342" s="104" t="inlineStr">
        <is>
          <t>921-0026</t>
        </is>
      </c>
      <c r="C342" s="104" t="inlineStr">
        <is>
          <t>BASE DE PARASOL 25KG</t>
        </is>
      </c>
      <c r="D342" s="105" t="inlineStr">
        <is>
          <t>2026-03-06</t>
        </is>
      </c>
      <c r="E342" s="106" t="n">
        <v>36</v>
      </c>
      <c r="F342" s="106" t="n">
        <v>65</v>
      </c>
      <c r="G342" s="106" t="n">
        <v>78.65000000000001</v>
      </c>
      <c r="H342" s="106" t="n">
        <v>29</v>
      </c>
      <c r="I342" s="107" t="n">
        <v>44.61538461538462</v>
      </c>
      <c r="J342" s="107" t="n">
        <v>80.55555555555556</v>
      </c>
      <c r="K342" s="108" t="n"/>
      <c r="L342" s="109" t="n"/>
      <c r="M342" s="108" t="n"/>
      <c r="N342" s="109" t="n"/>
    </row>
    <row r="343">
      <c r="A343" s="122" t="inlineStr">
        <is>
          <t>Hevea</t>
        </is>
      </c>
      <c r="B343" s="122" t="inlineStr">
        <is>
          <t>921-0026</t>
        </is>
      </c>
      <c r="C343" s="122" t="inlineStr">
        <is>
          <t>BASE DE PARASOL 25KG</t>
        </is>
      </c>
      <c r="D343" s="123" t="inlineStr">
        <is>
          <t>2026-05-07</t>
        </is>
      </c>
      <c r="E343" s="124" t="n">
        <v>41</v>
      </c>
      <c r="F343" s="124" t="n">
        <v>65</v>
      </c>
      <c r="G343" s="124" t="n">
        <v>78.65000000000001</v>
      </c>
      <c r="H343" s="124" t="n">
        <v>24</v>
      </c>
      <c r="I343" s="125" t="n">
        <v>36.92307692307693</v>
      </c>
      <c r="J343" s="125" t="n">
        <v>58.53658536585365</v>
      </c>
      <c r="K343" s="126" t="n">
        <v>5</v>
      </c>
      <c r="L343" s="127" t="n">
        <v>13.88888888888889</v>
      </c>
      <c r="M343" s="126" t="n">
        <v>0</v>
      </c>
      <c r="N343" s="127" t="n">
        <v>0</v>
      </c>
    </row>
    <row r="344">
      <c r="A344" s="110" t="inlineStr">
        <is>
          <t>Hevea</t>
        </is>
      </c>
      <c r="B344" s="110" t="inlineStr">
        <is>
          <t>928-0010</t>
        </is>
      </c>
      <c r="C344" s="110" t="inlineStr">
        <is>
          <t>JUEGO LOSAS</t>
        </is>
      </c>
      <c r="D344" s="111" t="inlineStr">
        <is>
          <t>2026-04-17</t>
        </is>
      </c>
      <c r="E344" s="112" t="n">
        <v>113</v>
      </c>
      <c r="F344" s="112" t="n">
        <v>135</v>
      </c>
      <c r="G344" s="112" t="n">
        <v>163.35</v>
      </c>
      <c r="H344" s="112" t="n">
        <v>22</v>
      </c>
      <c r="I344" s="113" t="n">
        <v>16.2962962962963</v>
      </c>
      <c r="J344" s="113" t="n">
        <v>19.46902654867257</v>
      </c>
      <c r="K344" s="114" t="n"/>
      <c r="L344" s="115" t="n"/>
      <c r="M344" s="114" t="n"/>
      <c r="N344" s="115" t="n"/>
    </row>
    <row r="345">
      <c r="A345" s="104" t="inlineStr">
        <is>
          <t>Hevea</t>
        </is>
      </c>
      <c r="B345" s="104" t="inlineStr">
        <is>
          <t>928-0010</t>
        </is>
      </c>
      <c r="C345" s="104" t="inlineStr">
        <is>
          <t>PARASOL CARACAS 300 / CARACAS PARASOL 300 / PARASOL CARACAS 300</t>
        </is>
      </c>
      <c r="D345" s="105" t="inlineStr">
        <is>
          <t>2026-03-06</t>
        </is>
      </c>
      <c r="E345" s="106" t="n">
        <v>75</v>
      </c>
      <c r="F345" s="106" t="n">
        <v>135</v>
      </c>
      <c r="G345" s="106" t="n">
        <v>163.35</v>
      </c>
      <c r="H345" s="106" t="n">
        <v>60</v>
      </c>
      <c r="I345" s="107" t="n">
        <v>44.44444444444444</v>
      </c>
      <c r="J345" s="107" t="n">
        <v>80</v>
      </c>
      <c r="K345" s="108" t="n"/>
      <c r="L345" s="109" t="n"/>
      <c r="M345" s="108" t="n"/>
      <c r="N345" s="109" t="n"/>
    </row>
    <row r="346">
      <c r="A346" s="122" t="inlineStr">
        <is>
          <t>Hevea</t>
        </is>
      </c>
      <c r="B346" s="122" t="inlineStr">
        <is>
          <t>928-0010</t>
        </is>
      </c>
      <c r="C346" s="122" t="inlineStr">
        <is>
          <t>PARASOL CARACAS 300 / CARACAS PARASOL 300 / PARASOL CARACAS 300</t>
        </is>
      </c>
      <c r="D346" s="123" t="inlineStr">
        <is>
          <t>2026-05-07</t>
        </is>
      </c>
      <c r="E346" s="124" t="n">
        <v>86</v>
      </c>
      <c r="F346" s="124" t="n">
        <v>135</v>
      </c>
      <c r="G346" s="124" t="n">
        <v>163.35</v>
      </c>
      <c r="H346" s="124" t="n">
        <v>49</v>
      </c>
      <c r="I346" s="125" t="n">
        <v>36.2962962962963</v>
      </c>
      <c r="J346" s="125" t="n">
        <v>56.97674418604651</v>
      </c>
      <c r="K346" s="126" t="n">
        <v>11</v>
      </c>
      <c r="L346" s="127" t="n">
        <v>14.66666666666667</v>
      </c>
      <c r="M346" s="126" t="n">
        <v>0</v>
      </c>
      <c r="N346" s="127" t="n">
        <v>0</v>
      </c>
    </row>
    <row r="347">
      <c r="A347" s="110" t="inlineStr">
        <is>
          <t>Hevea</t>
        </is>
      </c>
      <c r="B347" s="110" t="inlineStr">
        <is>
          <t>928-0016</t>
        </is>
      </c>
      <c r="C347" s="110" t="inlineStr">
        <is>
          <t>PARASOL VIENA 300 / VIENNA PARASOL 300 / PARASOL VIENNE 300</t>
        </is>
      </c>
      <c r="D347" s="111" t="inlineStr">
        <is>
          <t>2026-03-06</t>
        </is>
      </c>
      <c r="E347" s="112" t="n">
        <v>165</v>
      </c>
      <c r="F347" s="112" t="n">
        <v>300</v>
      </c>
      <c r="G347" s="112" t="n">
        <v>363</v>
      </c>
      <c r="H347" s="112" t="n">
        <v>135</v>
      </c>
      <c r="I347" s="113" t="n">
        <v>45</v>
      </c>
      <c r="J347" s="113" t="n">
        <v>81.81818181818183</v>
      </c>
      <c r="K347" s="114" t="n"/>
      <c r="L347" s="115" t="n"/>
      <c r="M347" s="114" t="n"/>
      <c r="N347" s="115" t="n"/>
    </row>
    <row r="348">
      <c r="A348" s="116" t="inlineStr">
        <is>
          <t>Hevea</t>
        </is>
      </c>
      <c r="B348" s="116" t="inlineStr">
        <is>
          <t>928-0016</t>
        </is>
      </c>
      <c r="C348" s="116" t="inlineStr">
        <is>
          <t>PARASOL CARACAS 300</t>
        </is>
      </c>
      <c r="D348" s="117" t="inlineStr">
        <is>
          <t>2026-04-17</t>
        </is>
      </c>
      <c r="E348" s="118" t="n">
        <v>85</v>
      </c>
      <c r="F348" s="118" t="n">
        <v>300</v>
      </c>
      <c r="G348" s="118" t="n">
        <v>363</v>
      </c>
      <c r="H348" s="118" t="n">
        <v>215</v>
      </c>
      <c r="I348" s="119" t="n">
        <v>71.66666666666667</v>
      </c>
      <c r="J348" s="119" t="n">
        <v>252.9411764705882</v>
      </c>
      <c r="K348" s="120" t="n">
        <v>-80</v>
      </c>
      <c r="L348" s="121" t="n">
        <v>-48.48484848484848</v>
      </c>
      <c r="M348" s="120" t="n">
        <v>0</v>
      </c>
      <c r="N348" s="121" t="n">
        <v>0</v>
      </c>
    </row>
    <row r="349">
      <c r="A349" s="116" t="inlineStr">
        <is>
          <t>Hevea</t>
        </is>
      </c>
      <c r="B349" s="116" t="inlineStr">
        <is>
          <t>928-0016</t>
        </is>
      </c>
      <c r="C349" s="116" t="inlineStr">
        <is>
          <t>PARASOL VIENA 300 / VIENNA PARASOL 300 / PARASOL VIENNE 300</t>
        </is>
      </c>
      <c r="D349" s="117" t="inlineStr">
        <is>
          <t>2026-05-07</t>
        </is>
      </c>
      <c r="E349" s="118" t="n">
        <v>189</v>
      </c>
      <c r="F349" s="118" t="n">
        <v>300</v>
      </c>
      <c r="G349" s="118" t="n">
        <v>363</v>
      </c>
      <c r="H349" s="118" t="n">
        <v>111</v>
      </c>
      <c r="I349" s="119" t="n">
        <v>37</v>
      </c>
      <c r="J349" s="119" t="n">
        <v>58.73015873015873</v>
      </c>
      <c r="K349" s="120" t="n">
        <v>104</v>
      </c>
      <c r="L349" s="121" t="n">
        <v>122.3529411764706</v>
      </c>
      <c r="M349" s="120" t="n">
        <v>0</v>
      </c>
      <c r="N349" s="121" t="n">
        <v>0</v>
      </c>
    </row>
  </sheetData>
  <autoFilter ref="A1:N3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52"/>
  <sheetViews>
    <sheetView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98" min="1" max="1"/>
    <col width="36" customWidth="1" style="98" min="2" max="2"/>
    <col width="14" customWidth="1" style="98" min="3" max="3"/>
    <col width="40" customWidth="1" style="98" min="4" max="4"/>
    <col width="13" customWidth="1" style="98" min="5" max="5"/>
    <col width="13" customWidth="1" style="98" min="6" max="6"/>
    <col width="17" customWidth="1" style="98" min="7" max="7"/>
    <col width="13" customWidth="1" style="98" min="8" max="8"/>
    <col width="13" customWidth="1" style="98" min="9" max="9"/>
    <col width="13" customWidth="1" style="98" min="10" max="10"/>
    <col width="13" customWidth="1" style="98" min="11" max="11"/>
    <col width="12" customWidth="1" style="98" min="12" max="12"/>
    <col width="13" customWidth="1" style="98" min="13" max="13"/>
    <col width="13" customWidth="1" style="98" min="14" max="14"/>
    <col width="13" customWidth="1" style="98" min="15" max="15"/>
    <col width="10" customWidth="1" style="98" min="16" max="16"/>
    <col width="13" customWidth="1" style="98" min="17" max="17"/>
  </cols>
  <sheetData>
    <row r="1" ht="30" customHeight="1" s="98">
      <c r="A1" s="128" t="inlineStr">
        <is>
          <t>Hevea — Seguimiento de tarifas</t>
        </is>
      </c>
    </row>
    <row r="2">
      <c r="A2" s="129" t="inlineStr">
        <is>
          <t>Última actualización: 2026-05-07  │  Fuente: proveedores_raw/hevea/*.csv</t>
        </is>
      </c>
    </row>
    <row r="3">
      <c r="A3" s="129" t="inlineStr">
        <is>
          <t>Fechas en seguimiento: 2026-03-06 · 2026-04-17 · 2026-05-07  (3 snapshots)</t>
        </is>
      </c>
    </row>
    <row r="5" ht="38" customHeight="1" s="98">
      <c r="A5" s="103" t="inlineStr">
        <is>
          <t>Proveedor</t>
        </is>
      </c>
      <c r="B5" s="103" t="inlineStr">
        <is>
          <t>Handle Shopify</t>
        </is>
      </c>
      <c r="C5" s="103" t="inlineStr">
        <is>
          <t>SKU</t>
        </is>
      </c>
      <c r="D5" s="103" t="inlineStr">
        <is>
          <t>Producto</t>
        </is>
      </c>
      <c r="E5" s="103" t="inlineStr">
        <is>
          <t>1ª aparición</t>
        </is>
      </c>
      <c r="F5" s="103" t="inlineStr">
        <is>
          <t>Última aparición</t>
        </is>
      </c>
      <c r="G5" s="103" t="inlineStr">
        <is>
          <t>Estado</t>
        </is>
      </c>
      <c r="H5" s="103" t="inlineStr">
        <is>
          <t>Coste sin IVA €</t>
        </is>
      </c>
      <c r="I5" s="103" t="inlineStr">
        <is>
          <t>PVP rec.
sin IVA €</t>
        </is>
      </c>
      <c r="J5" s="103" t="inlineStr">
        <is>
          <t>PVP
con IVA €</t>
        </is>
      </c>
      <c r="K5" s="103" t="inlineStr">
        <is>
          <t>Margen €
(sin IVA)</t>
        </is>
      </c>
      <c r="L5" s="103" t="inlineStr">
        <is>
          <t>Margen %
sobre PVP</t>
        </is>
      </c>
      <c r="M5" s="103" t="inlineStr">
        <is>
          <t>Markup %
sobre coste</t>
        </is>
      </c>
      <c r="N5" s="103" t="inlineStr">
        <is>
          <t>Δ Coste %
vs anterior</t>
        </is>
      </c>
      <c r="O5" s="103" t="inlineStr">
        <is>
          <t>Δ Coste %
vs origen</t>
        </is>
      </c>
      <c r="P5" s="103" t="inlineStr">
        <is>
          <t>Nº subidas</t>
        </is>
      </c>
      <c r="Q5" s="103" t="inlineStr">
        <is>
          <t>Tendencia</t>
        </is>
      </c>
    </row>
    <row r="6">
      <c r="A6" s="116" t="inlineStr">
        <is>
          <t>Hevea</t>
        </is>
      </c>
      <c r="B6" s="130" t="inlineStr">
        <is>
          <t>(no en Shopify)</t>
        </is>
      </c>
      <c r="C6" s="116" t="inlineStr">
        <is>
          <t>123-0001</t>
        </is>
      </c>
      <c r="D6" s="116" t="inlineStr">
        <is>
          <t>MUNDRA 150</t>
        </is>
      </c>
      <c r="E6" s="117" t="inlineStr">
        <is>
          <t>2026-04-17</t>
        </is>
      </c>
      <c r="F6" s="117" t="inlineStr">
        <is>
          <t>2026-04-17</t>
        </is>
      </c>
      <c r="G6" s="131" t="inlineStr">
        <is>
          <t>DESCATALOGADO ⤺</t>
        </is>
      </c>
      <c r="H6" s="118" t="n">
        <v>347</v>
      </c>
      <c r="I6" s="118" t="n">
        <v>145</v>
      </c>
      <c r="J6" s="118" t="n">
        <v>175.45</v>
      </c>
      <c r="K6" s="118" t="n">
        <v>-202</v>
      </c>
      <c r="L6" s="119" t="n">
        <v>-139.3103448275862</v>
      </c>
      <c r="M6" s="119" t="n">
        <v>-58.21325648414985</v>
      </c>
      <c r="N6" s="121" t="n"/>
      <c r="O6" s="121" t="n"/>
      <c r="P6" s="117" t="n">
        <v>0</v>
      </c>
      <c r="Q6" s="132" t="inlineStr"/>
    </row>
    <row r="7">
      <c r="A7" s="122" t="inlineStr">
        <is>
          <t>Hevea</t>
        </is>
      </c>
      <c r="B7" s="122" t="inlineStr">
        <is>
          <t>silla-exterior-estilo-contemporaneo</t>
        </is>
      </c>
      <c r="C7" s="122" t="inlineStr">
        <is>
          <t>123-0001</t>
        </is>
      </c>
      <c r="D7" s="122" t="inlineStr">
        <is>
          <t>SILLA CÓRCEGA 3 / CORCEGA CHAIR 3 / CHAISE CORSE 3</t>
        </is>
      </c>
      <c r="E7" s="123" t="inlineStr">
        <is>
          <t>2026-03-06</t>
        </is>
      </c>
      <c r="F7" s="123" t="inlineStr">
        <is>
          <t>2026-05-07</t>
        </is>
      </c>
      <c r="G7" s="133" t="inlineStr">
        <is>
          <t>ACTIVO ⤺</t>
        </is>
      </c>
      <c r="H7" s="124" t="n">
        <v>92</v>
      </c>
      <c r="I7" s="124" t="n">
        <v>145</v>
      </c>
      <c r="J7" s="124" t="n">
        <v>175.45</v>
      </c>
      <c r="K7" s="124" t="n">
        <v>53</v>
      </c>
      <c r="L7" s="125" t="n">
        <v>36.55172413793103</v>
      </c>
      <c r="M7" s="125" t="n">
        <v>57.60869565217391</v>
      </c>
      <c r="N7" s="134" t="n">
        <v>15</v>
      </c>
      <c r="O7" s="134" t="n">
        <v>15</v>
      </c>
      <c r="P7" s="123" t="n">
        <v>1</v>
      </c>
      <c r="Q7" s="135" t="inlineStr">
        <is>
          <t>▁█</t>
        </is>
      </c>
    </row>
    <row r="8">
      <c r="A8" s="116" t="inlineStr">
        <is>
          <t>Hevea</t>
        </is>
      </c>
      <c r="B8" s="130" t="inlineStr">
        <is>
          <t>(no en Shopify)</t>
        </is>
      </c>
      <c r="C8" s="116" t="inlineStr">
        <is>
          <t>123-0002</t>
        </is>
      </c>
      <c r="D8" s="116" t="inlineStr">
        <is>
          <t>MUNDRA Ø100</t>
        </is>
      </c>
      <c r="E8" s="117" t="inlineStr">
        <is>
          <t>2026-04-17</t>
        </is>
      </c>
      <c r="F8" s="117" t="inlineStr">
        <is>
          <t>2026-04-17</t>
        </is>
      </c>
      <c r="G8" s="131" t="inlineStr">
        <is>
          <t>DESCATALOGADO ⤺</t>
        </is>
      </c>
      <c r="H8" s="118" t="n">
        <v>302</v>
      </c>
      <c r="I8" s="118" t="n">
        <v>165</v>
      </c>
      <c r="J8" s="118" t="n">
        <v>199.65</v>
      </c>
      <c r="K8" s="118" t="n">
        <v>-137</v>
      </c>
      <c r="L8" s="119" t="n">
        <v>-83.03030303030303</v>
      </c>
      <c r="M8" s="119" t="n">
        <v>-45.36423841059602</v>
      </c>
      <c r="N8" s="121" t="n"/>
      <c r="O8" s="121" t="n"/>
      <c r="P8" s="117" t="n">
        <v>0</v>
      </c>
      <c r="Q8" s="132" t="inlineStr"/>
    </row>
    <row r="9">
      <c r="A9" s="122" t="inlineStr">
        <is>
          <t>Hevea</t>
        </is>
      </c>
      <c r="B9" s="122" t="inlineStr">
        <is>
          <t>silla-exterior-estilo-estilizado</t>
        </is>
      </c>
      <c r="C9" s="122" t="inlineStr">
        <is>
          <t>123-0002</t>
        </is>
      </c>
      <c r="D9" s="122" t="inlineStr">
        <is>
          <t>SILLA JANEIRO 3 / JANEIRO CHAIR 3 / CHAISE JANEIRO 3</t>
        </is>
      </c>
      <c r="E9" s="123" t="inlineStr">
        <is>
          <t>2026-03-06</t>
        </is>
      </c>
      <c r="F9" s="123" t="inlineStr">
        <is>
          <t>2026-05-07</t>
        </is>
      </c>
      <c r="G9" s="133" t="inlineStr">
        <is>
          <t>ACTIVO ⤺</t>
        </is>
      </c>
      <c r="H9" s="124" t="n">
        <v>104</v>
      </c>
      <c r="I9" s="124" t="n">
        <v>165</v>
      </c>
      <c r="J9" s="124" t="n">
        <v>199.65</v>
      </c>
      <c r="K9" s="124" t="n">
        <v>61</v>
      </c>
      <c r="L9" s="125" t="n">
        <v>36.96969696969697</v>
      </c>
      <c r="M9" s="125" t="n">
        <v>58.65384615384615</v>
      </c>
      <c r="N9" s="134" t="n">
        <v>14.28571428571428</v>
      </c>
      <c r="O9" s="134" t="n">
        <v>14.28571428571428</v>
      </c>
      <c r="P9" s="123" t="n">
        <v>1</v>
      </c>
      <c r="Q9" s="135" t="inlineStr">
        <is>
          <t>▁█</t>
        </is>
      </c>
    </row>
    <row r="10">
      <c r="A10" s="116" t="inlineStr">
        <is>
          <t>Hevea</t>
        </is>
      </c>
      <c r="B10" s="130" t="inlineStr">
        <is>
          <t>(no en Shopify)</t>
        </is>
      </c>
      <c r="C10" s="116" t="inlineStr">
        <is>
          <t>123-0011</t>
        </is>
      </c>
      <c r="D10" s="116" t="inlineStr">
        <is>
          <t>PARASOL VIENA 300</t>
        </is>
      </c>
      <c r="E10" s="117" t="inlineStr">
        <is>
          <t>2026-04-17</t>
        </is>
      </c>
      <c r="F10" s="117" t="inlineStr">
        <is>
          <t>2026-04-17</t>
        </is>
      </c>
      <c r="G10" s="131" t="inlineStr">
        <is>
          <t>DESCATALOGADO ⤺</t>
        </is>
      </c>
      <c r="H10" s="118" t="n">
        <v>189</v>
      </c>
      <c r="I10" s="118" t="n">
        <v>95</v>
      </c>
      <c r="J10" s="118" t="n">
        <v>114.95</v>
      </c>
      <c r="K10" s="118" t="n">
        <v>-94</v>
      </c>
      <c r="L10" s="119" t="n">
        <v>-98.94736842105263</v>
      </c>
      <c r="M10" s="119" t="n">
        <v>-49.73544973544973</v>
      </c>
      <c r="N10" s="121" t="n"/>
      <c r="O10" s="121" t="n"/>
      <c r="P10" s="117" t="n">
        <v>0</v>
      </c>
      <c r="Q10" s="132" t="inlineStr"/>
    </row>
    <row r="11">
      <c r="A11" s="122" t="inlineStr">
        <is>
          <t>Hevea</t>
        </is>
      </c>
      <c r="B11" s="122" t="inlineStr">
        <is>
          <t>sillon-exterior-estilo-versatil-58100-cm</t>
        </is>
      </c>
      <c r="C11" s="122" t="inlineStr">
        <is>
          <t>123-0011</t>
        </is>
      </c>
      <c r="D11" s="122" t="inlineStr">
        <is>
          <t>SILLÓN AVALON-3 / AVALON-3 ARMCHAIR / FAUTEUIL AVALON-3</t>
        </is>
      </c>
      <c r="E11" s="123" t="inlineStr">
        <is>
          <t>2026-03-06</t>
        </is>
      </c>
      <c r="F11" s="123" t="inlineStr">
        <is>
          <t>2026-05-07</t>
        </is>
      </c>
      <c r="G11" s="133" t="inlineStr">
        <is>
          <t>ACTIVO ⤺</t>
        </is>
      </c>
      <c r="H11" s="124" t="n">
        <v>60</v>
      </c>
      <c r="I11" s="124" t="n">
        <v>95</v>
      </c>
      <c r="J11" s="124" t="n">
        <v>114.95</v>
      </c>
      <c r="K11" s="124" t="n">
        <v>35</v>
      </c>
      <c r="L11" s="125" t="n">
        <v>36.84210526315789</v>
      </c>
      <c r="M11" s="125" t="n">
        <v>58.33333333333334</v>
      </c>
      <c r="N11" s="134" t="n">
        <v>13.20754716981132</v>
      </c>
      <c r="O11" s="134" t="n">
        <v>13.20754716981132</v>
      </c>
      <c r="P11" s="123" t="n">
        <v>1</v>
      </c>
      <c r="Q11" s="135" t="inlineStr">
        <is>
          <t>▁█</t>
        </is>
      </c>
    </row>
    <row r="12">
      <c r="A12" s="116" t="inlineStr">
        <is>
          <t>Hevea</t>
        </is>
      </c>
      <c r="B12" s="130" t="inlineStr">
        <is>
          <t>(no en Shopify)</t>
        </is>
      </c>
      <c r="C12" s="116" t="inlineStr">
        <is>
          <t>123-0013</t>
        </is>
      </c>
      <c r="D12" s="116" t="inlineStr">
        <is>
          <t>AVALON-3</t>
        </is>
      </c>
      <c r="E12" s="117" t="inlineStr">
        <is>
          <t>2026-04-17</t>
        </is>
      </c>
      <c r="F12" s="117" t="inlineStr">
        <is>
          <t>2026-04-17</t>
        </is>
      </c>
      <c r="G12" s="131" t="inlineStr">
        <is>
          <t>DESCATALOGADO ⤺</t>
        </is>
      </c>
      <c r="H12" s="118" t="n">
        <v>60</v>
      </c>
      <c r="I12" s="118" t="n">
        <v>480</v>
      </c>
      <c r="J12" s="118" t="n">
        <v>580.8</v>
      </c>
      <c r="K12" s="118" t="n">
        <v>420</v>
      </c>
      <c r="L12" s="119" t="n">
        <v>87.5</v>
      </c>
      <c r="M12" s="119" t="n">
        <v>700</v>
      </c>
      <c r="N12" s="121" t="n"/>
      <c r="O12" s="121" t="n"/>
      <c r="P12" s="117" t="n">
        <v>0</v>
      </c>
      <c r="Q12" s="132" t="inlineStr"/>
    </row>
    <row r="13">
      <c r="A13" s="122" t="inlineStr">
        <is>
          <t>Hevea</t>
        </is>
      </c>
      <c r="B13" s="122" t="inlineStr">
        <is>
          <t>mesa-comedor-exterior-hpl-10090-cm</t>
        </is>
      </c>
      <c r="C13" s="122" t="inlineStr">
        <is>
          <t>123-0013</t>
        </is>
      </c>
      <c r="D13" s="122" t="inlineStr">
        <is>
          <t>MESA HPL MUNDRA Ø100 x 76H / HPL MUNDRA TABLE Ø100 x 76H / TABLE HPL MUNDRA Ø100 x 76H</t>
        </is>
      </c>
      <c r="E13" s="123" t="inlineStr">
        <is>
          <t>2026-03-06</t>
        </is>
      </c>
      <c r="F13" s="123" t="inlineStr">
        <is>
          <t>2026-05-07</t>
        </is>
      </c>
      <c r="G13" s="133" t="inlineStr">
        <is>
          <t>ACTIVO ⤺</t>
        </is>
      </c>
      <c r="H13" s="124" t="n">
        <v>303</v>
      </c>
      <c r="I13" s="124" t="n">
        <v>480</v>
      </c>
      <c r="J13" s="124" t="n">
        <v>580.8</v>
      </c>
      <c r="K13" s="124" t="n">
        <v>177</v>
      </c>
      <c r="L13" s="125" t="n">
        <v>36.875</v>
      </c>
      <c r="M13" s="125" t="n">
        <v>58.41584158415841</v>
      </c>
      <c r="N13" s="134" t="n">
        <v>14.77272727272727</v>
      </c>
      <c r="O13" s="134" t="n">
        <v>14.77272727272727</v>
      </c>
      <c r="P13" s="123" t="n">
        <v>1</v>
      </c>
      <c r="Q13" s="135" t="inlineStr">
        <is>
          <t>▁█</t>
        </is>
      </c>
    </row>
    <row r="14">
      <c r="A14" s="116" t="inlineStr">
        <is>
          <t>Hevea</t>
        </is>
      </c>
      <c r="B14" s="116" t="inlineStr">
        <is>
          <t>mesa-comedor-exterior-hpl-13590-cm</t>
        </is>
      </c>
      <c r="C14" s="116" t="inlineStr">
        <is>
          <t>123-0017</t>
        </is>
      </c>
      <c r="D14" s="116" t="inlineStr">
        <is>
          <t>CORCEGA-160x90 HPL MESA COMEDOR / HPL DINING TABLE 160x90 / TABLE À MANGER HPL 160x90</t>
        </is>
      </c>
      <c r="E14" s="117" t="inlineStr">
        <is>
          <t>2026-03-06</t>
        </is>
      </c>
      <c r="F14" s="117" t="inlineStr">
        <is>
          <t>2026-05-07</t>
        </is>
      </c>
      <c r="G14" s="136" t="inlineStr">
        <is>
          <t>ACTIVO ⤺</t>
        </is>
      </c>
      <c r="H14" s="118" t="n">
        <v>375</v>
      </c>
      <c r="I14" s="118" t="n">
        <v>595</v>
      </c>
      <c r="J14" s="118" t="n">
        <v>719.95</v>
      </c>
      <c r="K14" s="118" t="n">
        <v>220</v>
      </c>
      <c r="L14" s="119" t="n">
        <v>36.97478991596639</v>
      </c>
      <c r="M14" s="119" t="n">
        <v>58.66666666666666</v>
      </c>
      <c r="N14" s="137" t="n">
        <v>14.32926829268293</v>
      </c>
      <c r="O14" s="137" t="n">
        <v>14.32926829268293</v>
      </c>
      <c r="P14" s="117" t="n">
        <v>1</v>
      </c>
      <c r="Q14" s="132" t="inlineStr">
        <is>
          <t>▁█</t>
        </is>
      </c>
    </row>
    <row r="15">
      <c r="A15" s="122" t="inlineStr">
        <is>
          <t>Hevea</t>
        </is>
      </c>
      <c r="B15" s="138" t="inlineStr">
        <is>
          <t>(no en Shopify)</t>
        </is>
      </c>
      <c r="C15" s="122" t="inlineStr">
        <is>
          <t>123-0017</t>
        </is>
      </c>
      <c r="D15" s="122" t="inlineStr">
        <is>
          <t>SILLA CÓRCEGA 3</t>
        </is>
      </c>
      <c r="E15" s="123" t="inlineStr">
        <is>
          <t>2026-04-17</t>
        </is>
      </c>
      <c r="F15" s="123" t="inlineStr">
        <is>
          <t>2026-04-17</t>
        </is>
      </c>
      <c r="G15" s="139" t="inlineStr">
        <is>
          <t>DESCATALOGADO ⤺</t>
        </is>
      </c>
      <c r="H15" s="124" t="n">
        <v>91</v>
      </c>
      <c r="I15" s="124" t="n">
        <v>595</v>
      </c>
      <c r="J15" s="124" t="n">
        <v>719.95</v>
      </c>
      <c r="K15" s="124" t="n">
        <v>504</v>
      </c>
      <c r="L15" s="125" t="n">
        <v>84.70588235294117</v>
      </c>
      <c r="M15" s="125" t="n">
        <v>553.8461538461538</v>
      </c>
      <c r="N15" s="127" t="n"/>
      <c r="O15" s="127" t="n"/>
      <c r="P15" s="123" t="n">
        <v>0</v>
      </c>
      <c r="Q15" s="135" t="inlineStr"/>
    </row>
    <row r="16">
      <c r="A16" s="116" t="inlineStr">
        <is>
          <t>Hevea</t>
        </is>
      </c>
      <c r="B16" s="116" t="inlineStr">
        <is>
          <t>tumbona-de-exterior</t>
        </is>
      </c>
      <c r="C16" s="116" t="inlineStr">
        <is>
          <t>123-0038</t>
        </is>
      </c>
      <c r="D16" s="116" t="inlineStr">
        <is>
          <t>BRESCIA-12 TUMBONA / SUNBED / BAIN DE SOLEIL</t>
        </is>
      </c>
      <c r="E16" s="117" t="inlineStr">
        <is>
          <t>2026-03-06</t>
        </is>
      </c>
      <c r="F16" s="117" t="inlineStr">
        <is>
          <t>2026-05-07</t>
        </is>
      </c>
      <c r="G16" s="136" t="inlineStr">
        <is>
          <t>ACTIVO ⤺</t>
        </is>
      </c>
      <c r="H16" s="118" t="n">
        <v>101</v>
      </c>
      <c r="I16" s="118" t="n">
        <v>160</v>
      </c>
      <c r="J16" s="118" t="n">
        <v>193.6</v>
      </c>
      <c r="K16" s="118" t="n">
        <v>59</v>
      </c>
      <c r="L16" s="119" t="n">
        <v>36.875</v>
      </c>
      <c r="M16" s="119" t="n">
        <v>58.41584158415841</v>
      </c>
      <c r="N16" s="137" t="n">
        <v>14.77272727272727</v>
      </c>
      <c r="O16" s="137" t="n">
        <v>14.77272727272727</v>
      </c>
      <c r="P16" s="117" t="n">
        <v>1</v>
      </c>
      <c r="Q16" s="132" t="inlineStr">
        <is>
          <t>▁█</t>
        </is>
      </c>
    </row>
    <row r="17">
      <c r="A17" s="122" t="inlineStr">
        <is>
          <t>Hevea</t>
        </is>
      </c>
      <c r="B17" s="138" t="inlineStr">
        <is>
          <t>(no en Shopify)</t>
        </is>
      </c>
      <c r="C17" s="122" t="inlineStr">
        <is>
          <t>123-0038</t>
        </is>
      </c>
      <c r="D17" s="122" t="inlineStr">
        <is>
          <t>PARASOL SAMSON Ø350</t>
        </is>
      </c>
      <c r="E17" s="123" t="inlineStr">
        <is>
          <t>2026-04-17</t>
        </is>
      </c>
      <c r="F17" s="123" t="inlineStr">
        <is>
          <t>2026-04-17</t>
        </is>
      </c>
      <c r="G17" s="139" t="inlineStr">
        <is>
          <t>DESCATALOGADO ⤺</t>
        </is>
      </c>
      <c r="H17" s="124" t="n">
        <v>561</v>
      </c>
      <c r="I17" s="124" t="n">
        <v>160</v>
      </c>
      <c r="J17" s="124" t="n">
        <v>193.6</v>
      </c>
      <c r="K17" s="124" t="n">
        <v>-401</v>
      </c>
      <c r="L17" s="125" t="n">
        <v>-250.625</v>
      </c>
      <c r="M17" s="125" t="n">
        <v>-71.4795008912656</v>
      </c>
      <c r="N17" s="127" t="n"/>
      <c r="O17" s="127" t="n"/>
      <c r="P17" s="123" t="n">
        <v>0</v>
      </c>
      <c r="Q17" s="135" t="inlineStr"/>
    </row>
    <row r="18">
      <c r="A18" s="116" t="inlineStr">
        <is>
          <t>Hevea</t>
        </is>
      </c>
      <c r="B18" s="116" t="inlineStr">
        <is>
          <t>mesa-de-centro-exterior-125-cm-altura-42-cm</t>
        </is>
      </c>
      <c r="C18" s="116" t="inlineStr">
        <is>
          <t>557-0008</t>
        </is>
      </c>
      <c r="D18" s="116" t="inlineStr">
        <is>
          <t>BOLONIA-4 MESA CENTRO-125X65X42</t>
        </is>
      </c>
      <c r="E18" s="117" t="inlineStr">
        <is>
          <t>2026-03-06</t>
        </is>
      </c>
      <c r="F18" s="117" t="inlineStr">
        <is>
          <t>2026-05-07</t>
        </is>
      </c>
      <c r="G18" s="140" t="inlineStr">
        <is>
          <t>ACTIVO</t>
        </is>
      </c>
      <c r="H18" s="118" t="n">
        <v>297</v>
      </c>
      <c r="I18" s="118" t="n">
        <v>470</v>
      </c>
      <c r="J18" s="118" t="n">
        <v>568.7</v>
      </c>
      <c r="K18" s="118" t="n">
        <v>173</v>
      </c>
      <c r="L18" s="119" t="n">
        <v>36.80851063829787</v>
      </c>
      <c r="M18" s="119" t="n">
        <v>58.24915824915825</v>
      </c>
      <c r="N18" s="121" t="n">
        <v>0.3378378378378378</v>
      </c>
      <c r="O18" s="137" t="n">
        <v>14.67181467181467</v>
      </c>
      <c r="P18" s="117" t="n">
        <v>2</v>
      </c>
      <c r="Q18" s="132" t="inlineStr">
        <is>
          <t>▁▇█</t>
        </is>
      </c>
    </row>
    <row r="19">
      <c r="A19" s="122" t="inlineStr">
        <is>
          <t>Hevea</t>
        </is>
      </c>
      <c r="B19" s="122" t="inlineStr">
        <is>
          <t>banco-de-exterior-150-cm</t>
        </is>
      </c>
      <c r="C19" s="122" t="inlineStr">
        <is>
          <t>557-010016</t>
        </is>
      </c>
      <c r="D19" s="122" t="inlineStr">
        <is>
          <t>GULLIVER BANCO / GULLIVER BENCH / BANC GULLIVER</t>
        </is>
      </c>
      <c r="E19" s="123" t="inlineStr">
        <is>
          <t>2026-03-06</t>
        </is>
      </c>
      <c r="F19" s="123" t="inlineStr">
        <is>
          <t>2026-05-07</t>
        </is>
      </c>
      <c r="G19" s="133" t="inlineStr">
        <is>
          <t>ACTIVO ⤺</t>
        </is>
      </c>
      <c r="H19" s="124" t="n">
        <v>221</v>
      </c>
      <c r="I19" s="124" t="n">
        <v>350</v>
      </c>
      <c r="J19" s="124" t="n">
        <v>423.5</v>
      </c>
      <c r="K19" s="124" t="n">
        <v>129</v>
      </c>
      <c r="L19" s="125" t="n">
        <v>36.85714285714285</v>
      </c>
      <c r="M19" s="125" t="n">
        <v>58.37104072398191</v>
      </c>
      <c r="N19" s="134" t="n">
        <v>14.50777202072539</v>
      </c>
      <c r="O19" s="134" t="n">
        <v>14.50777202072539</v>
      </c>
      <c r="P19" s="123" t="n">
        <v>1</v>
      </c>
      <c r="Q19" s="135" t="inlineStr">
        <is>
          <t>▁█</t>
        </is>
      </c>
    </row>
    <row r="20">
      <c r="A20" s="116" t="inlineStr">
        <is>
          <t>Hevea</t>
        </is>
      </c>
      <c r="B20" s="130" t="inlineStr">
        <is>
          <t>(no en Shopify)</t>
        </is>
      </c>
      <c r="C20" s="116" t="inlineStr">
        <is>
          <t>557-010016</t>
        </is>
      </c>
      <c r="D20" s="116" t="inlineStr">
        <is>
          <t>SEVILLA BANCO</t>
        </is>
      </c>
      <c r="E20" s="117" t="inlineStr">
        <is>
          <t>2026-04-17</t>
        </is>
      </c>
      <c r="F20" s="117" t="inlineStr">
        <is>
          <t>2026-04-17</t>
        </is>
      </c>
      <c r="G20" s="131" t="inlineStr">
        <is>
          <t>DESCATALOGADO ⤺</t>
        </is>
      </c>
      <c r="H20" s="118" t="n">
        <v>198</v>
      </c>
      <c r="I20" s="118" t="n">
        <v>350</v>
      </c>
      <c r="J20" s="118" t="n">
        <v>423.5</v>
      </c>
      <c r="K20" s="118" t="n">
        <v>152</v>
      </c>
      <c r="L20" s="119" t="n">
        <v>43.42857142857143</v>
      </c>
      <c r="M20" s="119" t="n">
        <v>76.76767676767676</v>
      </c>
      <c r="N20" s="121" t="n"/>
      <c r="O20" s="121" t="n"/>
      <c r="P20" s="117" t="n">
        <v>0</v>
      </c>
      <c r="Q20" s="132" t="inlineStr"/>
    </row>
    <row r="21">
      <c r="A21" s="122" t="inlineStr">
        <is>
          <t>Hevea</t>
        </is>
      </c>
      <c r="B21" s="138" t="inlineStr">
        <is>
          <t>(no en Shopify)</t>
        </is>
      </c>
      <c r="C21" s="122" t="inlineStr">
        <is>
          <t>557-010026</t>
        </is>
      </c>
      <c r="D21" s="122" t="inlineStr">
        <is>
          <t>ADEL-7</t>
        </is>
      </c>
      <c r="E21" s="123" t="inlineStr">
        <is>
          <t>2026-04-17</t>
        </is>
      </c>
      <c r="F21" s="123" t="inlineStr">
        <is>
          <t>2026-04-17</t>
        </is>
      </c>
      <c r="G21" s="139" t="inlineStr">
        <is>
          <t>DESCATALOGADO ⤺</t>
        </is>
      </c>
      <c r="H21" s="124" t="n">
        <v>1342</v>
      </c>
      <c r="I21" s="124" t="n">
        <v>3135</v>
      </c>
      <c r="J21" s="124" t="n">
        <v>3793.35</v>
      </c>
      <c r="K21" s="124" t="n">
        <v>1793</v>
      </c>
      <c r="L21" s="125" t="n">
        <v>57.19298245614035</v>
      </c>
      <c r="M21" s="125" t="n">
        <v>133.6065573770492</v>
      </c>
      <c r="N21" s="127" t="n"/>
      <c r="O21" s="127" t="n"/>
      <c r="P21" s="123" t="n">
        <v>0</v>
      </c>
      <c r="Q21" s="135" t="inlineStr"/>
    </row>
    <row r="22">
      <c r="A22" s="116" t="inlineStr">
        <is>
          <t>Hevea</t>
        </is>
      </c>
      <c r="B22" s="116" t="inlineStr">
        <is>
          <t>set-rinconera-exterior-hpl-elegante-sofa-de-esquina-mesa-de-centro</t>
        </is>
      </c>
      <c r="C22" s="116" t="inlineStr">
        <is>
          <t>557-010026</t>
        </is>
      </c>
      <c r="D22" s="116" t="inlineStr">
        <is>
          <t>LOIRA-8 HPL SET SOFÁ RINCONERA / HPL CORNER SOFA SET / SET CANAPÉ D’ANGLE HPL</t>
        </is>
      </c>
      <c r="E22" s="117" t="inlineStr">
        <is>
          <t>2026-03-06</t>
        </is>
      </c>
      <c r="F22" s="117" t="inlineStr">
        <is>
          <t>2026-05-07</t>
        </is>
      </c>
      <c r="G22" s="136" t="inlineStr">
        <is>
          <t>ACTIVO ⤺</t>
        </is>
      </c>
      <c r="H22" s="118" t="n">
        <v>1976</v>
      </c>
      <c r="I22" s="118" t="n">
        <v>3135</v>
      </c>
      <c r="J22" s="118" t="n">
        <v>3793.35</v>
      </c>
      <c r="K22" s="118" t="n">
        <v>1159</v>
      </c>
      <c r="L22" s="119" t="n">
        <v>36.96969696969697</v>
      </c>
      <c r="M22" s="119" t="n">
        <v>58.65384615384615</v>
      </c>
      <c r="N22" s="137" t="n">
        <v>14.55072463768116</v>
      </c>
      <c r="O22" s="137" t="n">
        <v>14.55072463768116</v>
      </c>
      <c r="P22" s="117" t="n">
        <v>1</v>
      </c>
      <c r="Q22" s="132" t="inlineStr">
        <is>
          <t>▁█</t>
        </is>
      </c>
    </row>
    <row r="23">
      <c r="A23" s="122" t="inlineStr">
        <is>
          <t>Hevea</t>
        </is>
      </c>
      <c r="B23" s="122" t="inlineStr">
        <is>
          <t>set-rinconera-exterior-sofisticado-sofa-de-esquina-mesa-de-centro</t>
        </is>
      </c>
      <c r="C23" s="122" t="inlineStr">
        <is>
          <t>557-010048</t>
        </is>
      </c>
      <c r="D23" s="122" t="inlineStr">
        <is>
          <t>ADEL-30 SET SOFÁ RINCONERA / CORNER SOFA SET / SET CANAPÉ D’ANGLE</t>
        </is>
      </c>
      <c r="E23" s="123" t="inlineStr">
        <is>
          <t>2026-03-06</t>
        </is>
      </c>
      <c r="F23" s="123" t="inlineStr">
        <is>
          <t>2026-05-07</t>
        </is>
      </c>
      <c r="G23" s="133" t="inlineStr">
        <is>
          <t>ACTIVO ⤺</t>
        </is>
      </c>
      <c r="H23" s="124" t="n">
        <v>1988</v>
      </c>
      <c r="I23" s="124" t="n">
        <v>3155</v>
      </c>
      <c r="J23" s="124" t="n">
        <v>3817.55</v>
      </c>
      <c r="K23" s="124" t="n">
        <v>1167</v>
      </c>
      <c r="L23" s="125" t="n">
        <v>36.98890649762282</v>
      </c>
      <c r="M23" s="125" t="n">
        <v>58.70221327967807</v>
      </c>
      <c r="N23" s="134" t="n">
        <v>14.51612903225807</v>
      </c>
      <c r="O23" s="134" t="n">
        <v>14.51612903225807</v>
      </c>
      <c r="P23" s="123" t="n">
        <v>1</v>
      </c>
      <c r="Q23" s="135" t="inlineStr">
        <is>
          <t>▁█</t>
        </is>
      </c>
    </row>
    <row r="24">
      <c r="A24" s="116" t="inlineStr">
        <is>
          <t>Hevea</t>
        </is>
      </c>
      <c r="B24" s="130" t="inlineStr">
        <is>
          <t>(no en Shopify)</t>
        </is>
      </c>
      <c r="C24" s="116" t="inlineStr">
        <is>
          <t>557-010048</t>
        </is>
      </c>
      <c r="D24" s="116" t="inlineStr">
        <is>
          <t>CORCEGA-160x90</t>
        </is>
      </c>
      <c r="E24" s="117" t="inlineStr">
        <is>
          <t>2026-04-17</t>
        </is>
      </c>
      <c r="F24" s="117" t="inlineStr">
        <is>
          <t>2026-04-17</t>
        </is>
      </c>
      <c r="G24" s="131" t="inlineStr">
        <is>
          <t>DESCATALOGADO ⤺</t>
        </is>
      </c>
      <c r="H24" s="118" t="n">
        <v>375</v>
      </c>
      <c r="I24" s="118" t="n">
        <v>3155</v>
      </c>
      <c r="J24" s="118" t="n">
        <v>3817.55</v>
      </c>
      <c r="K24" s="118" t="n">
        <v>2780</v>
      </c>
      <c r="L24" s="119" t="n">
        <v>88.11410459587957</v>
      </c>
      <c r="M24" s="119" t="n">
        <v>741.3333333333333</v>
      </c>
      <c r="N24" s="121" t="n"/>
      <c r="O24" s="121" t="n"/>
      <c r="P24" s="117" t="n">
        <v>0</v>
      </c>
      <c r="Q24" s="132" t="inlineStr"/>
    </row>
    <row r="25">
      <c r="A25" s="122" t="inlineStr">
        <is>
          <t>Hevea</t>
        </is>
      </c>
      <c r="B25" s="122" t="inlineStr">
        <is>
          <t>sillon-exterior-estilo-moderno-7085-cm</t>
        </is>
      </c>
      <c r="C25" s="122" t="inlineStr">
        <is>
          <t>557-010103</t>
        </is>
      </c>
      <c r="D25" s="122" t="inlineStr">
        <is>
          <t>DOUNVIL-1 SILLON</t>
        </is>
      </c>
      <c r="E25" s="123" t="inlineStr">
        <is>
          <t>2026-03-06</t>
        </is>
      </c>
      <c r="F25" s="123" t="inlineStr">
        <is>
          <t>2026-05-07</t>
        </is>
      </c>
      <c r="G25" s="141" t="inlineStr">
        <is>
          <t>ACTIVO</t>
        </is>
      </c>
      <c r="H25" s="124" t="n">
        <v>303</v>
      </c>
      <c r="I25" s="124" t="n">
        <v>480</v>
      </c>
      <c r="J25" s="124" t="n">
        <v>580.8</v>
      </c>
      <c r="K25" s="124" t="n">
        <v>177</v>
      </c>
      <c r="L25" s="125" t="n">
        <v>36.875</v>
      </c>
      <c r="M25" s="125" t="n">
        <v>58.41584158415841</v>
      </c>
      <c r="N25" s="127" t="n">
        <v>0.3311258278145696</v>
      </c>
      <c r="O25" s="134" t="n">
        <v>14.77272727272727</v>
      </c>
      <c r="P25" s="123" t="n">
        <v>2</v>
      </c>
      <c r="Q25" s="135" t="inlineStr">
        <is>
          <t>▁▇█</t>
        </is>
      </c>
    </row>
    <row r="26">
      <c r="A26" s="116" t="inlineStr">
        <is>
          <t>Hevea</t>
        </is>
      </c>
      <c r="B26" s="116" t="inlineStr">
        <is>
          <t>sofa-terraza-2-plazas-estilo-elegante-15085-cm</t>
        </is>
      </c>
      <c r="C26" s="116" t="inlineStr">
        <is>
          <t>557-010104</t>
        </is>
      </c>
      <c r="D26" s="116" t="inlineStr">
        <is>
          <t>DOUNVIL-2 SOFA 2 PLAZAS</t>
        </is>
      </c>
      <c r="E26" s="117" t="inlineStr">
        <is>
          <t>2026-03-06</t>
        </is>
      </c>
      <c r="F26" s="117" t="inlineStr">
        <is>
          <t>2026-05-07</t>
        </is>
      </c>
      <c r="G26" s="140" t="inlineStr">
        <is>
          <t>ACTIVO</t>
        </is>
      </c>
      <c r="H26" s="118" t="n">
        <v>473</v>
      </c>
      <c r="I26" s="118" t="n">
        <v>750</v>
      </c>
      <c r="J26" s="118" t="n">
        <v>907.5</v>
      </c>
      <c r="K26" s="118" t="n">
        <v>277</v>
      </c>
      <c r="L26" s="119" t="n">
        <v>36.93333333333334</v>
      </c>
      <c r="M26" s="119" t="n">
        <v>58.56236786469344</v>
      </c>
      <c r="N26" s="121" t="n">
        <v>0</v>
      </c>
      <c r="O26" s="137" t="n">
        <v>14.52784503631961</v>
      </c>
      <c r="P26" s="117" t="n">
        <v>1</v>
      </c>
      <c r="Q26" s="132" t="inlineStr">
        <is>
          <t>▁██</t>
        </is>
      </c>
    </row>
    <row r="27">
      <c r="A27" s="122" t="inlineStr">
        <is>
          <t>Hevea</t>
        </is>
      </c>
      <c r="B27" s="122" t="inlineStr">
        <is>
          <t>sofa-terraza-3-plazas-estilo-contemporaneo-19085-cm</t>
        </is>
      </c>
      <c r="C27" s="122" t="inlineStr">
        <is>
          <t>557-010105</t>
        </is>
      </c>
      <c r="D27" s="122" t="inlineStr">
        <is>
          <t>DOUNVIL-3 SOFA 3 PLAZAS</t>
        </is>
      </c>
      <c r="E27" s="123" t="inlineStr">
        <is>
          <t>2026-03-06</t>
        </is>
      </c>
      <c r="F27" s="123" t="inlineStr">
        <is>
          <t>2026-05-07</t>
        </is>
      </c>
      <c r="G27" s="141" t="inlineStr">
        <is>
          <t>ACTIVO</t>
        </is>
      </c>
      <c r="H27" s="124" t="n">
        <v>612</v>
      </c>
      <c r="I27" s="124" t="n">
        <v>970</v>
      </c>
      <c r="J27" s="124" t="n">
        <v>1173.7</v>
      </c>
      <c r="K27" s="124" t="n">
        <v>358</v>
      </c>
      <c r="L27" s="125" t="n">
        <v>36.90721649484536</v>
      </c>
      <c r="M27" s="125" t="n">
        <v>58.4967320261438</v>
      </c>
      <c r="N27" s="127" t="n">
        <v>0.1636661211129296</v>
      </c>
      <c r="O27" s="134" t="n">
        <v>14.60674157303371</v>
      </c>
      <c r="P27" s="123" t="n">
        <v>2</v>
      </c>
      <c r="Q27" s="135" t="inlineStr">
        <is>
          <t>▁▇█</t>
        </is>
      </c>
    </row>
    <row r="28">
      <c r="A28" s="116" t="inlineStr">
        <is>
          <t>Hevea</t>
        </is>
      </c>
      <c r="B28" s="116" t="inlineStr">
        <is>
          <t>set-jardin-2-plazas-contemporaneo-sofa-2-plazas-2-sillones-mesa-2</t>
        </is>
      </c>
      <c r="C28" s="116" t="inlineStr">
        <is>
          <t>557-010106</t>
        </is>
      </c>
      <c r="D28" s="116" t="inlineStr">
        <is>
          <t>DOUNVIL-7 SET SOFA 2 PLAZAS</t>
        </is>
      </c>
      <c r="E28" s="117" t="inlineStr">
        <is>
          <t>2026-03-06</t>
        </is>
      </c>
      <c r="F28" s="117" t="inlineStr">
        <is>
          <t>2026-05-07</t>
        </is>
      </c>
      <c r="G28" s="140" t="inlineStr">
        <is>
          <t>ACTIVO</t>
        </is>
      </c>
      <c r="H28" s="118" t="n">
        <v>1251</v>
      </c>
      <c r="I28" s="118" t="n">
        <v>1985</v>
      </c>
      <c r="J28" s="118" t="n">
        <v>2401.85</v>
      </c>
      <c r="K28" s="118" t="n">
        <v>734</v>
      </c>
      <c r="L28" s="119" t="n">
        <v>36.97732997481108</v>
      </c>
      <c r="M28" s="119" t="n">
        <v>58.6730615507594</v>
      </c>
      <c r="N28" s="121" t="n">
        <v>0</v>
      </c>
      <c r="O28" s="137" t="n">
        <v>14.56043956043956</v>
      </c>
      <c r="P28" s="117" t="n">
        <v>1</v>
      </c>
      <c r="Q28" s="132" t="inlineStr">
        <is>
          <t>▁██</t>
        </is>
      </c>
    </row>
    <row r="29">
      <c r="A29" s="122" t="inlineStr">
        <is>
          <t>Hevea</t>
        </is>
      </c>
      <c r="B29" s="122" t="inlineStr">
        <is>
          <t>set-jardin-3-plazas-elegante-sofa-3-plazas-2-sillones-mesa-2</t>
        </is>
      </c>
      <c r="C29" s="122" t="inlineStr">
        <is>
          <t>557-010107</t>
        </is>
      </c>
      <c r="D29" s="122" t="inlineStr">
        <is>
          <t>DOUNVIL-8 SET SOFA 3 PLAZAS</t>
        </is>
      </c>
      <c r="E29" s="123" t="inlineStr">
        <is>
          <t>2026-03-06</t>
        </is>
      </c>
      <c r="F29" s="123" t="inlineStr">
        <is>
          <t>2026-05-07</t>
        </is>
      </c>
      <c r="G29" s="141" t="inlineStr">
        <is>
          <t>ACTIVO</t>
        </is>
      </c>
      <c r="H29" s="124" t="n">
        <v>1446</v>
      </c>
      <c r="I29" s="124" t="n">
        <v>2295</v>
      </c>
      <c r="J29" s="124" t="n">
        <v>2776.95</v>
      </c>
      <c r="K29" s="124" t="n">
        <v>849</v>
      </c>
      <c r="L29" s="125" t="n">
        <v>36.99346405228759</v>
      </c>
      <c r="M29" s="125" t="n">
        <v>58.7136929460581</v>
      </c>
      <c r="N29" s="127" t="n">
        <v>0</v>
      </c>
      <c r="O29" s="134" t="n">
        <v>14.48931116389549</v>
      </c>
      <c r="P29" s="123" t="n">
        <v>1</v>
      </c>
      <c r="Q29" s="135" t="inlineStr">
        <is>
          <t>▁██</t>
        </is>
      </c>
    </row>
    <row r="30">
      <c r="A30" s="116" t="inlineStr">
        <is>
          <t>Hevea</t>
        </is>
      </c>
      <c r="B30" s="130" t="inlineStr">
        <is>
          <t>(no en Shopify)</t>
        </is>
      </c>
      <c r="C30" s="116" t="inlineStr">
        <is>
          <t>557-010123</t>
        </is>
      </c>
      <c r="D30" s="116" t="inlineStr">
        <is>
          <t>ADEL-30</t>
        </is>
      </c>
      <c r="E30" s="117" t="inlineStr">
        <is>
          <t>2026-04-17</t>
        </is>
      </c>
      <c r="F30" s="117" t="inlineStr">
        <is>
          <t>2026-04-17</t>
        </is>
      </c>
      <c r="G30" s="131" t="inlineStr">
        <is>
          <t>DESCATALOGADO ⤺</t>
        </is>
      </c>
      <c r="H30" s="118" t="n">
        <v>1988</v>
      </c>
      <c r="I30" s="118" t="n">
        <v>3490</v>
      </c>
      <c r="J30" s="118" t="n">
        <v>4222.9</v>
      </c>
      <c r="K30" s="118" t="n">
        <v>1502</v>
      </c>
      <c r="L30" s="119" t="n">
        <v>43.03724928366762</v>
      </c>
      <c r="M30" s="119" t="n">
        <v>75.55331991951711</v>
      </c>
      <c r="N30" s="121" t="n"/>
      <c r="O30" s="121" t="n"/>
      <c r="P30" s="117" t="n">
        <v>0</v>
      </c>
      <c r="Q30" s="132" t="inlineStr"/>
    </row>
    <row r="31">
      <c r="A31" s="122" t="inlineStr">
        <is>
          <t>Hevea</t>
        </is>
      </c>
      <c r="B31" s="122" t="inlineStr">
        <is>
          <t>set-rinconera-exterior-hpl-moderno-sofa-de-esquina-mesa-de-centro</t>
        </is>
      </c>
      <c r="C31" s="122" t="inlineStr">
        <is>
          <t>557-010123</t>
        </is>
      </c>
      <c r="D31" s="122" t="inlineStr">
        <is>
          <t>LOIRA-30 HPL SET SOFÁ RINCONERA / HPL CORNER SOFA SET / SET CANAPÉ D’ANGLE HPL</t>
        </is>
      </c>
      <c r="E31" s="123" t="inlineStr">
        <is>
          <t>2026-03-06</t>
        </is>
      </c>
      <c r="F31" s="123" t="inlineStr">
        <is>
          <t>2026-05-07</t>
        </is>
      </c>
      <c r="G31" s="133" t="inlineStr">
        <is>
          <t>ACTIVO ⤺</t>
        </is>
      </c>
      <c r="H31" s="124" t="n">
        <v>2199</v>
      </c>
      <c r="I31" s="124" t="n">
        <v>3490</v>
      </c>
      <c r="J31" s="124" t="n">
        <v>4222.9</v>
      </c>
      <c r="K31" s="124" t="n">
        <v>1291</v>
      </c>
      <c r="L31" s="125" t="n">
        <v>36.99140401146132</v>
      </c>
      <c r="M31" s="125" t="n">
        <v>58.70850386539336</v>
      </c>
      <c r="N31" s="134" t="n">
        <v>14.53125</v>
      </c>
      <c r="O31" s="134" t="n">
        <v>14.53125</v>
      </c>
      <c r="P31" s="123" t="n">
        <v>1</v>
      </c>
      <c r="Q31" s="135" t="inlineStr">
        <is>
          <t>▁█</t>
        </is>
      </c>
    </row>
    <row r="32">
      <c r="A32" s="116" t="inlineStr">
        <is>
          <t>Hevea</t>
        </is>
      </c>
      <c r="B32" s="116" t="inlineStr">
        <is>
          <t>balancin-jardin-exterior-148194-cm</t>
        </is>
      </c>
      <c r="C32" s="116" t="inlineStr">
        <is>
          <t>557-010143</t>
        </is>
      </c>
      <c r="D32" s="116" t="inlineStr">
        <is>
          <t>BALANCÍN SIDNEY</t>
        </is>
      </c>
      <c r="E32" s="117" t="inlineStr">
        <is>
          <t>2026-03-06</t>
        </is>
      </c>
      <c r="F32" s="117" t="inlineStr">
        <is>
          <t>2026-05-07</t>
        </is>
      </c>
      <c r="G32" s="136" t="inlineStr">
        <is>
          <t>ACTIVO ⤺</t>
        </is>
      </c>
      <c r="H32" s="118" t="n">
        <v>939</v>
      </c>
      <c r="I32" s="118" t="n">
        <v>1490</v>
      </c>
      <c r="J32" s="118" t="n">
        <v>1802.9</v>
      </c>
      <c r="K32" s="118" t="n">
        <v>551</v>
      </c>
      <c r="L32" s="119" t="n">
        <v>36.97986577181208</v>
      </c>
      <c r="M32" s="119" t="n">
        <v>58.67944621938233</v>
      </c>
      <c r="N32" s="137" t="n">
        <v>14.51219512195122</v>
      </c>
      <c r="O32" s="137" t="n">
        <v>14.51219512195122</v>
      </c>
      <c r="P32" s="117" t="n">
        <v>1</v>
      </c>
      <c r="Q32" s="132" t="inlineStr">
        <is>
          <t>▁█</t>
        </is>
      </c>
    </row>
    <row r="33">
      <c r="A33" s="122" t="inlineStr">
        <is>
          <t>Hevea</t>
        </is>
      </c>
      <c r="B33" s="138" t="inlineStr">
        <is>
          <t>(no en Shopify)</t>
        </is>
      </c>
      <c r="C33" s="122" t="inlineStr">
        <is>
          <t>557-010143</t>
        </is>
      </c>
      <c r="D33" s="122" t="inlineStr">
        <is>
          <t>GULLIVER BANCO</t>
        </is>
      </c>
      <c r="E33" s="123" t="inlineStr">
        <is>
          <t>2026-04-17</t>
        </is>
      </c>
      <c r="F33" s="123" t="inlineStr">
        <is>
          <t>2026-04-17</t>
        </is>
      </c>
      <c r="G33" s="139" t="inlineStr">
        <is>
          <t>DESCATALOGADO ⤺</t>
        </is>
      </c>
      <c r="H33" s="124" t="n">
        <v>221</v>
      </c>
      <c r="I33" s="124" t="n">
        <v>1490</v>
      </c>
      <c r="J33" s="124" t="n">
        <v>1802.9</v>
      </c>
      <c r="K33" s="124" t="n">
        <v>1269</v>
      </c>
      <c r="L33" s="125" t="n">
        <v>85.16778523489933</v>
      </c>
      <c r="M33" s="125" t="n">
        <v>574.2081447963801</v>
      </c>
      <c r="N33" s="127" t="n"/>
      <c r="O33" s="127" t="n"/>
      <c r="P33" s="123" t="n">
        <v>0</v>
      </c>
      <c r="Q33" s="135" t="inlineStr"/>
    </row>
    <row r="34">
      <c r="A34" s="116" t="inlineStr">
        <is>
          <t>Hevea</t>
        </is>
      </c>
      <c r="B34" s="116" t="inlineStr">
        <is>
          <t>sillon-exterior-estilo-versatil-6470-cm</t>
        </is>
      </c>
      <c r="C34" s="116" t="inlineStr">
        <is>
          <t>557-010146</t>
        </is>
      </c>
      <c r="D34" s="116" t="inlineStr">
        <is>
          <t>ACAPULCO-1 SILLÓN / ARMCHAIR / FAUTEUIL</t>
        </is>
      </c>
      <c r="E34" s="117" t="inlineStr">
        <is>
          <t>2026-03-06</t>
        </is>
      </c>
      <c r="F34" s="117" t="inlineStr">
        <is>
          <t>2026-05-07</t>
        </is>
      </c>
      <c r="G34" s="140" t="inlineStr">
        <is>
          <t>ACTIVO</t>
        </is>
      </c>
      <c r="H34" s="118" t="n">
        <v>306</v>
      </c>
      <c r="I34" s="118" t="n">
        <v>485</v>
      </c>
      <c r="J34" s="118" t="n">
        <v>586.85</v>
      </c>
      <c r="K34" s="118" t="n">
        <v>179</v>
      </c>
      <c r="L34" s="119" t="n">
        <v>36.90721649484536</v>
      </c>
      <c r="M34" s="119" t="n">
        <v>58.4967320261438</v>
      </c>
      <c r="N34" s="121" t="n">
        <v>0</v>
      </c>
      <c r="O34" s="137" t="n">
        <v>14.60674157303371</v>
      </c>
      <c r="P34" s="117" t="n">
        <v>1</v>
      </c>
      <c r="Q34" s="132" t="inlineStr">
        <is>
          <t>▁██</t>
        </is>
      </c>
    </row>
    <row r="35">
      <c r="A35" s="122" t="inlineStr">
        <is>
          <t>Hevea</t>
        </is>
      </c>
      <c r="B35" s="122" t="inlineStr">
        <is>
          <t>set-jardin-3-plazas-contemporaneo-sofa-3-plazas-2-sillones-mesa-5</t>
        </is>
      </c>
      <c r="C35" s="122" t="inlineStr">
        <is>
          <t>557-010147</t>
        </is>
      </c>
      <c r="D35" s="122" t="inlineStr">
        <is>
          <t>ACAPULCO-3 SOFÁ 3 PLAZAS / 3 SEATER SOFA / CANAPÉ 3 PLACES</t>
        </is>
      </c>
      <c r="E35" s="123" t="inlineStr">
        <is>
          <t>2026-03-06</t>
        </is>
      </c>
      <c r="F35" s="123" t="inlineStr">
        <is>
          <t>2026-05-07</t>
        </is>
      </c>
      <c r="G35" s="133" t="inlineStr">
        <is>
          <t>ACTIVO ⚠ ⤺</t>
        </is>
      </c>
      <c r="H35" s="124" t="n">
        <v>599</v>
      </c>
      <c r="I35" s="124" t="n">
        <v>950</v>
      </c>
      <c r="J35" s="124" t="n">
        <v>1149.5</v>
      </c>
      <c r="K35" s="124" t="n">
        <v>351</v>
      </c>
      <c r="L35" s="125" t="n">
        <v>36.94736842105264</v>
      </c>
      <c r="M35" s="125" t="n">
        <v>58.59766277128548</v>
      </c>
      <c r="N35" s="127" t="n">
        <v>0</v>
      </c>
      <c r="O35" s="134" t="n">
        <v>14.53154875717017</v>
      </c>
      <c r="P35" s="123" t="n">
        <v>1</v>
      </c>
      <c r="Q35" s="135" t="inlineStr">
        <is>
          <t>▁██</t>
        </is>
      </c>
    </row>
    <row r="36">
      <c r="A36" s="116" t="inlineStr">
        <is>
          <t>Hevea</t>
        </is>
      </c>
      <c r="B36" s="116" t="inlineStr">
        <is>
          <t>set-jardin-3-plazas-contemporaneo-sofa-3-plazas-2-sillones-mesa-5</t>
        </is>
      </c>
      <c r="C36" s="116" t="inlineStr">
        <is>
          <t>557-010147</t>
        </is>
      </c>
      <c r="D36" s="116" t="inlineStr">
        <is>
          <t>ACAPULCO-8 SET SOFÁ 3 PLAZAS / 3 SEATER SOFA SET / SET CANAPÉ 3 PLACES</t>
        </is>
      </c>
      <c r="E36" s="117" t="inlineStr">
        <is>
          <t>2026-03-06</t>
        </is>
      </c>
      <c r="F36" s="117" t="inlineStr">
        <is>
          <t>2026-05-07</t>
        </is>
      </c>
      <c r="G36" s="136" t="inlineStr">
        <is>
          <t>ACTIVO ⚠ ⤺</t>
        </is>
      </c>
      <c r="H36" s="118" t="n">
        <v>1440</v>
      </c>
      <c r="I36" s="118" t="n">
        <v>2285</v>
      </c>
      <c r="J36" s="118" t="n">
        <v>2764.85</v>
      </c>
      <c r="K36" s="118" t="n">
        <v>845</v>
      </c>
      <c r="L36" s="119" t="n">
        <v>36.98030634573304</v>
      </c>
      <c r="M36" s="119" t="n">
        <v>58.68055555555556</v>
      </c>
      <c r="N36" s="137" t="n">
        <v>14.55847255369928</v>
      </c>
      <c r="O36" s="137" t="n">
        <v>14.55847255369928</v>
      </c>
      <c r="P36" s="117" t="n">
        <v>1</v>
      </c>
      <c r="Q36" s="132" t="inlineStr">
        <is>
          <t>▁█</t>
        </is>
      </c>
    </row>
    <row r="37">
      <c r="A37" s="122" t="inlineStr">
        <is>
          <t>Hevea</t>
        </is>
      </c>
      <c r="B37" s="138" t="inlineStr">
        <is>
          <t>(no en Shopify)</t>
        </is>
      </c>
      <c r="C37" s="122" t="inlineStr">
        <is>
          <t>557-010147</t>
        </is>
      </c>
      <c r="D37" s="122" t="inlineStr">
        <is>
          <t>MANHATAN-1</t>
        </is>
      </c>
      <c r="E37" s="123" t="inlineStr">
        <is>
          <t>2026-04-17</t>
        </is>
      </c>
      <c r="F37" s="123" t="inlineStr">
        <is>
          <t>2026-04-17</t>
        </is>
      </c>
      <c r="G37" s="139" t="inlineStr">
        <is>
          <t>DESCATALOGADO ⚠ ⤺</t>
        </is>
      </c>
      <c r="H37" s="124" t="n">
        <v>243</v>
      </c>
      <c r="I37" s="124" t="n">
        <v>2285</v>
      </c>
      <c r="J37" s="124" t="n">
        <v>2764.85</v>
      </c>
      <c r="K37" s="124" t="n">
        <v>2042</v>
      </c>
      <c r="L37" s="125" t="n">
        <v>89.36542669584246</v>
      </c>
      <c r="M37" s="125" t="n">
        <v>840.329218106996</v>
      </c>
      <c r="N37" s="127" t="n"/>
      <c r="O37" s="127" t="n"/>
      <c r="P37" s="123" t="n">
        <v>0</v>
      </c>
      <c r="Q37" s="135" t="inlineStr"/>
    </row>
    <row r="38">
      <c r="A38" s="116" t="inlineStr">
        <is>
          <t>Hevea</t>
        </is>
      </c>
      <c r="B38" s="116" t="inlineStr">
        <is>
          <t>sofa-terraza-2-plazas-estilo-elegante-13170-cm</t>
        </is>
      </c>
      <c r="C38" s="116" t="inlineStr">
        <is>
          <t>557-010148</t>
        </is>
      </c>
      <c r="D38" s="116" t="inlineStr">
        <is>
          <t>ACAPULCO-2 SOFÁ 2 PLAZAS / 2 SEATER SOFA / CANAPÉ 2 PLACES</t>
        </is>
      </c>
      <c r="E38" s="117" t="inlineStr">
        <is>
          <t>2026-03-06</t>
        </is>
      </c>
      <c r="F38" s="117" t="inlineStr">
        <is>
          <t>2026-05-07</t>
        </is>
      </c>
      <c r="G38" s="140" t="inlineStr">
        <is>
          <t>ACTIVO</t>
        </is>
      </c>
      <c r="H38" s="118" t="n">
        <v>438</v>
      </c>
      <c r="I38" s="118" t="n">
        <v>695</v>
      </c>
      <c r="J38" s="118" t="n">
        <v>840.95</v>
      </c>
      <c r="K38" s="118" t="n">
        <v>257</v>
      </c>
      <c r="L38" s="119" t="n">
        <v>36.97841726618705</v>
      </c>
      <c r="M38" s="119" t="n">
        <v>58.675799086758</v>
      </c>
      <c r="N38" s="121" t="n">
        <v>0</v>
      </c>
      <c r="O38" s="137" t="n">
        <v>14.36031331592689</v>
      </c>
      <c r="P38" s="117" t="n">
        <v>1</v>
      </c>
      <c r="Q38" s="132" t="inlineStr">
        <is>
          <t>▁██</t>
        </is>
      </c>
    </row>
    <row r="39">
      <c r="A39" s="122" t="inlineStr">
        <is>
          <t>Hevea</t>
        </is>
      </c>
      <c r="B39" s="122" t="inlineStr">
        <is>
          <t>set-jardin-2-plazas-moderno-sofa-2-plazas-2-sillones-mesa-4</t>
        </is>
      </c>
      <c r="C39" s="122" t="inlineStr">
        <is>
          <t>557-010149</t>
        </is>
      </c>
      <c r="D39" s="122" t="inlineStr">
        <is>
          <t>ACAPULCO-7 SET SOFÁ 2 PLAZAS / 2 SEATER SOFA SET / SET CANAPÉ 2 PLACES</t>
        </is>
      </c>
      <c r="E39" s="123" t="inlineStr">
        <is>
          <t>2026-03-06</t>
        </is>
      </c>
      <c r="F39" s="123" t="inlineStr">
        <is>
          <t>2026-05-07</t>
        </is>
      </c>
      <c r="G39" s="133" t="inlineStr">
        <is>
          <t>ACTIVO ⤺</t>
        </is>
      </c>
      <c r="H39" s="124" t="n">
        <v>1223</v>
      </c>
      <c r="I39" s="124" t="n">
        <v>1940</v>
      </c>
      <c r="J39" s="124" t="n">
        <v>2347.4</v>
      </c>
      <c r="K39" s="124" t="n">
        <v>717</v>
      </c>
      <c r="L39" s="125" t="n">
        <v>36.95876288659794</v>
      </c>
      <c r="M39" s="125" t="n">
        <v>58.62632869991823</v>
      </c>
      <c r="N39" s="134" t="n">
        <v>14.62043111527647</v>
      </c>
      <c r="O39" s="134" t="n">
        <v>14.62043111527647</v>
      </c>
      <c r="P39" s="123" t="n">
        <v>1</v>
      </c>
      <c r="Q39" s="135" t="inlineStr">
        <is>
          <t>▁█</t>
        </is>
      </c>
    </row>
    <row r="40">
      <c r="A40" s="116" t="inlineStr">
        <is>
          <t>Hevea</t>
        </is>
      </c>
      <c r="B40" s="130" t="inlineStr">
        <is>
          <t>(no en Shopify)</t>
        </is>
      </c>
      <c r="C40" s="116" t="inlineStr">
        <is>
          <t>557-010149</t>
        </is>
      </c>
      <c r="D40" s="116" t="inlineStr">
        <is>
          <t>PÉRGOLA VENECIA</t>
        </is>
      </c>
      <c r="E40" s="117" t="inlineStr">
        <is>
          <t>2026-04-17</t>
        </is>
      </c>
      <c r="F40" s="117" t="inlineStr">
        <is>
          <t>2026-04-17</t>
        </is>
      </c>
      <c r="G40" s="131" t="inlineStr">
        <is>
          <t>DESCATALOGADO ⤺</t>
        </is>
      </c>
      <c r="H40" s="118" t="n">
        <v>1065</v>
      </c>
      <c r="I40" s="118" t="n">
        <v>1940</v>
      </c>
      <c r="J40" s="118" t="n">
        <v>2347.4</v>
      </c>
      <c r="K40" s="118" t="n">
        <v>875</v>
      </c>
      <c r="L40" s="119" t="n">
        <v>45.10309278350515</v>
      </c>
      <c r="M40" s="119" t="n">
        <v>82.15962441314554</v>
      </c>
      <c r="N40" s="121" t="n"/>
      <c r="O40" s="121" t="n"/>
      <c r="P40" s="117" t="n">
        <v>0</v>
      </c>
      <c r="Q40" s="132" t="inlineStr"/>
    </row>
    <row r="41">
      <c r="A41" s="122" t="inlineStr">
        <is>
          <t>Hevea</t>
        </is>
      </c>
      <c r="B41" s="138" t="inlineStr">
        <is>
          <t>(no en Shopify)</t>
        </is>
      </c>
      <c r="C41" s="122" t="inlineStr">
        <is>
          <t>557-010153</t>
        </is>
      </c>
      <c r="D41" s="122" t="inlineStr">
        <is>
          <t>ACAPULCO-7</t>
        </is>
      </c>
      <c r="E41" s="123" t="inlineStr">
        <is>
          <t>2026-04-17</t>
        </is>
      </c>
      <c r="F41" s="123" t="inlineStr">
        <is>
          <t>2026-04-17</t>
        </is>
      </c>
      <c r="G41" s="139" t="inlineStr">
        <is>
          <t>DESCATALOGADO ⤺</t>
        </is>
      </c>
      <c r="H41" s="124" t="n">
        <v>1222</v>
      </c>
      <c r="I41" s="124" t="n">
        <v>275</v>
      </c>
      <c r="J41" s="124" t="n">
        <v>332.75</v>
      </c>
      <c r="K41" s="124" t="n">
        <v>-947</v>
      </c>
      <c r="L41" s="125" t="n">
        <v>-344.3636363636364</v>
      </c>
      <c r="M41" s="125" t="n">
        <v>-77.49590834697217</v>
      </c>
      <c r="N41" s="127" t="n"/>
      <c r="O41" s="127" t="n"/>
      <c r="P41" s="123" t="n">
        <v>0</v>
      </c>
      <c r="Q41" s="135" t="inlineStr"/>
    </row>
    <row r="42">
      <c r="A42" s="116" t="inlineStr">
        <is>
          <t>Hevea</t>
        </is>
      </c>
      <c r="B42" s="116" t="inlineStr">
        <is>
          <t>mesa-de-centro-exterior-hpl-90-cm-altura-40-cm</t>
        </is>
      </c>
      <c r="C42" s="116" t="inlineStr">
        <is>
          <t>557-010153</t>
        </is>
      </c>
      <c r="D42" s="116" t="inlineStr">
        <is>
          <t>MESA CENTRO 90 HPL UNIVERSAL / 90 HPL COFFEE TABLE / TABLE BASSE 90 HPL</t>
        </is>
      </c>
      <c r="E42" s="117" t="inlineStr">
        <is>
          <t>2026-03-06</t>
        </is>
      </c>
      <c r="F42" s="117" t="inlineStr">
        <is>
          <t>2026-05-07</t>
        </is>
      </c>
      <c r="G42" s="136" t="inlineStr">
        <is>
          <t>ACTIVO ⤺</t>
        </is>
      </c>
      <c r="H42" s="118" t="n">
        <v>174</v>
      </c>
      <c r="I42" s="118" t="n">
        <v>275</v>
      </c>
      <c r="J42" s="118" t="n">
        <v>332.75</v>
      </c>
      <c r="K42" s="118" t="n">
        <v>101</v>
      </c>
      <c r="L42" s="119" t="n">
        <v>36.72727272727273</v>
      </c>
      <c r="M42" s="119" t="n">
        <v>58.04597701149425</v>
      </c>
      <c r="N42" s="137" t="n">
        <v>14.47368421052632</v>
      </c>
      <c r="O42" s="137" t="n">
        <v>14.47368421052632</v>
      </c>
      <c r="P42" s="117" t="n">
        <v>1</v>
      </c>
      <c r="Q42" s="132" t="inlineStr">
        <is>
          <t>▁█</t>
        </is>
      </c>
    </row>
    <row r="43">
      <c r="A43" s="122" t="inlineStr">
        <is>
          <t>Hevea</t>
        </is>
      </c>
      <c r="B43" s="138" t="inlineStr">
        <is>
          <t>(no en Shopify)</t>
        </is>
      </c>
      <c r="C43" s="122" t="inlineStr">
        <is>
          <t>557-010154</t>
        </is>
      </c>
      <c r="D43" s="122" t="inlineStr">
        <is>
          <t>ACAPULCO-8</t>
        </is>
      </c>
      <c r="E43" s="123" t="inlineStr">
        <is>
          <t>2026-04-17</t>
        </is>
      </c>
      <c r="F43" s="123" t="inlineStr">
        <is>
          <t>2026-04-17</t>
        </is>
      </c>
      <c r="G43" s="139" t="inlineStr">
        <is>
          <t>DESCATALOGADO ⤺</t>
        </is>
      </c>
      <c r="H43" s="124" t="n">
        <v>1440</v>
      </c>
      <c r="I43" s="124" t="n">
        <v>365</v>
      </c>
      <c r="J43" s="124" t="n">
        <v>441.65</v>
      </c>
      <c r="K43" s="124" t="n">
        <v>-1075</v>
      </c>
      <c r="L43" s="125" t="n">
        <v>-294.5205479452055</v>
      </c>
      <c r="M43" s="125" t="n">
        <v>-74.65277777777779</v>
      </c>
      <c r="N43" s="127" t="n"/>
      <c r="O43" s="127" t="n"/>
      <c r="P43" s="123" t="n">
        <v>0</v>
      </c>
      <c r="Q43" s="135" t="inlineStr"/>
    </row>
    <row r="44">
      <c r="A44" s="116" t="inlineStr">
        <is>
          <t>Hevea</t>
        </is>
      </c>
      <c r="B44" s="116" t="inlineStr">
        <is>
          <t>mesa-de-centro-exterior-hpl-120-cm-altura-40-cm-2</t>
        </is>
      </c>
      <c r="C44" s="116" t="inlineStr">
        <is>
          <t>557-010154</t>
        </is>
      </c>
      <c r="D44" s="116" t="inlineStr">
        <is>
          <t>MESA CENTRO 120 HPL UNIVERSAL / 120 HPL COFFEE TABLE / TABLE BASSE 120 HPL</t>
        </is>
      </c>
      <c r="E44" s="117" t="inlineStr">
        <is>
          <t>2026-03-06</t>
        </is>
      </c>
      <c r="F44" s="117" t="inlineStr">
        <is>
          <t>2026-05-07</t>
        </is>
      </c>
      <c r="G44" s="136" t="inlineStr">
        <is>
          <t>ACTIVO ⤺</t>
        </is>
      </c>
      <c r="H44" s="118" t="n">
        <v>230</v>
      </c>
      <c r="I44" s="118" t="n">
        <v>365</v>
      </c>
      <c r="J44" s="118" t="n">
        <v>441.65</v>
      </c>
      <c r="K44" s="118" t="n">
        <v>135</v>
      </c>
      <c r="L44" s="119" t="n">
        <v>36.98630136986301</v>
      </c>
      <c r="M44" s="119" t="n">
        <v>58.69565217391305</v>
      </c>
      <c r="N44" s="137" t="n">
        <v>14.42786069651741</v>
      </c>
      <c r="O44" s="137" t="n">
        <v>14.42786069651741</v>
      </c>
      <c r="P44" s="117" t="n">
        <v>1</v>
      </c>
      <c r="Q44" s="132" t="inlineStr">
        <is>
          <t>▁█</t>
        </is>
      </c>
    </row>
    <row r="45">
      <c r="A45" s="122" t="inlineStr">
        <is>
          <t>Hevea</t>
        </is>
      </c>
      <c r="B45" s="122" t="inlineStr">
        <is>
          <t>mesa-comedor-exterior-hpl-13590-cm</t>
        </is>
      </c>
      <c r="C45" s="122" t="inlineStr">
        <is>
          <t>557-010177</t>
        </is>
      </c>
      <c r="D45" s="122" t="inlineStr">
        <is>
          <t>CORCEGA-135x90 HPL MESA COMEDOR / HPL DINING TABLE 135x90 / TABLE À MANGER HPL 135x90</t>
        </is>
      </c>
      <c r="E45" s="123" t="inlineStr">
        <is>
          <t>2026-03-06</t>
        </is>
      </c>
      <c r="F45" s="123" t="inlineStr">
        <is>
          <t>2026-05-07</t>
        </is>
      </c>
      <c r="G45" s="133" t="inlineStr">
        <is>
          <t>ACTIVO ⤺</t>
        </is>
      </c>
      <c r="H45" s="124" t="n">
        <v>344</v>
      </c>
      <c r="I45" s="124" t="n">
        <v>545</v>
      </c>
      <c r="J45" s="124" t="n">
        <v>659.45</v>
      </c>
      <c r="K45" s="124" t="n">
        <v>201</v>
      </c>
      <c r="L45" s="125" t="n">
        <v>36.88073394495413</v>
      </c>
      <c r="M45" s="125" t="n">
        <v>58.43023255813954</v>
      </c>
      <c r="N45" s="134" t="n">
        <v>14.66666666666667</v>
      </c>
      <c r="O45" s="134" t="n">
        <v>14.66666666666667</v>
      </c>
      <c r="P45" s="123" t="n">
        <v>1</v>
      </c>
      <c r="Q45" s="135" t="inlineStr">
        <is>
          <t>▁█</t>
        </is>
      </c>
    </row>
    <row r="46">
      <c r="A46" s="116" t="inlineStr">
        <is>
          <t>Hevea</t>
        </is>
      </c>
      <c r="B46" s="130" t="inlineStr">
        <is>
          <t>(no en Shopify)</t>
        </is>
      </c>
      <c r="C46" s="116" t="inlineStr">
        <is>
          <t>557-010177</t>
        </is>
      </c>
      <c r="D46" s="116" t="inlineStr">
        <is>
          <t>SILLA JANEIRO 3</t>
        </is>
      </c>
      <c r="E46" s="117" t="inlineStr">
        <is>
          <t>2026-04-17</t>
        </is>
      </c>
      <c r="F46" s="117" t="inlineStr">
        <is>
          <t>2026-04-17</t>
        </is>
      </c>
      <c r="G46" s="131" t="inlineStr">
        <is>
          <t>DESCATALOGADO ⤺</t>
        </is>
      </c>
      <c r="H46" s="118" t="n">
        <v>104</v>
      </c>
      <c r="I46" s="118" t="n">
        <v>545</v>
      </c>
      <c r="J46" s="118" t="n">
        <v>659.45</v>
      </c>
      <c r="K46" s="118" t="n">
        <v>441</v>
      </c>
      <c r="L46" s="119" t="n">
        <v>80.91743119266054</v>
      </c>
      <c r="M46" s="119" t="n">
        <v>424.0384615384615</v>
      </c>
      <c r="N46" s="121" t="n"/>
      <c r="O46" s="121" t="n"/>
      <c r="P46" s="117" t="n">
        <v>0</v>
      </c>
      <c r="Q46" s="132" t="inlineStr"/>
    </row>
    <row r="47">
      <c r="A47" s="122" t="inlineStr">
        <is>
          <t>Hevea</t>
        </is>
      </c>
      <c r="B47" s="122" t="inlineStr">
        <is>
          <t>sillon-exterior-estilo-elegante-80104-cm</t>
        </is>
      </c>
      <c r="C47" s="122" t="inlineStr">
        <is>
          <t>557-010478</t>
        </is>
      </c>
      <c r="D47" s="122" t="inlineStr">
        <is>
          <t>BOLONIA XL-1 SILLÓN/ARMCHAIR/CANAPÉ</t>
        </is>
      </c>
      <c r="E47" s="123" t="inlineStr">
        <is>
          <t>2026-03-06</t>
        </is>
      </c>
      <c r="F47" s="123" t="inlineStr">
        <is>
          <t>2026-05-07</t>
        </is>
      </c>
      <c r="G47" s="141" t="inlineStr">
        <is>
          <t>ACTIVO</t>
        </is>
      </c>
      <c r="H47" s="124" t="n">
        <v>530</v>
      </c>
      <c r="I47" s="124" t="n">
        <v>840</v>
      </c>
      <c r="J47" s="124" t="n">
        <v>1016.4</v>
      </c>
      <c r="K47" s="124" t="n">
        <v>310</v>
      </c>
      <c r="L47" s="125" t="n">
        <v>36.90476190476191</v>
      </c>
      <c r="M47" s="125" t="n">
        <v>58.49056603773585</v>
      </c>
      <c r="N47" s="127" t="n">
        <v>0.1890359168241966</v>
      </c>
      <c r="O47" s="134" t="n">
        <v>14.71861471861472</v>
      </c>
      <c r="P47" s="123" t="n">
        <v>2</v>
      </c>
      <c r="Q47" s="135" t="inlineStr">
        <is>
          <t>▁▇█</t>
        </is>
      </c>
    </row>
    <row r="48">
      <c r="A48" s="116" t="inlineStr">
        <is>
          <t>Hevea</t>
        </is>
      </c>
      <c r="B48" s="116" t="inlineStr">
        <is>
          <t>sofa-terraza-2-plazas-estilo-contemporaneo-164104-cm</t>
        </is>
      </c>
      <c r="C48" s="116" t="inlineStr">
        <is>
          <t>557-010479</t>
        </is>
      </c>
      <c r="D48" s="116" t="inlineStr">
        <is>
          <t>BOLONIA XL-2 SOFA 2 PLAZAS/SOFA/CANAPÉ</t>
        </is>
      </c>
      <c r="E48" s="117" t="inlineStr">
        <is>
          <t>2026-03-06</t>
        </is>
      </c>
      <c r="F48" s="117" t="inlineStr">
        <is>
          <t>2026-05-07</t>
        </is>
      </c>
      <c r="G48" s="140" t="inlineStr">
        <is>
          <t>ACTIVO</t>
        </is>
      </c>
      <c r="H48" s="118" t="n">
        <v>823</v>
      </c>
      <c r="I48" s="118" t="n">
        <v>1305</v>
      </c>
      <c r="J48" s="118" t="n">
        <v>1579.05</v>
      </c>
      <c r="K48" s="118" t="n">
        <v>482</v>
      </c>
      <c r="L48" s="119" t="n">
        <v>36.93486590038314</v>
      </c>
      <c r="M48" s="119" t="n">
        <v>58.56622114216282</v>
      </c>
      <c r="N48" s="121" t="n">
        <v>0.121654501216545</v>
      </c>
      <c r="O48" s="137" t="n">
        <v>14.62395543175488</v>
      </c>
      <c r="P48" s="117" t="n">
        <v>2</v>
      </c>
      <c r="Q48" s="132" t="inlineStr">
        <is>
          <t>▁▇█</t>
        </is>
      </c>
    </row>
    <row r="49">
      <c r="A49" s="122" t="inlineStr">
        <is>
          <t>Hevea</t>
        </is>
      </c>
      <c r="B49" s="122" t="inlineStr">
        <is>
          <t>sofa-terraza-3-plazas-estilo-contemporaneo-215104-cm</t>
        </is>
      </c>
      <c r="C49" s="122" t="inlineStr">
        <is>
          <t>557-010480</t>
        </is>
      </c>
      <c r="D49" s="122" t="inlineStr">
        <is>
          <t>BOLONIA XL-3 SOFA 3 PLAZAS/SOFA/CANAPÉ</t>
        </is>
      </c>
      <c r="E49" s="123" t="inlineStr">
        <is>
          <t>2026-03-06</t>
        </is>
      </c>
      <c r="F49" s="123" t="inlineStr">
        <is>
          <t>2026-05-07</t>
        </is>
      </c>
      <c r="G49" s="141" t="inlineStr">
        <is>
          <t>ACTIVO</t>
        </is>
      </c>
      <c r="H49" s="124" t="n">
        <v>1097</v>
      </c>
      <c r="I49" s="124" t="n">
        <v>1740</v>
      </c>
      <c r="J49" s="124" t="n">
        <v>2105.4</v>
      </c>
      <c r="K49" s="124" t="n">
        <v>643</v>
      </c>
      <c r="L49" s="125" t="n">
        <v>36.95402298850575</v>
      </c>
      <c r="M49" s="125" t="n">
        <v>58.61440291704649</v>
      </c>
      <c r="N49" s="127" t="n">
        <v>0.09124087591240876</v>
      </c>
      <c r="O49" s="134" t="n">
        <v>14.62904911180773</v>
      </c>
      <c r="P49" s="123" t="n">
        <v>2</v>
      </c>
      <c r="Q49" s="135" t="inlineStr">
        <is>
          <t>▁▇█</t>
        </is>
      </c>
    </row>
    <row r="50">
      <c r="A50" s="116" t="inlineStr">
        <is>
          <t>Hevea</t>
        </is>
      </c>
      <c r="B50" s="116" t="inlineStr">
        <is>
          <t>reposapies-exterior-855043-cm-2</t>
        </is>
      </c>
      <c r="C50" s="116" t="inlineStr">
        <is>
          <t>557-010482</t>
        </is>
      </c>
      <c r="D50" s="116" t="inlineStr">
        <is>
          <t>STANDARD-XL REPOSAPIES/FOOTSTOOL/REPOSE-PIEDS</t>
        </is>
      </c>
      <c r="E50" s="117" t="inlineStr">
        <is>
          <t>2026-03-06</t>
        </is>
      </c>
      <c r="F50" s="117" t="inlineStr">
        <is>
          <t>2026-05-07</t>
        </is>
      </c>
      <c r="G50" s="140" t="inlineStr">
        <is>
          <t>ACTIVO</t>
        </is>
      </c>
      <c r="H50" s="118" t="n">
        <v>215</v>
      </c>
      <c r="I50" s="118" t="n">
        <v>340</v>
      </c>
      <c r="J50" s="118" t="n">
        <v>411.4</v>
      </c>
      <c r="K50" s="118" t="n">
        <v>125</v>
      </c>
      <c r="L50" s="119" t="n">
        <v>36.76470588235294</v>
      </c>
      <c r="M50" s="119" t="n">
        <v>58.13953488372093</v>
      </c>
      <c r="N50" s="121" t="n">
        <v>0.4672897196261682</v>
      </c>
      <c r="O50" s="137" t="n">
        <v>14.97326203208556</v>
      </c>
      <c r="P50" s="117" t="n">
        <v>2</v>
      </c>
      <c r="Q50" s="132" t="inlineStr">
        <is>
          <t>▁▇█</t>
        </is>
      </c>
    </row>
    <row r="51">
      <c r="A51" s="122" t="inlineStr">
        <is>
          <t>Hevea</t>
        </is>
      </c>
      <c r="B51" s="122" t="inlineStr">
        <is>
          <t>set-jardin-3-plazas-contemporaneo-sofa-3-plazas-2-sillones-mesa-2</t>
        </is>
      </c>
      <c r="C51" s="122" t="inlineStr">
        <is>
          <t>557-010483</t>
        </is>
      </c>
      <c r="D51" s="122" t="inlineStr">
        <is>
          <t>BOLONIA XL-8 SET SOFA 3 PLAZAS/SOFA/CANAPÉ</t>
        </is>
      </c>
      <c r="E51" s="123" t="inlineStr">
        <is>
          <t>2026-03-06</t>
        </is>
      </c>
      <c r="F51" s="123" t="inlineStr">
        <is>
          <t>2026-05-07</t>
        </is>
      </c>
      <c r="G51" s="141" t="inlineStr">
        <is>
          <t>ACTIVO</t>
        </is>
      </c>
      <c r="H51" s="124" t="n">
        <v>2451</v>
      </c>
      <c r="I51" s="124" t="n">
        <v>3890</v>
      </c>
      <c r="J51" s="124" t="n">
        <v>4706.9</v>
      </c>
      <c r="K51" s="124" t="n">
        <v>1439</v>
      </c>
      <c r="L51" s="125" t="n">
        <v>36.99228791773778</v>
      </c>
      <c r="M51" s="125" t="n">
        <v>58.71073031415749</v>
      </c>
      <c r="N51" s="127" t="n">
        <v>0</v>
      </c>
      <c r="O51" s="134" t="n">
        <v>14.53271028037383</v>
      </c>
      <c r="P51" s="123" t="n">
        <v>1</v>
      </c>
      <c r="Q51" s="135" t="inlineStr">
        <is>
          <t>▁██</t>
        </is>
      </c>
    </row>
    <row r="52">
      <c r="A52" s="116" t="inlineStr">
        <is>
          <t>Hevea</t>
        </is>
      </c>
      <c r="B52" s="130" t="inlineStr">
        <is>
          <t>(no en Shopify)</t>
        </is>
      </c>
      <c r="C52" s="116" t="inlineStr">
        <is>
          <t>557-010705</t>
        </is>
      </c>
      <c r="D52" s="116" t="inlineStr">
        <is>
          <t>LOIRA-30</t>
        </is>
      </c>
      <c r="E52" s="117" t="inlineStr">
        <is>
          <t>2026-04-17</t>
        </is>
      </c>
      <c r="F52" s="117" t="inlineStr">
        <is>
          <t>2026-04-17</t>
        </is>
      </c>
      <c r="G52" s="131" t="inlineStr">
        <is>
          <t>DESCATALOGADO ⤺</t>
        </is>
      </c>
      <c r="H52" s="118" t="n">
        <v>2199</v>
      </c>
      <c r="I52" s="118" t="n">
        <v>2395</v>
      </c>
      <c r="J52" s="118" t="n">
        <v>2897.95</v>
      </c>
      <c r="K52" s="118" t="n">
        <v>196</v>
      </c>
      <c r="L52" s="119" t="n">
        <v>8.183716075156577</v>
      </c>
      <c r="M52" s="119" t="n">
        <v>8.913142337426102</v>
      </c>
      <c r="N52" s="121" t="n"/>
      <c r="O52" s="121" t="n"/>
      <c r="P52" s="117" t="n">
        <v>0</v>
      </c>
      <c r="Q52" s="132" t="inlineStr"/>
    </row>
    <row r="53">
      <c r="A53" s="122" t="inlineStr">
        <is>
          <t>Hevea</t>
        </is>
      </c>
      <c r="B53" s="122" t="inlineStr">
        <is>
          <t>set-rinconera-exterior-hpl-sofisticado-sofa-de-esquina-mesa-de-centro</t>
        </is>
      </c>
      <c r="C53" s="122" t="inlineStr">
        <is>
          <t>557-010705</t>
        </is>
      </c>
      <c r="D53" s="122" t="inlineStr">
        <is>
          <t>LOIRA-7 HPL SET SOFA RINCONERA / CORNER SET / SET CANAPÉ D’ANGLE</t>
        </is>
      </c>
      <c r="E53" s="123" t="inlineStr">
        <is>
          <t>2026-03-06</t>
        </is>
      </c>
      <c r="F53" s="123" t="inlineStr">
        <is>
          <t>2026-05-07</t>
        </is>
      </c>
      <c r="G53" s="133" t="inlineStr">
        <is>
          <t>ACTIVO ⤺</t>
        </is>
      </c>
      <c r="H53" s="124" t="n">
        <v>1509</v>
      </c>
      <c r="I53" s="124" t="n">
        <v>2395</v>
      </c>
      <c r="J53" s="124" t="n">
        <v>2897.95</v>
      </c>
      <c r="K53" s="124" t="n">
        <v>886</v>
      </c>
      <c r="L53" s="125" t="n">
        <v>36.99373695198329</v>
      </c>
      <c r="M53" s="125" t="n">
        <v>58.7143803843605</v>
      </c>
      <c r="N53" s="134" t="n">
        <v>14.49165402124431</v>
      </c>
      <c r="O53" s="134" t="n">
        <v>14.49165402124431</v>
      </c>
      <c r="P53" s="123" t="n">
        <v>1</v>
      </c>
      <c r="Q53" s="135" t="inlineStr">
        <is>
          <t>▁█</t>
        </is>
      </c>
    </row>
    <row r="54">
      <c r="A54" s="116" t="inlineStr">
        <is>
          <t>Hevea</t>
        </is>
      </c>
      <c r="B54" s="116" t="inlineStr">
        <is>
          <t>sillon-exterior-estilo-versatil-7685-cm</t>
        </is>
      </c>
      <c r="C54" s="116" t="inlineStr">
        <is>
          <t>557-010716</t>
        </is>
      </c>
      <c r="D54" s="116" t="inlineStr">
        <is>
          <t>LEISA-1 SILLON/ARMCHAIR/FAUTEUIL</t>
        </is>
      </c>
      <c r="E54" s="117" t="inlineStr">
        <is>
          <t>2026-03-06</t>
        </is>
      </c>
      <c r="F54" s="117" t="inlineStr">
        <is>
          <t>2026-05-07</t>
        </is>
      </c>
      <c r="G54" s="140" t="inlineStr">
        <is>
          <t>ACTIVO</t>
        </is>
      </c>
      <c r="H54" s="118" t="n">
        <v>334</v>
      </c>
      <c r="I54" s="118" t="n">
        <v>530</v>
      </c>
      <c r="J54" s="118" t="n">
        <v>641.3</v>
      </c>
      <c r="K54" s="118" t="n">
        <v>196</v>
      </c>
      <c r="L54" s="119" t="n">
        <v>36.9811320754717</v>
      </c>
      <c r="M54" s="119" t="n">
        <v>58.68263473053892</v>
      </c>
      <c r="N54" s="121" t="n">
        <v>0</v>
      </c>
      <c r="O54" s="137" t="n">
        <v>14.38356164383562</v>
      </c>
      <c r="P54" s="117" t="n">
        <v>1</v>
      </c>
      <c r="Q54" s="132" t="inlineStr">
        <is>
          <t>▁██</t>
        </is>
      </c>
    </row>
    <row r="55">
      <c r="A55" s="122" t="inlineStr">
        <is>
          <t>Hevea</t>
        </is>
      </c>
      <c r="B55" s="122" t="inlineStr">
        <is>
          <t>sofa-terraza-2-plazas-estilo-contemporaneo-13785-cm</t>
        </is>
      </c>
      <c r="C55" s="122" t="inlineStr">
        <is>
          <t>557-010717</t>
        </is>
      </c>
      <c r="D55" s="122" t="inlineStr">
        <is>
          <t>LEISA-2 SOFA 2 PLAZAS/SOFA/CANAPÉ</t>
        </is>
      </c>
      <c r="E55" s="123" t="inlineStr">
        <is>
          <t>2026-03-06</t>
        </is>
      </c>
      <c r="F55" s="123" t="inlineStr">
        <is>
          <t>2026-05-07</t>
        </is>
      </c>
      <c r="G55" s="141" t="inlineStr">
        <is>
          <t>ACTIVO</t>
        </is>
      </c>
      <c r="H55" s="124" t="n">
        <v>473</v>
      </c>
      <c r="I55" s="124" t="n">
        <v>750</v>
      </c>
      <c r="J55" s="124" t="n">
        <v>907.5</v>
      </c>
      <c r="K55" s="124" t="n">
        <v>277</v>
      </c>
      <c r="L55" s="125" t="n">
        <v>36.93333333333334</v>
      </c>
      <c r="M55" s="125" t="n">
        <v>58.56236786469344</v>
      </c>
      <c r="N55" s="127" t="n">
        <v>0</v>
      </c>
      <c r="O55" s="134" t="n">
        <v>14.52784503631961</v>
      </c>
      <c r="P55" s="123" t="n">
        <v>1</v>
      </c>
      <c r="Q55" s="135" t="inlineStr">
        <is>
          <t>▁██</t>
        </is>
      </c>
    </row>
    <row r="56">
      <c r="A56" s="116" t="inlineStr">
        <is>
          <t>Hevea</t>
        </is>
      </c>
      <c r="B56" s="116" t="inlineStr">
        <is>
          <t>sofa-terraza-3-plazas-estilo-contemporaneo-19685-cm</t>
        </is>
      </c>
      <c r="C56" s="116" t="inlineStr">
        <is>
          <t>557-010718</t>
        </is>
      </c>
      <c r="D56" s="116" t="inlineStr">
        <is>
          <t>LEISA-3 SOFA 3 PLAZAS/SOFA/CANAPÉ</t>
        </is>
      </c>
      <c r="E56" s="117" t="inlineStr">
        <is>
          <t>2026-03-06</t>
        </is>
      </c>
      <c r="F56" s="117" t="inlineStr">
        <is>
          <t>2026-05-07</t>
        </is>
      </c>
      <c r="G56" s="140" t="inlineStr">
        <is>
          <t>ACTIVO</t>
        </is>
      </c>
      <c r="H56" s="118" t="n">
        <v>612</v>
      </c>
      <c r="I56" s="118" t="n">
        <v>970</v>
      </c>
      <c r="J56" s="118" t="n">
        <v>1173.7</v>
      </c>
      <c r="K56" s="118" t="n">
        <v>358</v>
      </c>
      <c r="L56" s="119" t="n">
        <v>36.90721649484536</v>
      </c>
      <c r="M56" s="119" t="n">
        <v>58.4967320261438</v>
      </c>
      <c r="N56" s="121" t="n">
        <v>0.1636661211129296</v>
      </c>
      <c r="O56" s="137" t="n">
        <v>14.60674157303371</v>
      </c>
      <c r="P56" s="117" t="n">
        <v>2</v>
      </c>
      <c r="Q56" s="132" t="inlineStr">
        <is>
          <t>▁▇█</t>
        </is>
      </c>
    </row>
    <row r="57">
      <c r="A57" s="122" t="inlineStr">
        <is>
          <t>Hevea</t>
        </is>
      </c>
      <c r="B57" s="122" t="inlineStr">
        <is>
          <t>set-jardin-2-plazas-contemporaneo-sofa-2-plazas-2-sillones-mesa</t>
        </is>
      </c>
      <c r="C57" s="122" t="inlineStr">
        <is>
          <t>557-010719</t>
        </is>
      </c>
      <c r="D57" s="122" t="inlineStr">
        <is>
          <t>LEISA-7 SET SOFA 2 PLAZAS/SOFA/CANAPÉ</t>
        </is>
      </c>
      <c r="E57" s="123" t="inlineStr">
        <is>
          <t>2026-03-06</t>
        </is>
      </c>
      <c r="F57" s="123" t="inlineStr">
        <is>
          <t>2026-05-07</t>
        </is>
      </c>
      <c r="G57" s="141" t="inlineStr">
        <is>
          <t>ACTIVO</t>
        </is>
      </c>
      <c r="H57" s="124" t="n">
        <v>1320</v>
      </c>
      <c r="I57" s="124" t="n">
        <v>2095</v>
      </c>
      <c r="J57" s="124" t="n">
        <v>2534.95</v>
      </c>
      <c r="K57" s="124" t="n">
        <v>775</v>
      </c>
      <c r="L57" s="125" t="n">
        <v>36.9928400954654</v>
      </c>
      <c r="M57" s="125" t="n">
        <v>58.71212121212122</v>
      </c>
      <c r="N57" s="127" t="n">
        <v>0</v>
      </c>
      <c r="O57" s="134" t="n">
        <v>14.48395490026019</v>
      </c>
      <c r="P57" s="123" t="n">
        <v>1</v>
      </c>
      <c r="Q57" s="135" t="inlineStr">
        <is>
          <t>▁██</t>
        </is>
      </c>
    </row>
    <row r="58">
      <c r="A58" s="116" t="inlineStr">
        <is>
          <t>Hevea</t>
        </is>
      </c>
      <c r="B58" s="116" t="inlineStr">
        <is>
          <t>set-jardin-3-plazas-contemporaneo-sofa-3-plazas-2-sillones-mesa-3</t>
        </is>
      </c>
      <c r="C58" s="116" t="inlineStr">
        <is>
          <t>557-010720</t>
        </is>
      </c>
      <c r="D58" s="116" t="inlineStr">
        <is>
          <t>LEISA-8 SET SOFA 3 PLAZAS/SOFA/CANAPÉ</t>
        </is>
      </c>
      <c r="E58" s="117" t="inlineStr">
        <is>
          <t>2026-03-06</t>
        </is>
      </c>
      <c r="F58" s="117" t="inlineStr">
        <is>
          <t>2026-05-07</t>
        </is>
      </c>
      <c r="G58" s="140" t="inlineStr">
        <is>
          <t>ACTIVO</t>
        </is>
      </c>
      <c r="H58" s="118" t="n">
        <v>1509</v>
      </c>
      <c r="I58" s="118" t="n">
        <v>2395</v>
      </c>
      <c r="J58" s="118" t="n">
        <v>2897.95</v>
      </c>
      <c r="K58" s="118" t="n">
        <v>886</v>
      </c>
      <c r="L58" s="119" t="n">
        <v>36.99373695198329</v>
      </c>
      <c r="M58" s="119" t="n">
        <v>58.7143803843605</v>
      </c>
      <c r="N58" s="121" t="n">
        <v>0</v>
      </c>
      <c r="O58" s="137" t="n">
        <v>14.49165402124431</v>
      </c>
      <c r="P58" s="117" t="n">
        <v>1</v>
      </c>
      <c r="Q58" s="132" t="inlineStr">
        <is>
          <t>▁██</t>
        </is>
      </c>
    </row>
    <row r="59">
      <c r="A59" s="122" t="inlineStr">
        <is>
          <t>Hevea</t>
        </is>
      </c>
      <c r="B59" s="122" t="inlineStr">
        <is>
          <t>sillon-exterior-estilo-versatil-76100-cm</t>
        </is>
      </c>
      <c r="C59" s="122" t="inlineStr">
        <is>
          <t>557-010726</t>
        </is>
      </c>
      <c r="D59" s="122" t="inlineStr">
        <is>
          <t>ALBANIA-1 SILLON/ARMCHAIR/FAUTEUIL</t>
        </is>
      </c>
      <c r="E59" s="123" t="inlineStr">
        <is>
          <t>2026-03-06</t>
        </is>
      </c>
      <c r="F59" s="123" t="inlineStr">
        <is>
          <t>2026-05-07</t>
        </is>
      </c>
      <c r="G59" s="141" t="inlineStr">
        <is>
          <t>ACTIVO</t>
        </is>
      </c>
      <c r="H59" s="124" t="n">
        <v>312</v>
      </c>
      <c r="I59" s="124" t="n">
        <v>495</v>
      </c>
      <c r="J59" s="124" t="n">
        <v>598.95</v>
      </c>
      <c r="K59" s="124" t="n">
        <v>183</v>
      </c>
      <c r="L59" s="125" t="n">
        <v>36.96969696969697</v>
      </c>
      <c r="M59" s="125" t="n">
        <v>58.65384615384615</v>
      </c>
      <c r="N59" s="127" t="n">
        <v>0</v>
      </c>
      <c r="O59" s="134" t="n">
        <v>14.28571428571428</v>
      </c>
      <c r="P59" s="123" t="n">
        <v>1</v>
      </c>
      <c r="Q59" s="135" t="inlineStr">
        <is>
          <t>▁██</t>
        </is>
      </c>
    </row>
    <row r="60">
      <c r="A60" s="116" t="inlineStr">
        <is>
          <t>Hevea</t>
        </is>
      </c>
      <c r="B60" s="116" t="inlineStr">
        <is>
          <t>sofa-terraza-2-plazas-estilo-contemporaneo-145100-cm</t>
        </is>
      </c>
      <c r="C60" s="116" t="inlineStr">
        <is>
          <t>557-010727</t>
        </is>
      </c>
      <c r="D60" s="116" t="inlineStr">
        <is>
          <t>ALBANIA-2 SOFA 2 PLAZAS/SOFA/CANAPÉ</t>
        </is>
      </c>
      <c r="E60" s="117" t="inlineStr">
        <is>
          <t>2026-03-06</t>
        </is>
      </c>
      <c r="F60" s="117" t="inlineStr">
        <is>
          <t>2026-05-07</t>
        </is>
      </c>
      <c r="G60" s="140" t="inlineStr">
        <is>
          <t>ACTIVO</t>
        </is>
      </c>
      <c r="H60" s="118" t="n">
        <v>495</v>
      </c>
      <c r="I60" s="118" t="n">
        <v>785</v>
      </c>
      <c r="J60" s="118" t="n">
        <v>949.85</v>
      </c>
      <c r="K60" s="118" t="n">
        <v>290</v>
      </c>
      <c r="L60" s="119" t="n">
        <v>36.94267515923567</v>
      </c>
      <c r="M60" s="119" t="n">
        <v>58.58585858585859</v>
      </c>
      <c r="N60" s="121" t="n">
        <v>0</v>
      </c>
      <c r="O60" s="137" t="n">
        <v>14.58333333333333</v>
      </c>
      <c r="P60" s="117" t="n">
        <v>1</v>
      </c>
      <c r="Q60" s="132" t="inlineStr">
        <is>
          <t>▁██</t>
        </is>
      </c>
    </row>
    <row r="61">
      <c r="A61" s="122" t="inlineStr">
        <is>
          <t>Hevea</t>
        </is>
      </c>
      <c r="B61" s="122" t="inlineStr">
        <is>
          <t>sofa-terraza-3-plazas-estilo-sofisticado-212100-cm</t>
        </is>
      </c>
      <c r="C61" s="122" t="inlineStr">
        <is>
          <t>557-010728</t>
        </is>
      </c>
      <c r="D61" s="122" t="inlineStr">
        <is>
          <t>ALBANIA-3 SOFA 3 PLAZAS/SOFA/CANAPÉ</t>
        </is>
      </c>
      <c r="E61" s="123" t="inlineStr">
        <is>
          <t>2026-03-06</t>
        </is>
      </c>
      <c r="F61" s="123" t="inlineStr">
        <is>
          <t>2026-05-07</t>
        </is>
      </c>
      <c r="G61" s="141" t="inlineStr">
        <is>
          <t>ACTIVO</t>
        </is>
      </c>
      <c r="H61" s="124" t="n">
        <v>627</v>
      </c>
      <c r="I61" s="124" t="n">
        <v>995</v>
      </c>
      <c r="J61" s="124" t="n">
        <v>1203.95</v>
      </c>
      <c r="K61" s="124" t="n">
        <v>368</v>
      </c>
      <c r="L61" s="125" t="n">
        <v>36.98492462311557</v>
      </c>
      <c r="M61" s="125" t="n">
        <v>58.69218500797449</v>
      </c>
      <c r="N61" s="127" t="n">
        <v>0</v>
      </c>
      <c r="O61" s="134" t="n">
        <v>14.41605839416058</v>
      </c>
      <c r="P61" s="123" t="n">
        <v>1</v>
      </c>
      <c r="Q61" s="135" t="inlineStr">
        <is>
          <t>▁██</t>
        </is>
      </c>
    </row>
    <row r="62">
      <c r="A62" s="116" t="inlineStr">
        <is>
          <t>Hevea</t>
        </is>
      </c>
      <c r="B62" s="116" t="inlineStr">
        <is>
          <t>set-jardin-2-plazas-elegante-sofa-2-plazas-2-sillones-mesa-4</t>
        </is>
      </c>
      <c r="C62" s="116" t="inlineStr">
        <is>
          <t>557-010729</t>
        </is>
      </c>
      <c r="D62" s="116" t="inlineStr">
        <is>
          <t>ALBANIA-7 SET SOFÁ 2 PLAZAS / 2 SEATER SOFA SET / SET CANAPÉ 2 PLACES</t>
        </is>
      </c>
      <c r="E62" s="117" t="inlineStr">
        <is>
          <t>2026-03-06</t>
        </is>
      </c>
      <c r="F62" s="117" t="inlineStr">
        <is>
          <t>2026-05-07</t>
        </is>
      </c>
      <c r="G62" s="140" t="inlineStr">
        <is>
          <t>ACTIVO</t>
        </is>
      </c>
      <c r="H62" s="118" t="n">
        <v>1465</v>
      </c>
      <c r="I62" s="118" t="n">
        <v>2325</v>
      </c>
      <c r="J62" s="118" t="n">
        <v>2813.25</v>
      </c>
      <c r="K62" s="118" t="n">
        <v>860</v>
      </c>
      <c r="L62" s="119" t="n">
        <v>36.98924731182795</v>
      </c>
      <c r="M62" s="119" t="n">
        <v>58.70307167235494</v>
      </c>
      <c r="N62" s="121" t="n">
        <v>0</v>
      </c>
      <c r="O62" s="137" t="n">
        <v>14.5426114151681</v>
      </c>
      <c r="P62" s="117" t="n">
        <v>1</v>
      </c>
      <c r="Q62" s="132" t="inlineStr">
        <is>
          <t>▁██</t>
        </is>
      </c>
    </row>
    <row r="63">
      <c r="A63" s="122" t="inlineStr">
        <is>
          <t>Hevea</t>
        </is>
      </c>
      <c r="B63" s="122" t="inlineStr">
        <is>
          <t>set-jardin-3-plazas-sofisticado-sofa-3-plazas-2-sillones-mesa-4</t>
        </is>
      </c>
      <c r="C63" s="122" t="inlineStr">
        <is>
          <t>557-010730</t>
        </is>
      </c>
      <c r="D63" s="122" t="inlineStr">
        <is>
          <t>ALBANIA-8 SET SOFÁ 3 PLAZAS / 3 SEATER SOFA SET / SET CANAPÉ 3 PLACES</t>
        </is>
      </c>
      <c r="E63" s="123" t="inlineStr">
        <is>
          <t>2026-03-06</t>
        </is>
      </c>
      <c r="F63" s="123" t="inlineStr">
        <is>
          <t>2026-05-07</t>
        </is>
      </c>
      <c r="G63" s="141" t="inlineStr">
        <is>
          <t>ACTIVO</t>
        </is>
      </c>
      <c r="H63" s="124" t="n">
        <v>1635</v>
      </c>
      <c r="I63" s="124" t="n">
        <v>2595</v>
      </c>
      <c r="J63" s="124" t="n">
        <v>3139.95</v>
      </c>
      <c r="K63" s="124" t="n">
        <v>960</v>
      </c>
      <c r="L63" s="125" t="n">
        <v>36.99421965317919</v>
      </c>
      <c r="M63" s="125" t="n">
        <v>58.71559633027523</v>
      </c>
      <c r="N63" s="127" t="n">
        <v>0</v>
      </c>
      <c r="O63" s="134" t="n">
        <v>14.49579831932773</v>
      </c>
      <c r="P63" s="123" t="n">
        <v>1</v>
      </c>
      <c r="Q63" s="135" t="inlineStr">
        <is>
          <t>▁██</t>
        </is>
      </c>
    </row>
    <row r="64">
      <c r="A64" s="116" t="inlineStr">
        <is>
          <t>Hevea</t>
        </is>
      </c>
      <c r="B64" s="116" t="inlineStr">
        <is>
          <t>reposapies-exterior-605040-cm</t>
        </is>
      </c>
      <c r="C64" s="116" t="inlineStr">
        <is>
          <t>557-010785</t>
        </is>
      </c>
      <c r="D64" s="116" t="inlineStr">
        <is>
          <t>STANDARD-5 REPOSAPIES/FOOTSTOOL/REPOSE-PIEDS</t>
        </is>
      </c>
      <c r="E64" s="117" t="inlineStr">
        <is>
          <t>2026-03-06</t>
        </is>
      </c>
      <c r="F64" s="117" t="inlineStr">
        <is>
          <t>2026-05-07</t>
        </is>
      </c>
      <c r="G64" s="140" t="inlineStr">
        <is>
          <t>ACTIVO</t>
        </is>
      </c>
      <c r="H64" s="118" t="n">
        <v>171</v>
      </c>
      <c r="I64" s="118" t="n">
        <v>270</v>
      </c>
      <c r="J64" s="118" t="n">
        <v>326.7</v>
      </c>
      <c r="K64" s="118" t="n">
        <v>99</v>
      </c>
      <c r="L64" s="119" t="n">
        <v>36.66666666666666</v>
      </c>
      <c r="M64" s="119" t="n">
        <v>57.89473684210527</v>
      </c>
      <c r="N64" s="137" t="n">
        <v>0.5882352941176471</v>
      </c>
      <c r="O64" s="137" t="n">
        <v>14.76510067114094</v>
      </c>
      <c r="P64" s="117" t="n">
        <v>2</v>
      </c>
      <c r="Q64" s="132" t="inlineStr">
        <is>
          <t>▁▇█</t>
        </is>
      </c>
    </row>
    <row r="65">
      <c r="A65" s="122" t="inlineStr">
        <is>
          <t>Hevea</t>
        </is>
      </c>
      <c r="B65" s="122" t="inlineStr">
        <is>
          <t>sillon-exterior-estilo-elegante-6590-cm</t>
        </is>
      </c>
      <c r="C65" s="122" t="inlineStr">
        <is>
          <t>557-010813</t>
        </is>
      </c>
      <c r="D65" s="122" t="inlineStr">
        <is>
          <t>CUPRA-1 SILLÓN/ARMCHAIR/FAUTEUIL</t>
        </is>
      </c>
      <c r="E65" s="123" t="inlineStr">
        <is>
          <t>2026-03-06</t>
        </is>
      </c>
      <c r="F65" s="123" t="inlineStr">
        <is>
          <t>2026-05-07</t>
        </is>
      </c>
      <c r="G65" s="141" t="inlineStr">
        <is>
          <t>ACTIVO</t>
        </is>
      </c>
      <c r="H65" s="124" t="n">
        <v>530</v>
      </c>
      <c r="I65" s="124" t="n">
        <v>840</v>
      </c>
      <c r="J65" s="124" t="n">
        <v>1016.4</v>
      </c>
      <c r="K65" s="124" t="n">
        <v>310</v>
      </c>
      <c r="L65" s="125" t="n">
        <v>36.90476190476191</v>
      </c>
      <c r="M65" s="125" t="n">
        <v>58.49056603773585</v>
      </c>
      <c r="N65" s="127" t="n">
        <v>0.1890359168241966</v>
      </c>
      <c r="O65" s="134" t="n">
        <v>14.71861471861472</v>
      </c>
      <c r="P65" s="123" t="n">
        <v>2</v>
      </c>
      <c r="Q65" s="135" t="inlineStr">
        <is>
          <t>▁▇█</t>
        </is>
      </c>
    </row>
    <row r="66">
      <c r="A66" s="116" t="inlineStr">
        <is>
          <t>Hevea</t>
        </is>
      </c>
      <c r="B66" s="116" t="inlineStr">
        <is>
          <t>sofa-terraza-2-plazas-estilo-contemporaneo-13090-cm</t>
        </is>
      </c>
      <c r="C66" s="116" t="inlineStr">
        <is>
          <t>557-010814</t>
        </is>
      </c>
      <c r="D66" s="116" t="inlineStr">
        <is>
          <t>CUPRA-2 SOFA 2 PLAZAS/SOFA/CANAPÉ</t>
        </is>
      </c>
      <c r="E66" s="117" t="inlineStr">
        <is>
          <t>2026-03-06</t>
        </is>
      </c>
      <c r="F66" s="117" t="inlineStr">
        <is>
          <t>2026-05-07</t>
        </is>
      </c>
      <c r="G66" s="140" t="inlineStr">
        <is>
          <t>ACTIVO</t>
        </is>
      </c>
      <c r="H66" s="118" t="n">
        <v>756</v>
      </c>
      <c r="I66" s="118" t="n">
        <v>1200</v>
      </c>
      <c r="J66" s="118" t="n">
        <v>1452</v>
      </c>
      <c r="K66" s="118" t="n">
        <v>444</v>
      </c>
      <c r="L66" s="119" t="n">
        <v>37</v>
      </c>
      <c r="M66" s="119" t="n">
        <v>58.73015873015873</v>
      </c>
      <c r="N66" s="121" t="n">
        <v>0</v>
      </c>
      <c r="O66" s="137" t="n">
        <v>14.54545454545454</v>
      </c>
      <c r="P66" s="117" t="n">
        <v>1</v>
      </c>
      <c r="Q66" s="132" t="inlineStr">
        <is>
          <t>▁██</t>
        </is>
      </c>
    </row>
    <row r="67">
      <c r="A67" s="122" t="inlineStr">
        <is>
          <t>Hevea</t>
        </is>
      </c>
      <c r="B67" s="122" t="inlineStr">
        <is>
          <t>sofa-terraza-3-plazas-estilo-contemporaneo-18590-cm</t>
        </is>
      </c>
      <c r="C67" s="122" t="inlineStr">
        <is>
          <t>557-010815</t>
        </is>
      </c>
      <c r="D67" s="122" t="inlineStr">
        <is>
          <t>CUPRA-3 SOFA 3 PLAZAS/SOFA/CANAPÉ</t>
        </is>
      </c>
      <c r="E67" s="123" t="inlineStr">
        <is>
          <t>2026-03-06</t>
        </is>
      </c>
      <c r="F67" s="123" t="inlineStr">
        <is>
          <t>2026-05-07</t>
        </is>
      </c>
      <c r="G67" s="141" t="inlineStr">
        <is>
          <t>ACTIVO</t>
        </is>
      </c>
      <c r="H67" s="124" t="n">
        <v>958</v>
      </c>
      <c r="I67" s="124" t="n">
        <v>1520</v>
      </c>
      <c r="J67" s="124" t="n">
        <v>1839.2</v>
      </c>
      <c r="K67" s="124" t="n">
        <v>562</v>
      </c>
      <c r="L67" s="125" t="n">
        <v>36.97368421052632</v>
      </c>
      <c r="M67" s="125" t="n">
        <v>58.66388308977035</v>
      </c>
      <c r="N67" s="127" t="n">
        <v>0</v>
      </c>
      <c r="O67" s="134" t="n">
        <v>14.5933014354067</v>
      </c>
      <c r="P67" s="123" t="n">
        <v>1</v>
      </c>
      <c r="Q67" s="135" t="inlineStr">
        <is>
          <t>▁██</t>
        </is>
      </c>
    </row>
    <row r="68">
      <c r="A68" s="116" t="inlineStr">
        <is>
          <t>Hevea</t>
        </is>
      </c>
      <c r="B68" s="116" t="inlineStr">
        <is>
          <t>set-jardin-2-plazas-elegante-sofa-2-plazas-2-sillones-mesa-2</t>
        </is>
      </c>
      <c r="C68" s="116" t="inlineStr">
        <is>
          <t>557-010816</t>
        </is>
      </c>
      <c r="D68" s="116" t="inlineStr">
        <is>
          <t>CUPRA-7 SET SOFÁ 2 PLAZAS / 2 SEATER SOFA SET / SET CANAPÉ 2 PLACES</t>
        </is>
      </c>
      <c r="E68" s="117" t="inlineStr">
        <is>
          <t>2026-03-06</t>
        </is>
      </c>
      <c r="F68" s="117" t="inlineStr">
        <is>
          <t>2026-05-07</t>
        </is>
      </c>
      <c r="G68" s="140" t="inlineStr">
        <is>
          <t>ACTIVO</t>
        </is>
      </c>
      <c r="H68" s="118" t="n">
        <v>1991</v>
      </c>
      <c r="I68" s="118" t="n">
        <v>3160</v>
      </c>
      <c r="J68" s="118" t="n">
        <v>3823.6</v>
      </c>
      <c r="K68" s="118" t="n">
        <v>1169</v>
      </c>
      <c r="L68" s="119" t="n">
        <v>36.99367088607595</v>
      </c>
      <c r="M68" s="119" t="n">
        <v>58.71421396283275</v>
      </c>
      <c r="N68" s="121" t="n">
        <v>0</v>
      </c>
      <c r="O68" s="137" t="n">
        <v>14.55696202531646</v>
      </c>
      <c r="P68" s="117" t="n">
        <v>1</v>
      </c>
      <c r="Q68" s="132" t="inlineStr">
        <is>
          <t>▁██</t>
        </is>
      </c>
    </row>
    <row r="69">
      <c r="A69" s="122" t="inlineStr">
        <is>
          <t>Hevea</t>
        </is>
      </c>
      <c r="B69" s="122" t="inlineStr">
        <is>
          <t>set-jardin-3-plazas-sofisticado-sofa-3-plazas-2-sillones-mesa-2</t>
        </is>
      </c>
      <c r="C69" s="122" t="inlineStr">
        <is>
          <t>557-010817</t>
        </is>
      </c>
      <c r="D69" s="122" t="inlineStr">
        <is>
          <t>CUPRA-8 SET SOFÁ 3 PLAZAS / 3 SEATER SOFA SET / SET CANAPÉ 3 PLACES</t>
        </is>
      </c>
      <c r="E69" s="123" t="inlineStr">
        <is>
          <t>2026-03-06</t>
        </is>
      </c>
      <c r="F69" s="123" t="inlineStr">
        <is>
          <t>2026-05-07</t>
        </is>
      </c>
      <c r="G69" s="141" t="inlineStr">
        <is>
          <t>ACTIVO</t>
        </is>
      </c>
      <c r="H69" s="124" t="n">
        <v>2262</v>
      </c>
      <c r="I69" s="124" t="n">
        <v>3590</v>
      </c>
      <c r="J69" s="124" t="n">
        <v>4343.9</v>
      </c>
      <c r="K69" s="124" t="n">
        <v>1328</v>
      </c>
      <c r="L69" s="125" t="n">
        <v>36.991643454039</v>
      </c>
      <c r="M69" s="125" t="n">
        <v>58.70910698496905</v>
      </c>
      <c r="N69" s="127" t="n">
        <v>0</v>
      </c>
      <c r="O69" s="134" t="n">
        <v>14.53164556962025</v>
      </c>
      <c r="P69" s="123" t="n">
        <v>1</v>
      </c>
      <c r="Q69" s="135" t="inlineStr">
        <is>
          <t>▁██</t>
        </is>
      </c>
    </row>
    <row r="70">
      <c r="A70" s="116" t="inlineStr">
        <is>
          <t>Hevea</t>
        </is>
      </c>
      <c r="B70" s="116" t="inlineStr">
        <is>
          <t>sofa-terraza-aluminio-3-plazas-estilo-contemporaneo-22090-cm</t>
        </is>
      </c>
      <c r="C70" s="116" t="inlineStr">
        <is>
          <t>557-010879</t>
        </is>
      </c>
      <c r="D70" s="116" t="inlineStr">
        <is>
          <t>BRANDON-3 SOFA 3 PLAZAS/SOFA/CANAPÉ</t>
        </is>
      </c>
      <c r="E70" s="117" t="inlineStr">
        <is>
          <t>2026-03-06</t>
        </is>
      </c>
      <c r="F70" s="117" t="inlineStr">
        <is>
          <t>2026-05-07</t>
        </is>
      </c>
      <c r="G70" s="140" t="inlineStr">
        <is>
          <t>ACTIVO</t>
        </is>
      </c>
      <c r="H70" s="118" t="n">
        <v>1223</v>
      </c>
      <c r="I70" s="118" t="n">
        <v>1940</v>
      </c>
      <c r="J70" s="118" t="n">
        <v>2347.4</v>
      </c>
      <c r="K70" s="118" t="n">
        <v>717</v>
      </c>
      <c r="L70" s="119" t="n">
        <v>36.95876288659794</v>
      </c>
      <c r="M70" s="119" t="n">
        <v>58.62632869991823</v>
      </c>
      <c r="N70" s="121" t="n">
        <v>0.08183306055646482</v>
      </c>
      <c r="O70" s="137" t="n">
        <v>14.62043111527647</v>
      </c>
      <c r="P70" s="117" t="n">
        <v>2</v>
      </c>
      <c r="Q70" s="132" t="inlineStr">
        <is>
          <t>▁▇█</t>
        </is>
      </c>
    </row>
    <row r="71">
      <c r="A71" s="122" t="inlineStr">
        <is>
          <t>Hevea</t>
        </is>
      </c>
      <c r="B71" s="138" t="inlineStr">
        <is>
          <t>(no en Shopify)</t>
        </is>
      </c>
      <c r="C71" s="122" t="inlineStr">
        <is>
          <t>557-010881</t>
        </is>
      </c>
      <c r="D71" s="122" t="inlineStr">
        <is>
          <t>BRANDON-1 SILLON/ARMCHAIR/FAUTEUIL</t>
        </is>
      </c>
      <c r="E71" s="123" t="inlineStr">
        <is>
          <t>2026-03-06</t>
        </is>
      </c>
      <c r="F71" s="123" t="inlineStr">
        <is>
          <t>2026-05-07</t>
        </is>
      </c>
      <c r="G71" s="141" t="inlineStr">
        <is>
          <t>ACTIVO</t>
        </is>
      </c>
      <c r="H71" s="124" t="n">
        <v>618</v>
      </c>
      <c r="I71" s="124" t="n">
        <v>980</v>
      </c>
      <c r="J71" s="124" t="n">
        <v>1185.8</v>
      </c>
      <c r="K71" s="124" t="n">
        <v>362</v>
      </c>
      <c r="L71" s="125" t="n">
        <v>36.93877551020408</v>
      </c>
      <c r="M71" s="125" t="n">
        <v>58.57605177993528</v>
      </c>
      <c r="N71" s="127" t="n">
        <v>0.1620745542949757</v>
      </c>
      <c r="O71" s="134" t="n">
        <v>14.65677179962894</v>
      </c>
      <c r="P71" s="123" t="n">
        <v>2</v>
      </c>
      <c r="Q71" s="135" t="inlineStr">
        <is>
          <t>▁▇█</t>
        </is>
      </c>
    </row>
    <row r="72">
      <c r="A72" s="116" t="inlineStr">
        <is>
          <t>Hevea</t>
        </is>
      </c>
      <c r="B72" s="116" t="inlineStr">
        <is>
          <t>sofa-terraza-aluminio-2-plazas-estilo-contemporaneo-16690-cm</t>
        </is>
      </c>
      <c r="C72" s="116" t="inlineStr">
        <is>
          <t>557-010882</t>
        </is>
      </c>
      <c r="D72" s="116" t="inlineStr">
        <is>
          <t>BRANDON-2 SOFA 2 PLAZAS/SOFA/CANAPÉ</t>
        </is>
      </c>
      <c r="E72" s="117" t="inlineStr">
        <is>
          <t>2026-03-06</t>
        </is>
      </c>
      <c r="F72" s="117" t="inlineStr">
        <is>
          <t>2026-05-07</t>
        </is>
      </c>
      <c r="G72" s="140" t="inlineStr">
        <is>
          <t>ACTIVO</t>
        </is>
      </c>
      <c r="H72" s="118" t="n">
        <v>927</v>
      </c>
      <c r="I72" s="118" t="n">
        <v>1470</v>
      </c>
      <c r="J72" s="118" t="n">
        <v>1778.7</v>
      </c>
      <c r="K72" s="118" t="n">
        <v>543</v>
      </c>
      <c r="L72" s="119" t="n">
        <v>36.93877551020408</v>
      </c>
      <c r="M72" s="119" t="n">
        <v>58.57605177993528</v>
      </c>
      <c r="N72" s="121" t="n">
        <v>0.1079913606911447</v>
      </c>
      <c r="O72" s="137" t="n">
        <v>14.58590852904821</v>
      </c>
      <c r="P72" s="117" t="n">
        <v>2</v>
      </c>
      <c r="Q72" s="132" t="inlineStr">
        <is>
          <t>▁▇█</t>
        </is>
      </c>
    </row>
    <row r="73">
      <c r="A73" s="122" t="inlineStr">
        <is>
          <t>Hevea</t>
        </is>
      </c>
      <c r="B73" s="122" t="inlineStr">
        <is>
          <t>set-jardin-aluminio-2-plazas-contemporaneo-sofa-2-plazas-2-sillones-mesa</t>
        </is>
      </c>
      <c r="C73" s="122" t="inlineStr">
        <is>
          <t>557-010884</t>
        </is>
      </c>
      <c r="D73" s="122" t="inlineStr">
        <is>
          <t>BRANDON-7 SET SOFA 2 PLAZAS/SOFA/CANAPÉ</t>
        </is>
      </c>
      <c r="E73" s="123" t="inlineStr">
        <is>
          <t>2026-03-06</t>
        </is>
      </c>
      <c r="F73" s="123" t="inlineStr">
        <is>
          <t>2026-05-07</t>
        </is>
      </c>
      <c r="G73" s="133" t="inlineStr">
        <is>
          <t>ACTIVO ⚠ ⤺</t>
        </is>
      </c>
      <c r="H73" s="124" t="n">
        <v>2435</v>
      </c>
      <c r="I73" s="124" t="n">
        <v>3865</v>
      </c>
      <c r="J73" s="124" t="n">
        <v>4676.65</v>
      </c>
      <c r="K73" s="124" t="n">
        <v>1430</v>
      </c>
      <c r="L73" s="125" t="n">
        <v>36.99870633893919</v>
      </c>
      <c r="M73" s="125" t="n">
        <v>58.72689938398358</v>
      </c>
      <c r="N73" s="127" t="n">
        <v>0</v>
      </c>
      <c r="O73" s="134" t="n">
        <v>14.5343367826905</v>
      </c>
      <c r="P73" s="123" t="n">
        <v>1</v>
      </c>
      <c r="Q73" s="135" t="inlineStr">
        <is>
          <t>▁██</t>
        </is>
      </c>
    </row>
    <row r="74">
      <c r="A74" s="116" t="inlineStr">
        <is>
          <t>Hevea</t>
        </is>
      </c>
      <c r="B74" s="116" t="inlineStr">
        <is>
          <t>set-jardin-aluminio-2-plazas-contemporaneo-sofa-2-plazas-2-sillones-mesa</t>
        </is>
      </c>
      <c r="C74" s="116" t="inlineStr">
        <is>
          <t>557-010884</t>
        </is>
      </c>
      <c r="D74" s="116" t="inlineStr">
        <is>
          <t>LUNA-44 SET MESAS CENTRO 80 + 60</t>
        </is>
      </c>
      <c r="E74" s="117" t="inlineStr">
        <is>
          <t>2026-03-06</t>
        </is>
      </c>
      <c r="F74" s="117" t="inlineStr">
        <is>
          <t>2026-05-07</t>
        </is>
      </c>
      <c r="G74" s="136" t="inlineStr">
        <is>
          <t>ACTIVO ⚠ ⤺</t>
        </is>
      </c>
      <c r="H74" s="118" t="n">
        <v>275</v>
      </c>
      <c r="I74" s="118" t="n">
        <v>435</v>
      </c>
      <c r="J74" s="118" t="n">
        <v>526.35</v>
      </c>
      <c r="K74" s="118" t="n">
        <v>160</v>
      </c>
      <c r="L74" s="119" t="n">
        <v>36.7816091954023</v>
      </c>
      <c r="M74" s="119" t="n">
        <v>58.18181818181818</v>
      </c>
      <c r="N74" s="121" t="n">
        <v>0.364963503649635</v>
      </c>
      <c r="O74" s="137" t="n">
        <v>14.58333333333333</v>
      </c>
      <c r="P74" s="117" t="n">
        <v>2</v>
      </c>
      <c r="Q74" s="132" t="inlineStr">
        <is>
          <t>▁▇█</t>
        </is>
      </c>
    </row>
    <row r="75">
      <c r="A75" s="122" t="inlineStr">
        <is>
          <t>Hevea</t>
        </is>
      </c>
      <c r="B75" s="122" t="inlineStr">
        <is>
          <t>set-jardin-aluminio-3-plazas-contemporaneo-sofa-3-plazas-2-sillones-mesa</t>
        </is>
      </c>
      <c r="C75" s="122" t="inlineStr">
        <is>
          <t>557-010885</t>
        </is>
      </c>
      <c r="D75" s="122" t="inlineStr">
        <is>
          <t>BRANDON-8 SET SOFA 3 PLAZAS/SOFA/CANAPÉ</t>
        </is>
      </c>
      <c r="E75" s="123" t="inlineStr">
        <is>
          <t>2026-03-06</t>
        </is>
      </c>
      <c r="F75" s="123" t="inlineStr">
        <is>
          <t>2026-05-07</t>
        </is>
      </c>
      <c r="G75" s="141" t="inlineStr">
        <is>
          <t>ACTIVO</t>
        </is>
      </c>
      <c r="H75" s="124" t="n">
        <v>2732</v>
      </c>
      <c r="I75" s="124" t="n">
        <v>4335</v>
      </c>
      <c r="J75" s="124" t="n">
        <v>5245.35</v>
      </c>
      <c r="K75" s="124" t="n">
        <v>1603</v>
      </c>
      <c r="L75" s="125" t="n">
        <v>36.97808535178778</v>
      </c>
      <c r="M75" s="125" t="n">
        <v>58.67496339677891</v>
      </c>
      <c r="N75" s="127" t="n">
        <v>0.03661662394727206</v>
      </c>
      <c r="O75" s="134" t="n">
        <v>14.54926624737945</v>
      </c>
      <c r="P75" s="123" t="n">
        <v>2</v>
      </c>
      <c r="Q75" s="135" t="inlineStr">
        <is>
          <t>▁▇█</t>
        </is>
      </c>
    </row>
    <row r="76">
      <c r="A76" s="116" t="inlineStr">
        <is>
          <t>Hevea</t>
        </is>
      </c>
      <c r="B76" s="116" t="inlineStr">
        <is>
          <t>sillon-exterior-estilo-elegante-7275-cm</t>
        </is>
      </c>
      <c r="C76" s="116" t="inlineStr">
        <is>
          <t>557-010935</t>
        </is>
      </c>
      <c r="D76" s="116" t="inlineStr">
        <is>
          <t>DAMASCO-1 SILLON/ARMCHAIR/FAUTEUIL</t>
        </is>
      </c>
      <c r="E76" s="117" t="inlineStr">
        <is>
          <t>2026-03-06</t>
        </is>
      </c>
      <c r="F76" s="117" t="inlineStr">
        <is>
          <t>2026-05-07</t>
        </is>
      </c>
      <c r="G76" s="140" t="inlineStr">
        <is>
          <t>ACTIVO</t>
        </is>
      </c>
      <c r="H76" s="118" t="n">
        <v>413</v>
      </c>
      <c r="I76" s="118" t="n">
        <v>655</v>
      </c>
      <c r="J76" s="118" t="n">
        <v>792.55</v>
      </c>
      <c r="K76" s="118" t="n">
        <v>242</v>
      </c>
      <c r="L76" s="119" t="n">
        <v>36.94656488549619</v>
      </c>
      <c r="M76" s="119" t="n">
        <v>58.59564164648911</v>
      </c>
      <c r="N76" s="121" t="n">
        <v>0</v>
      </c>
      <c r="O76" s="137" t="n">
        <v>14.40443213296399</v>
      </c>
      <c r="P76" s="117" t="n">
        <v>1</v>
      </c>
      <c r="Q76" s="132" t="inlineStr">
        <is>
          <t>▁██</t>
        </is>
      </c>
    </row>
    <row r="77">
      <c r="A77" s="122" t="inlineStr">
        <is>
          <t>Hevea</t>
        </is>
      </c>
      <c r="B77" s="122" t="inlineStr">
        <is>
          <t>sofa-terraza-2-plazas-estilo-envolvente-13575-cm</t>
        </is>
      </c>
      <c r="C77" s="122" t="inlineStr">
        <is>
          <t>557-010936</t>
        </is>
      </c>
      <c r="D77" s="122" t="inlineStr">
        <is>
          <t>DAMASCO-2 SOFA 2 PLAZAS/SOFA/CANAPÉ</t>
        </is>
      </c>
      <c r="E77" s="123" t="inlineStr">
        <is>
          <t>2026-03-06</t>
        </is>
      </c>
      <c r="F77" s="123" t="inlineStr">
        <is>
          <t>2026-05-07</t>
        </is>
      </c>
      <c r="G77" s="141" t="inlineStr">
        <is>
          <t>ACTIVO</t>
        </is>
      </c>
      <c r="H77" s="124" t="n">
        <v>608</v>
      </c>
      <c r="I77" s="124" t="n">
        <v>965</v>
      </c>
      <c r="J77" s="124" t="n">
        <v>1167.65</v>
      </c>
      <c r="K77" s="124" t="n">
        <v>357</v>
      </c>
      <c r="L77" s="125" t="n">
        <v>36.99481865284974</v>
      </c>
      <c r="M77" s="125" t="n">
        <v>58.7171052631579</v>
      </c>
      <c r="N77" s="127" t="n">
        <v>0</v>
      </c>
      <c r="O77" s="134" t="n">
        <v>14.50094161958569</v>
      </c>
      <c r="P77" s="123" t="n">
        <v>1</v>
      </c>
      <c r="Q77" s="135" t="inlineStr">
        <is>
          <t>▁██</t>
        </is>
      </c>
    </row>
    <row r="78">
      <c r="A78" s="116" t="inlineStr">
        <is>
          <t>Hevea</t>
        </is>
      </c>
      <c r="B78" s="116" t="inlineStr">
        <is>
          <t>sofa-terraza-3-plazas-estilo-sofisticado-19475-cm</t>
        </is>
      </c>
      <c r="C78" s="116" t="inlineStr">
        <is>
          <t>557-010937</t>
        </is>
      </c>
      <c r="D78" s="116" t="inlineStr">
        <is>
          <t>DAMASCO-3 SOFA 3 PLAZAS/SOFA/CANAPÉ</t>
        </is>
      </c>
      <c r="E78" s="117" t="inlineStr">
        <is>
          <t>2026-03-06</t>
        </is>
      </c>
      <c r="F78" s="117" t="inlineStr">
        <is>
          <t>2026-05-07</t>
        </is>
      </c>
      <c r="G78" s="140" t="inlineStr">
        <is>
          <t>ACTIVO</t>
        </is>
      </c>
      <c r="H78" s="118" t="n">
        <v>772</v>
      </c>
      <c r="I78" s="118" t="n">
        <v>1225</v>
      </c>
      <c r="J78" s="118" t="n">
        <v>1482.25</v>
      </c>
      <c r="K78" s="118" t="n">
        <v>453</v>
      </c>
      <c r="L78" s="119" t="n">
        <v>36.97959183673469</v>
      </c>
      <c r="M78" s="119" t="n">
        <v>58.67875647668394</v>
      </c>
      <c r="N78" s="121" t="n">
        <v>0</v>
      </c>
      <c r="O78" s="137" t="n">
        <v>14.54005934718101</v>
      </c>
      <c r="P78" s="117" t="n">
        <v>1</v>
      </c>
      <c r="Q78" s="132" t="inlineStr">
        <is>
          <t>▁██</t>
        </is>
      </c>
    </row>
    <row r="79">
      <c r="A79" s="122" t="inlineStr">
        <is>
          <t>Hevea</t>
        </is>
      </c>
      <c r="B79" s="122" t="inlineStr">
        <is>
          <t>set-jardin-2-plazas-elegante-sofa-2-plazas-2-sillones-mesa</t>
        </is>
      </c>
      <c r="C79" s="122" t="inlineStr">
        <is>
          <t>557-010938</t>
        </is>
      </c>
      <c r="D79" s="122" t="inlineStr">
        <is>
          <t>SET DAMASCO 7 / 2 SEATER SOFA SET / SET CANAPÉ 2 PLACES</t>
        </is>
      </c>
      <c r="E79" s="123" t="inlineStr">
        <is>
          <t>2026-03-06</t>
        </is>
      </c>
      <c r="F79" s="123" t="inlineStr">
        <is>
          <t>2026-05-07</t>
        </is>
      </c>
      <c r="G79" s="141" t="inlineStr">
        <is>
          <t>ACTIVO</t>
        </is>
      </c>
      <c r="H79" s="124" t="n">
        <v>1610</v>
      </c>
      <c r="I79" s="124" t="n">
        <v>2555</v>
      </c>
      <c r="J79" s="124" t="n">
        <v>3091.55</v>
      </c>
      <c r="K79" s="124" t="n">
        <v>945</v>
      </c>
      <c r="L79" s="125" t="n">
        <v>36.98630136986301</v>
      </c>
      <c r="M79" s="125" t="n">
        <v>58.69565217391305</v>
      </c>
      <c r="N79" s="127" t="n">
        <v>0</v>
      </c>
      <c r="O79" s="134" t="n">
        <v>14.50924608819346</v>
      </c>
      <c r="P79" s="123" t="n">
        <v>1</v>
      </c>
      <c r="Q79" s="135" t="inlineStr">
        <is>
          <t>▁██</t>
        </is>
      </c>
    </row>
    <row r="80">
      <c r="A80" s="116" t="inlineStr">
        <is>
          <t>Hevea</t>
        </is>
      </c>
      <c r="B80" s="116" t="inlineStr">
        <is>
          <t>set-jardin-3-plazas-sofisticado-sofa-3-plazas-2-sillones-mesa</t>
        </is>
      </c>
      <c r="C80" s="116" t="inlineStr">
        <is>
          <t>557-010939</t>
        </is>
      </c>
      <c r="D80" s="116" t="inlineStr">
        <is>
          <t>SET DAMASCO 8 / 3 SEATER SOFA SET / SET CANAPÉ 3 PLACES</t>
        </is>
      </c>
      <c r="E80" s="117" t="inlineStr">
        <is>
          <t>2026-03-06</t>
        </is>
      </c>
      <c r="F80" s="117" t="inlineStr">
        <is>
          <t>2026-05-07</t>
        </is>
      </c>
      <c r="G80" s="140" t="inlineStr">
        <is>
          <t>ACTIVO</t>
        </is>
      </c>
      <c r="H80" s="118" t="n">
        <v>1843</v>
      </c>
      <c r="I80" s="118" t="n">
        <v>2925</v>
      </c>
      <c r="J80" s="118" t="n">
        <v>3539.25</v>
      </c>
      <c r="K80" s="118" t="n">
        <v>1082</v>
      </c>
      <c r="L80" s="119" t="n">
        <v>36.99145299145299</v>
      </c>
      <c r="M80" s="119" t="n">
        <v>58.70862723819859</v>
      </c>
      <c r="N80" s="121" t="n">
        <v>0</v>
      </c>
      <c r="O80" s="137" t="n">
        <v>14.54319453076445</v>
      </c>
      <c r="P80" s="117" t="n">
        <v>1</v>
      </c>
      <c r="Q80" s="132" t="inlineStr">
        <is>
          <t>▁██</t>
        </is>
      </c>
    </row>
    <row r="81">
      <c r="A81" s="122" t="inlineStr">
        <is>
          <t>Hevea</t>
        </is>
      </c>
      <c r="B81" s="138" t="inlineStr">
        <is>
          <t>(no en Shopify)</t>
        </is>
      </c>
      <c r="C81" s="122" t="inlineStr">
        <is>
          <t>557-010947</t>
        </is>
      </c>
      <c r="D81" s="122" t="inlineStr">
        <is>
          <t>SEVILLA BANCO</t>
        </is>
      </c>
      <c r="E81" s="123" t="inlineStr">
        <is>
          <t>2026-04-17</t>
        </is>
      </c>
      <c r="F81" s="123" t="inlineStr">
        <is>
          <t>2026-04-17</t>
        </is>
      </c>
      <c r="G81" s="139" t="inlineStr">
        <is>
          <t>DESCATALOGADO ⤺</t>
        </is>
      </c>
      <c r="H81" s="124" t="n">
        <v>198</v>
      </c>
      <c r="I81" s="124" t="n">
        <v>2395</v>
      </c>
      <c r="J81" s="124" t="n">
        <v>2897.95</v>
      </c>
      <c r="K81" s="124" t="n">
        <v>2197</v>
      </c>
      <c r="L81" s="125" t="n">
        <v>91.73277661795407</v>
      </c>
      <c r="M81" s="125" t="n">
        <v>1109.59595959596</v>
      </c>
      <c r="N81" s="127" t="n"/>
      <c r="O81" s="127" t="n"/>
      <c r="P81" s="123" t="n">
        <v>0</v>
      </c>
      <c r="Q81" s="135" t="inlineStr"/>
    </row>
    <row r="82">
      <c r="A82" s="116" t="inlineStr">
        <is>
          <t>Hevea</t>
        </is>
      </c>
      <c r="B82" s="116" t="inlineStr">
        <is>
          <t>banco-jardin-con-mesa-integrada-220-cm</t>
        </is>
      </c>
      <c r="C82" s="116" t="inlineStr">
        <is>
          <t>557-010947</t>
        </is>
      </c>
      <c r="D82" s="116" t="inlineStr">
        <is>
          <t>YULIEN BANCO CON MESA / YULIEN BENCH WITH TABLE / BANC YULIEN AVEC TABLE</t>
        </is>
      </c>
      <c r="E82" s="117" t="inlineStr">
        <is>
          <t>2026-03-06</t>
        </is>
      </c>
      <c r="F82" s="117" t="inlineStr">
        <is>
          <t>2026-05-07</t>
        </is>
      </c>
      <c r="G82" s="136" t="inlineStr">
        <is>
          <t>ACTIVO ⤺</t>
        </is>
      </c>
      <c r="H82" s="118" t="n">
        <v>1509</v>
      </c>
      <c r="I82" s="118" t="n">
        <v>2395</v>
      </c>
      <c r="J82" s="118" t="n">
        <v>2897.95</v>
      </c>
      <c r="K82" s="118" t="n">
        <v>886</v>
      </c>
      <c r="L82" s="119" t="n">
        <v>36.99373695198329</v>
      </c>
      <c r="M82" s="119" t="n">
        <v>58.7143803843605</v>
      </c>
      <c r="N82" s="137" t="n">
        <v>14.49165402124431</v>
      </c>
      <c r="O82" s="137" t="n">
        <v>14.49165402124431</v>
      </c>
      <c r="P82" s="117" t="n">
        <v>1</v>
      </c>
      <c r="Q82" s="132" t="inlineStr">
        <is>
          <t>▁█</t>
        </is>
      </c>
    </row>
    <row r="83">
      <c r="A83" s="122" t="inlineStr">
        <is>
          <t>Hevea</t>
        </is>
      </c>
      <c r="B83" s="138" t="inlineStr">
        <is>
          <t>(no en Shopify)</t>
        </is>
      </c>
      <c r="C83" s="122" t="inlineStr">
        <is>
          <t>557-011019</t>
        </is>
      </c>
      <c r="D83" s="122" t="inlineStr">
        <is>
          <t>BRESCIA-12</t>
        </is>
      </c>
      <c r="E83" s="123" t="inlineStr">
        <is>
          <t>2026-04-17</t>
        </is>
      </c>
      <c r="F83" s="123" t="inlineStr">
        <is>
          <t>2026-04-17</t>
        </is>
      </c>
      <c r="G83" s="139" t="inlineStr">
        <is>
          <t>DESCATALOGADO ⤺</t>
        </is>
      </c>
      <c r="H83" s="124" t="n">
        <v>101</v>
      </c>
      <c r="I83" s="124" t="n">
        <v>550</v>
      </c>
      <c r="J83" s="124" t="n">
        <v>665.5</v>
      </c>
      <c r="K83" s="124" t="n">
        <v>449</v>
      </c>
      <c r="L83" s="125" t="n">
        <v>81.63636363636364</v>
      </c>
      <c r="M83" s="125" t="n">
        <v>444.5544554455446</v>
      </c>
      <c r="N83" s="127" t="n"/>
      <c r="O83" s="127" t="n"/>
      <c r="P83" s="123" t="n">
        <v>0</v>
      </c>
      <c r="Q83" s="135" t="inlineStr"/>
    </row>
    <row r="84">
      <c r="A84" s="116" t="inlineStr">
        <is>
          <t>Hevea</t>
        </is>
      </c>
      <c r="B84" s="116" t="inlineStr">
        <is>
          <t>mesa-comedor-exterior-hpl-15090-cm</t>
        </is>
      </c>
      <c r="C84" s="116" t="inlineStr">
        <is>
          <t>557-011019</t>
        </is>
      </c>
      <c r="D84" s="116" t="inlineStr">
        <is>
          <t>HPL MUNDRA 150 MESA / HPL MUNDRA 150 TABLE / TABLE HPL MUNDRA 150</t>
        </is>
      </c>
      <c r="E84" s="117" t="inlineStr">
        <is>
          <t>2026-03-06</t>
        </is>
      </c>
      <c r="F84" s="117" t="inlineStr">
        <is>
          <t>2026-05-07</t>
        </is>
      </c>
      <c r="G84" s="136" t="inlineStr">
        <is>
          <t>ACTIVO ⤺</t>
        </is>
      </c>
      <c r="H84" s="118" t="n">
        <v>347</v>
      </c>
      <c r="I84" s="118" t="n">
        <v>550</v>
      </c>
      <c r="J84" s="118" t="n">
        <v>665.5</v>
      </c>
      <c r="K84" s="118" t="n">
        <v>203</v>
      </c>
      <c r="L84" s="119" t="n">
        <v>36.90909090909091</v>
      </c>
      <c r="M84" s="119" t="n">
        <v>58.50144092219021</v>
      </c>
      <c r="N84" s="137" t="n">
        <v>14.52145214521452</v>
      </c>
      <c r="O84" s="137" t="n">
        <v>14.52145214521452</v>
      </c>
      <c r="P84" s="117" t="n">
        <v>1</v>
      </c>
      <c r="Q84" s="132" t="inlineStr">
        <is>
          <t>▁█</t>
        </is>
      </c>
    </row>
    <row r="85">
      <c r="A85" s="122" t="inlineStr">
        <is>
          <t>Hevea</t>
        </is>
      </c>
      <c r="B85" s="122" t="inlineStr">
        <is>
          <t>mesa-de-centro-exterior-90-cm-altura-41-cm</t>
        </is>
      </c>
      <c r="C85" s="122" t="inlineStr">
        <is>
          <t>557-011075</t>
        </is>
      </c>
      <c r="D85" s="122" t="inlineStr">
        <is>
          <t>SAIPROS-90 MESA CENTRO 90/COFFEE TABLE/TABLE CENTRE</t>
        </is>
      </c>
      <c r="E85" s="123" t="inlineStr">
        <is>
          <t>2026-03-06</t>
        </is>
      </c>
      <c r="F85" s="123" t="inlineStr">
        <is>
          <t>2026-05-07</t>
        </is>
      </c>
      <c r="G85" s="141" t="inlineStr">
        <is>
          <t>ACTIVO</t>
        </is>
      </c>
      <c r="H85" s="124" t="n">
        <v>177</v>
      </c>
      <c r="I85" s="124" t="n">
        <v>280</v>
      </c>
      <c r="J85" s="124" t="n">
        <v>338.8</v>
      </c>
      <c r="K85" s="124" t="n">
        <v>103</v>
      </c>
      <c r="L85" s="125" t="n">
        <v>36.78571428571429</v>
      </c>
      <c r="M85" s="125" t="n">
        <v>58.19209039548022</v>
      </c>
      <c r="N85" s="134" t="n">
        <v>0.5681818181818182</v>
      </c>
      <c r="O85" s="134" t="n">
        <v>14.93506493506493</v>
      </c>
      <c r="P85" s="123" t="n">
        <v>2</v>
      </c>
      <c r="Q85" s="135" t="inlineStr">
        <is>
          <t>▁▇█</t>
        </is>
      </c>
    </row>
    <row r="86">
      <c r="A86" s="116" t="inlineStr">
        <is>
          <t>Hevea</t>
        </is>
      </c>
      <c r="B86" s="116" t="inlineStr">
        <is>
          <t>mesa-de-centro-exterior-120-cm-altura-41-cm</t>
        </is>
      </c>
      <c r="C86" s="116" t="inlineStr">
        <is>
          <t>557-011076</t>
        </is>
      </c>
      <c r="D86" s="116" t="inlineStr">
        <is>
          <t>SAIPROS-120 MESA CENTRO 120/COFFEE TABLE/TABLE CENTRE</t>
        </is>
      </c>
      <c r="E86" s="117" t="inlineStr">
        <is>
          <t>2026-03-06</t>
        </is>
      </c>
      <c r="F86" s="117" t="inlineStr">
        <is>
          <t>2026-05-07</t>
        </is>
      </c>
      <c r="G86" s="140" t="inlineStr">
        <is>
          <t>ACTIVO</t>
        </is>
      </c>
      <c r="H86" s="118" t="n">
        <v>246</v>
      </c>
      <c r="I86" s="118" t="n">
        <v>390</v>
      </c>
      <c r="J86" s="118" t="n">
        <v>471.9</v>
      </c>
      <c r="K86" s="118" t="n">
        <v>144</v>
      </c>
      <c r="L86" s="119" t="n">
        <v>36.92307692307693</v>
      </c>
      <c r="M86" s="119" t="n">
        <v>58.53658536585365</v>
      </c>
      <c r="N86" s="121" t="n">
        <v>0</v>
      </c>
      <c r="O86" s="137" t="n">
        <v>14.41860465116279</v>
      </c>
      <c r="P86" s="117" t="n">
        <v>1</v>
      </c>
      <c r="Q86" s="132" t="inlineStr">
        <is>
          <t>▁██</t>
        </is>
      </c>
    </row>
    <row r="87">
      <c r="A87" s="122" t="inlineStr">
        <is>
          <t>Hevea</t>
        </is>
      </c>
      <c r="B87" s="122" t="inlineStr">
        <is>
          <t>sillon-exterior-estilo-elegante-6578-cm</t>
        </is>
      </c>
      <c r="C87" s="122" t="inlineStr">
        <is>
          <t>557-011090</t>
        </is>
      </c>
      <c r="D87" s="122" t="inlineStr">
        <is>
          <t>ODIN-1 SILLON/ARMCHAIR/FAUTEUIL</t>
        </is>
      </c>
      <c r="E87" s="123" t="inlineStr">
        <is>
          <t>2026-03-06</t>
        </is>
      </c>
      <c r="F87" s="123" t="inlineStr">
        <is>
          <t>2026-05-07</t>
        </is>
      </c>
      <c r="G87" s="141" t="inlineStr">
        <is>
          <t>ACTIVO</t>
        </is>
      </c>
      <c r="H87" s="124" t="n">
        <v>268</v>
      </c>
      <c r="I87" s="124" t="n">
        <v>425</v>
      </c>
      <c r="J87" s="124" t="n">
        <v>514.25</v>
      </c>
      <c r="K87" s="124" t="n">
        <v>157</v>
      </c>
      <c r="L87" s="125" t="n">
        <v>36.94117647058823</v>
      </c>
      <c r="M87" s="125" t="n">
        <v>58.58208955223881</v>
      </c>
      <c r="N87" s="127" t="n">
        <v>0</v>
      </c>
      <c r="O87" s="134" t="n">
        <v>14.52991452991453</v>
      </c>
      <c r="P87" s="123" t="n">
        <v>1</v>
      </c>
      <c r="Q87" s="135" t="inlineStr">
        <is>
          <t>▁██</t>
        </is>
      </c>
    </row>
    <row r="88">
      <c r="A88" s="116" t="inlineStr">
        <is>
          <t>Hevea</t>
        </is>
      </c>
      <c r="B88" s="116" t="inlineStr">
        <is>
          <t>sofa-terraza-2-plazas-estilo-contemporaneo-12078-cm</t>
        </is>
      </c>
      <c r="C88" s="116" t="inlineStr">
        <is>
          <t>557-011091</t>
        </is>
      </c>
      <c r="D88" s="116" t="inlineStr">
        <is>
          <t>ODIN-2 SOFA 2 PLAZAS/SOFA/CANAPÉ</t>
        </is>
      </c>
      <c r="E88" s="117" t="inlineStr">
        <is>
          <t>2026-03-06</t>
        </is>
      </c>
      <c r="F88" s="117" t="inlineStr">
        <is>
          <t>2026-05-07</t>
        </is>
      </c>
      <c r="G88" s="140" t="inlineStr">
        <is>
          <t>ACTIVO</t>
        </is>
      </c>
      <c r="H88" s="118" t="n">
        <v>454</v>
      </c>
      <c r="I88" s="118" t="n">
        <v>720</v>
      </c>
      <c r="J88" s="118" t="n">
        <v>871.2</v>
      </c>
      <c r="K88" s="118" t="n">
        <v>266</v>
      </c>
      <c r="L88" s="119" t="n">
        <v>36.94444444444444</v>
      </c>
      <c r="M88" s="119" t="n">
        <v>58.59030837004406</v>
      </c>
      <c r="N88" s="121" t="n">
        <v>0</v>
      </c>
      <c r="O88" s="137" t="n">
        <v>14.64646464646465</v>
      </c>
      <c r="P88" s="117" t="n">
        <v>1</v>
      </c>
      <c r="Q88" s="132" t="inlineStr">
        <is>
          <t>▁██</t>
        </is>
      </c>
    </row>
    <row r="89">
      <c r="A89" s="122" t="inlineStr">
        <is>
          <t>Hevea</t>
        </is>
      </c>
      <c r="B89" s="122" t="inlineStr">
        <is>
          <t>sofa-terraza-3-plazas-estilo-sofisticado-17578-cm</t>
        </is>
      </c>
      <c r="C89" s="122" t="inlineStr">
        <is>
          <t>557-011092</t>
        </is>
      </c>
      <c r="D89" s="122" t="inlineStr">
        <is>
          <t>ODIN-3 SOFA 3 PLAZAS/SOFA/CANAPÉ</t>
        </is>
      </c>
      <c r="E89" s="123" t="inlineStr">
        <is>
          <t>2026-03-06</t>
        </is>
      </c>
      <c r="F89" s="123" t="inlineStr">
        <is>
          <t>2026-05-07</t>
        </is>
      </c>
      <c r="G89" s="141" t="inlineStr">
        <is>
          <t>ACTIVO</t>
        </is>
      </c>
      <c r="H89" s="124" t="n">
        <v>596</v>
      </c>
      <c r="I89" s="124" t="n">
        <v>945</v>
      </c>
      <c r="J89" s="124" t="n">
        <v>1143.45</v>
      </c>
      <c r="K89" s="124" t="n">
        <v>349</v>
      </c>
      <c r="L89" s="125" t="n">
        <v>36.93121693121693</v>
      </c>
      <c r="M89" s="125" t="n">
        <v>58.55704697986577</v>
      </c>
      <c r="N89" s="127" t="n">
        <v>0.1680672268907563</v>
      </c>
      <c r="O89" s="134" t="n">
        <v>14.61538461538462</v>
      </c>
      <c r="P89" s="123" t="n">
        <v>2</v>
      </c>
      <c r="Q89" s="135" t="inlineStr">
        <is>
          <t>▁▇█</t>
        </is>
      </c>
    </row>
    <row r="90">
      <c r="A90" s="116" t="inlineStr">
        <is>
          <t>Hevea</t>
        </is>
      </c>
      <c r="B90" s="116" t="inlineStr">
        <is>
          <t>set-jardin-2-plazas-moderno-sofa-2-plazas-2-sillones-mesa-2</t>
        </is>
      </c>
      <c r="C90" s="116" t="inlineStr">
        <is>
          <t>557-011094</t>
        </is>
      </c>
      <c r="D90" s="116" t="inlineStr">
        <is>
          <t>ODIN-7 SET SOFÁ 2 PLAZAS / 2 SEATER SOFA SET / SET CANAPÉ 2 PLACES</t>
        </is>
      </c>
      <c r="E90" s="117" t="inlineStr">
        <is>
          <t>2026-03-06</t>
        </is>
      </c>
      <c r="F90" s="117" t="inlineStr">
        <is>
          <t>2026-05-07</t>
        </is>
      </c>
      <c r="G90" s="140" t="inlineStr">
        <is>
          <t>ACTIVO</t>
        </is>
      </c>
      <c r="H90" s="118" t="n">
        <v>1166</v>
      </c>
      <c r="I90" s="118" t="n">
        <v>1850</v>
      </c>
      <c r="J90" s="118" t="n">
        <v>2238.5</v>
      </c>
      <c r="K90" s="118" t="n">
        <v>684</v>
      </c>
      <c r="L90" s="119" t="n">
        <v>36.97297297297298</v>
      </c>
      <c r="M90" s="119" t="n">
        <v>58.66209262435677</v>
      </c>
      <c r="N90" s="121" t="n">
        <v>0</v>
      </c>
      <c r="O90" s="137" t="n">
        <v>14.53831041257367</v>
      </c>
      <c r="P90" s="117" t="n">
        <v>1</v>
      </c>
      <c r="Q90" s="132" t="inlineStr">
        <is>
          <t>▁██</t>
        </is>
      </c>
    </row>
    <row r="91">
      <c r="A91" s="122" t="inlineStr">
        <is>
          <t>Hevea</t>
        </is>
      </c>
      <c r="B91" s="122" t="inlineStr">
        <is>
          <t>set-jardin-3-plazas-elegante-sofa-3-plazas-2-sillones-mesa</t>
        </is>
      </c>
      <c r="C91" s="122" t="inlineStr">
        <is>
          <t>557-011095</t>
        </is>
      </c>
      <c r="D91" s="122" t="inlineStr">
        <is>
          <t>ODIN-8 SET SOFÁ 3 PLAZAS / 3 SEATER SOFA SET / SET CANAPÉ 3 PLACES</t>
        </is>
      </c>
      <c r="E91" s="123" t="inlineStr">
        <is>
          <t>2026-03-06</t>
        </is>
      </c>
      <c r="F91" s="123" t="inlineStr">
        <is>
          <t>2026-05-07</t>
        </is>
      </c>
      <c r="G91" s="141" t="inlineStr">
        <is>
          <t>ACTIVO</t>
        </is>
      </c>
      <c r="H91" s="124" t="n">
        <v>1377</v>
      </c>
      <c r="I91" s="124" t="n">
        <v>2185</v>
      </c>
      <c r="J91" s="124" t="n">
        <v>2643.85</v>
      </c>
      <c r="K91" s="124" t="n">
        <v>808</v>
      </c>
      <c r="L91" s="125" t="n">
        <v>36.97940503432494</v>
      </c>
      <c r="M91" s="125" t="n">
        <v>58.67828612926652</v>
      </c>
      <c r="N91" s="127" t="n">
        <v>0</v>
      </c>
      <c r="O91" s="134" t="n">
        <v>14.55906821963394</v>
      </c>
      <c r="P91" s="123" t="n">
        <v>1</v>
      </c>
      <c r="Q91" s="135" t="inlineStr">
        <is>
          <t>▁██</t>
        </is>
      </c>
    </row>
    <row r="92">
      <c r="A92" s="116" t="inlineStr">
        <is>
          <t>Hevea</t>
        </is>
      </c>
      <c r="B92" s="116" t="inlineStr">
        <is>
          <t>banco-de-exterior-108-cm</t>
        </is>
      </c>
      <c r="C92" s="116" t="inlineStr">
        <is>
          <t>557-011350</t>
        </is>
      </c>
      <c r="D92" s="116" t="inlineStr">
        <is>
          <t>SEVILLA BANCO / SEVILLA BENCH / BANC SEVILLA</t>
        </is>
      </c>
      <c r="E92" s="117" t="inlineStr">
        <is>
          <t>2026-03-06</t>
        </is>
      </c>
      <c r="F92" s="117" t="inlineStr">
        <is>
          <t>2026-05-07</t>
        </is>
      </c>
      <c r="G92" s="140" t="inlineStr">
        <is>
          <t>ACTIVO</t>
        </is>
      </c>
      <c r="H92" s="118" t="n">
        <v>199</v>
      </c>
      <c r="I92" s="118" t="n">
        <v>315</v>
      </c>
      <c r="J92" s="118" t="n">
        <v>381.15</v>
      </c>
      <c r="K92" s="118" t="n">
        <v>116</v>
      </c>
      <c r="L92" s="119" t="n">
        <v>36.82539682539683</v>
      </c>
      <c r="M92" s="119" t="n">
        <v>58.29145728643216</v>
      </c>
      <c r="N92" s="137" t="n">
        <v>5.291005291005291</v>
      </c>
      <c r="O92" s="137" t="n">
        <v>14.36781609195402</v>
      </c>
      <c r="P92" s="117" t="n">
        <v>2</v>
      </c>
      <c r="Q92" s="132" t="inlineStr">
        <is>
          <t>▁▅█</t>
        </is>
      </c>
    </row>
    <row r="93">
      <c r="A93" s="122" t="inlineStr">
        <is>
          <t>Hevea</t>
        </is>
      </c>
      <c r="B93" s="122" t="inlineStr">
        <is>
          <t>reposapies-exterior-855043-cm</t>
        </is>
      </c>
      <c r="C93" s="122" t="inlineStr">
        <is>
          <t>557-0185</t>
        </is>
      </c>
      <c r="D93" s="122" t="inlineStr">
        <is>
          <t>STANDARD 55-XL STANDARD XL REPOSAPIES</t>
        </is>
      </c>
      <c r="E93" s="123" t="inlineStr">
        <is>
          <t>2026-03-06</t>
        </is>
      </c>
      <c r="F93" s="123" t="inlineStr">
        <is>
          <t>2026-05-07</t>
        </is>
      </c>
      <c r="G93" s="141" t="inlineStr">
        <is>
          <t>ACTIVO</t>
        </is>
      </c>
      <c r="H93" s="124" t="n">
        <v>186</v>
      </c>
      <c r="I93" s="124" t="n">
        <v>295</v>
      </c>
      <c r="J93" s="124" t="n">
        <v>356.95</v>
      </c>
      <c r="K93" s="124" t="n">
        <v>109</v>
      </c>
      <c r="L93" s="125" t="n">
        <v>36.94915254237288</v>
      </c>
      <c r="M93" s="125" t="n">
        <v>58.60215053763442</v>
      </c>
      <c r="N93" s="127" t="n">
        <v>0</v>
      </c>
      <c r="O93" s="134" t="n">
        <v>14.11042944785276</v>
      </c>
      <c r="P93" s="123" t="n">
        <v>1</v>
      </c>
      <c r="Q93" s="135" t="inlineStr">
        <is>
          <t>▁██</t>
        </is>
      </c>
    </row>
    <row r="94">
      <c r="A94" s="116" t="inlineStr">
        <is>
          <t>Hevea</t>
        </is>
      </c>
      <c r="B94" s="116" t="inlineStr">
        <is>
          <t>sillon-exterior-estilo-urbano-6670-cm</t>
        </is>
      </c>
      <c r="C94" s="116" t="inlineStr">
        <is>
          <t>557-01951</t>
        </is>
      </c>
      <c r="D94" s="116" t="inlineStr">
        <is>
          <t>MANHATAN-1 SILLÓN / ARMCHAIR / FAUTEUIL</t>
        </is>
      </c>
      <c r="E94" s="117" t="inlineStr">
        <is>
          <t>2026-03-06</t>
        </is>
      </c>
      <c r="F94" s="117" t="inlineStr">
        <is>
          <t>2026-05-07</t>
        </is>
      </c>
      <c r="G94" s="136" t="inlineStr">
        <is>
          <t>ACTIVO ⤺</t>
        </is>
      </c>
      <c r="H94" s="118" t="n">
        <v>243</v>
      </c>
      <c r="I94" s="118" t="n">
        <v>385</v>
      </c>
      <c r="J94" s="118" t="n">
        <v>465.85</v>
      </c>
      <c r="K94" s="118" t="n">
        <v>142</v>
      </c>
      <c r="L94" s="119" t="n">
        <v>36.88311688311688</v>
      </c>
      <c r="M94" s="119" t="n">
        <v>58.43621399176955</v>
      </c>
      <c r="N94" s="137" t="n">
        <v>14.62264150943396</v>
      </c>
      <c r="O94" s="137" t="n">
        <v>14.62264150943396</v>
      </c>
      <c r="P94" s="117" t="n">
        <v>1</v>
      </c>
      <c r="Q94" s="132" t="inlineStr">
        <is>
          <t>▁█</t>
        </is>
      </c>
    </row>
    <row r="95">
      <c r="A95" s="122" t="inlineStr">
        <is>
          <t>Hevea</t>
        </is>
      </c>
      <c r="B95" s="138" t="inlineStr">
        <is>
          <t>(no en Shopify)</t>
        </is>
      </c>
      <c r="C95" s="122" t="inlineStr">
        <is>
          <t>557-01951</t>
        </is>
      </c>
      <c r="D95" s="122" t="inlineStr">
        <is>
          <t>MANHATAN-3</t>
        </is>
      </c>
      <c r="E95" s="123" t="inlineStr">
        <is>
          <t>2026-04-17</t>
        </is>
      </c>
      <c r="F95" s="123" t="inlineStr">
        <is>
          <t>2026-04-17</t>
        </is>
      </c>
      <c r="G95" s="139" t="inlineStr">
        <is>
          <t>DESCATALOGADO ⤺</t>
        </is>
      </c>
      <c r="H95" s="124" t="n">
        <v>536</v>
      </c>
      <c r="I95" s="124" t="n">
        <v>385</v>
      </c>
      <c r="J95" s="124" t="n">
        <v>465.85</v>
      </c>
      <c r="K95" s="124" t="n">
        <v>-151</v>
      </c>
      <c r="L95" s="125" t="n">
        <v>-39.22077922077922</v>
      </c>
      <c r="M95" s="125" t="n">
        <v>-28.17164179104478</v>
      </c>
      <c r="N95" s="127" t="n"/>
      <c r="O95" s="127" t="n"/>
      <c r="P95" s="123" t="n">
        <v>0</v>
      </c>
      <c r="Q95" s="135" t="inlineStr"/>
    </row>
    <row r="96">
      <c r="A96" s="116" t="inlineStr">
        <is>
          <t>Hevea</t>
        </is>
      </c>
      <c r="B96" s="116" t="inlineStr">
        <is>
          <t>sofa-terraza-2-plazas-estilo-contemporaneo-13370-cm</t>
        </is>
      </c>
      <c r="C96" s="116" t="inlineStr">
        <is>
          <t>557-01952</t>
        </is>
      </c>
      <c r="D96" s="116" t="inlineStr">
        <is>
          <t>MANHATAN-2 SOFÁ 2 PLAZAS / 2 SEATER SOFA / CANAPÉ 2 PLACES</t>
        </is>
      </c>
      <c r="E96" s="117" t="inlineStr">
        <is>
          <t>2026-03-06</t>
        </is>
      </c>
      <c r="F96" s="117" t="inlineStr">
        <is>
          <t>2026-05-07</t>
        </is>
      </c>
      <c r="G96" s="136" t="inlineStr">
        <is>
          <t>ACTIVO ⤺</t>
        </is>
      </c>
      <c r="H96" s="118" t="n">
        <v>372</v>
      </c>
      <c r="I96" s="118" t="n">
        <v>590</v>
      </c>
      <c r="J96" s="118" t="n">
        <v>713.9</v>
      </c>
      <c r="K96" s="118" t="n">
        <v>218</v>
      </c>
      <c r="L96" s="119" t="n">
        <v>36.94915254237288</v>
      </c>
      <c r="M96" s="119" t="n">
        <v>58.60215053763442</v>
      </c>
      <c r="N96" s="137" t="n">
        <v>14.46153846153846</v>
      </c>
      <c r="O96" s="137" t="n">
        <v>14.46153846153846</v>
      </c>
      <c r="P96" s="117" t="n">
        <v>1</v>
      </c>
      <c r="Q96" s="132" t="inlineStr">
        <is>
          <t>▁█</t>
        </is>
      </c>
    </row>
    <row r="97">
      <c r="A97" s="122" t="inlineStr">
        <is>
          <t>Hevea</t>
        </is>
      </c>
      <c r="B97" s="138" t="inlineStr">
        <is>
          <t>(no en Shopify)</t>
        </is>
      </c>
      <c r="C97" s="122" t="inlineStr">
        <is>
          <t>557-01952</t>
        </is>
      </c>
      <c r="D97" s="122" t="inlineStr">
        <is>
          <t>MANHATAN-7</t>
        </is>
      </c>
      <c r="E97" s="123" t="inlineStr">
        <is>
          <t>2026-04-17</t>
        </is>
      </c>
      <c r="F97" s="123" t="inlineStr">
        <is>
          <t>2026-04-17</t>
        </is>
      </c>
      <c r="G97" s="139" t="inlineStr">
        <is>
          <t>DESCATALOGADO ⤺</t>
        </is>
      </c>
      <c r="H97" s="124" t="n">
        <v>1036</v>
      </c>
      <c r="I97" s="124" t="n">
        <v>590</v>
      </c>
      <c r="J97" s="124" t="n">
        <v>713.9</v>
      </c>
      <c r="K97" s="124" t="n">
        <v>-446</v>
      </c>
      <c r="L97" s="125" t="n">
        <v>-75.59322033898304</v>
      </c>
      <c r="M97" s="125" t="n">
        <v>-43.05019305019304</v>
      </c>
      <c r="N97" s="127" t="n"/>
      <c r="O97" s="127" t="n"/>
      <c r="P97" s="123" t="n">
        <v>0</v>
      </c>
      <c r="Q97" s="135" t="inlineStr"/>
    </row>
    <row r="98">
      <c r="A98" s="116" t="inlineStr">
        <is>
          <t>Hevea</t>
        </is>
      </c>
      <c r="B98" s="116" t="inlineStr">
        <is>
          <t>sofa-terraza-3-plazas-estilo-moderno-18770-cm</t>
        </is>
      </c>
      <c r="C98" s="116" t="inlineStr">
        <is>
          <t>557-01953</t>
        </is>
      </c>
      <c r="D98" s="116" t="inlineStr">
        <is>
          <t>MANHATAN-3 SOFÁ 3 PLAZAS / 3 SEATER SOFA / CANAPÉ 3 PLACES</t>
        </is>
      </c>
      <c r="E98" s="117" t="inlineStr">
        <is>
          <t>2026-03-06</t>
        </is>
      </c>
      <c r="F98" s="117" t="inlineStr">
        <is>
          <t>2026-05-07</t>
        </is>
      </c>
      <c r="G98" s="136" t="inlineStr">
        <is>
          <t>ACTIVO ⤺</t>
        </is>
      </c>
      <c r="H98" s="118" t="n">
        <v>536</v>
      </c>
      <c r="I98" s="118" t="n">
        <v>850</v>
      </c>
      <c r="J98" s="118" t="n">
        <v>1028.5</v>
      </c>
      <c r="K98" s="118" t="n">
        <v>314</v>
      </c>
      <c r="L98" s="119" t="n">
        <v>36.94117647058823</v>
      </c>
      <c r="M98" s="119" t="n">
        <v>58.58208955223881</v>
      </c>
      <c r="N98" s="137" t="n">
        <v>14.52991452991453</v>
      </c>
      <c r="O98" s="137" t="n">
        <v>14.52991452991453</v>
      </c>
      <c r="P98" s="117" t="n">
        <v>1</v>
      </c>
      <c r="Q98" s="132" t="inlineStr">
        <is>
          <t>▁█</t>
        </is>
      </c>
    </row>
    <row r="99">
      <c r="A99" s="122" t="inlineStr">
        <is>
          <t>Hevea</t>
        </is>
      </c>
      <c r="B99" s="138" t="inlineStr">
        <is>
          <t>(no en Shopify)</t>
        </is>
      </c>
      <c r="C99" s="122" t="inlineStr">
        <is>
          <t>557-01953</t>
        </is>
      </c>
      <c r="D99" s="122" t="inlineStr">
        <is>
          <t>MANHATAN-8</t>
        </is>
      </c>
      <c r="E99" s="123" t="inlineStr">
        <is>
          <t>2026-04-17</t>
        </is>
      </c>
      <c r="F99" s="123" t="inlineStr">
        <is>
          <t>2026-04-17</t>
        </is>
      </c>
      <c r="G99" s="139" t="inlineStr">
        <is>
          <t>DESCATALOGADO ⤺</t>
        </is>
      </c>
      <c r="H99" s="124" t="n">
        <v>1251</v>
      </c>
      <c r="I99" s="124" t="n">
        <v>850</v>
      </c>
      <c r="J99" s="124" t="n">
        <v>1028.5</v>
      </c>
      <c r="K99" s="124" t="n">
        <v>-401</v>
      </c>
      <c r="L99" s="125" t="n">
        <v>-47.17647058823529</v>
      </c>
      <c r="M99" s="125" t="n">
        <v>-32.05435651478817</v>
      </c>
      <c r="N99" s="127" t="n"/>
      <c r="O99" s="127" t="n"/>
      <c r="P99" s="123" t="n">
        <v>0</v>
      </c>
      <c r="Q99" s="135" t="inlineStr"/>
    </row>
    <row r="100">
      <c r="A100" s="116" t="inlineStr">
        <is>
          <t>Hevea</t>
        </is>
      </c>
      <c r="B100" s="130" t="inlineStr">
        <is>
          <t>(no en Shopify)</t>
        </is>
      </c>
      <c r="C100" s="116" t="inlineStr">
        <is>
          <t>557-01954</t>
        </is>
      </c>
      <c r="D100" s="116" t="inlineStr">
        <is>
          <t>LOIRA-7</t>
        </is>
      </c>
      <c r="E100" s="117" t="inlineStr">
        <is>
          <t>2026-04-17</t>
        </is>
      </c>
      <c r="F100" s="117" t="inlineStr">
        <is>
          <t>2026-04-17</t>
        </is>
      </c>
      <c r="G100" s="131" t="inlineStr">
        <is>
          <t>DESCATALOGADO ⤺</t>
        </is>
      </c>
      <c r="H100" s="118" t="n">
        <v>1509</v>
      </c>
      <c r="I100" s="118" t="n">
        <v>1645</v>
      </c>
      <c r="J100" s="118" t="n">
        <v>1990.45</v>
      </c>
      <c r="K100" s="118" t="n">
        <v>136</v>
      </c>
      <c r="L100" s="119" t="n">
        <v>8.267477203647417</v>
      </c>
      <c r="M100" s="119" t="n">
        <v>9.012591119946984</v>
      </c>
      <c r="N100" s="121" t="n"/>
      <c r="O100" s="121" t="n"/>
      <c r="P100" s="117" t="n">
        <v>0</v>
      </c>
      <c r="Q100" s="132" t="inlineStr"/>
    </row>
    <row r="101">
      <c r="A101" s="122" t="inlineStr">
        <is>
          <t>Hevea</t>
        </is>
      </c>
      <c r="B101" s="122" t="inlineStr">
        <is>
          <t>set-jardin-2-plazas-contemporaneo-sofa-2-plazas-2-sillones-mesa-3</t>
        </is>
      </c>
      <c r="C101" s="122" t="inlineStr">
        <is>
          <t>557-01954</t>
        </is>
      </c>
      <c r="D101" s="122" t="inlineStr">
        <is>
          <t>MANHATAN-7 SET SOFÁ 2 PLAZAS / 2 SEATER SOFA SET / SET CANAPÉ 2 PLACES</t>
        </is>
      </c>
      <c r="E101" s="123" t="inlineStr">
        <is>
          <t>2026-03-06</t>
        </is>
      </c>
      <c r="F101" s="123" t="inlineStr">
        <is>
          <t>2026-05-07</t>
        </is>
      </c>
      <c r="G101" s="133" t="inlineStr">
        <is>
          <t>ACTIVO ⤺</t>
        </is>
      </c>
      <c r="H101" s="124" t="n">
        <v>1037</v>
      </c>
      <c r="I101" s="124" t="n">
        <v>1645</v>
      </c>
      <c r="J101" s="124" t="n">
        <v>1990.45</v>
      </c>
      <c r="K101" s="124" t="n">
        <v>608</v>
      </c>
      <c r="L101" s="125" t="n">
        <v>36.96048632218845</v>
      </c>
      <c r="M101" s="125" t="n">
        <v>58.63066538090646</v>
      </c>
      <c r="N101" s="134" t="n">
        <v>14.58563535911602</v>
      </c>
      <c r="O101" s="134" t="n">
        <v>14.58563535911602</v>
      </c>
      <c r="P101" s="123" t="n">
        <v>1</v>
      </c>
      <c r="Q101" s="135" t="inlineStr">
        <is>
          <t>▁█</t>
        </is>
      </c>
    </row>
    <row r="102">
      <c r="A102" s="116" t="inlineStr">
        <is>
          <t>Hevea</t>
        </is>
      </c>
      <c r="B102" s="130" t="inlineStr">
        <is>
          <t>(no en Shopify)</t>
        </is>
      </c>
      <c r="C102" s="116" t="inlineStr">
        <is>
          <t>557-01955</t>
        </is>
      </c>
      <c r="D102" s="116" t="inlineStr">
        <is>
          <t>LOIRA-8</t>
        </is>
      </c>
      <c r="E102" s="117" t="inlineStr">
        <is>
          <t>2026-04-17</t>
        </is>
      </c>
      <c r="F102" s="117" t="inlineStr">
        <is>
          <t>2026-04-17</t>
        </is>
      </c>
      <c r="G102" s="131" t="inlineStr">
        <is>
          <t>DESCATALOGADO ⤺</t>
        </is>
      </c>
      <c r="H102" s="118" t="n">
        <v>1975</v>
      </c>
      <c r="I102" s="118" t="n">
        <v>1985</v>
      </c>
      <c r="J102" s="118" t="n">
        <v>2401.85</v>
      </c>
      <c r="K102" s="118" t="n">
        <v>10</v>
      </c>
      <c r="L102" s="119" t="n">
        <v>0.5037783375314862</v>
      </c>
      <c r="M102" s="119" t="n">
        <v>0.5063291139240507</v>
      </c>
      <c r="N102" s="121" t="n"/>
      <c r="O102" s="121" t="n"/>
      <c r="P102" s="117" t="n">
        <v>0</v>
      </c>
      <c r="Q102" s="132" t="inlineStr"/>
    </row>
    <row r="103">
      <c r="A103" s="122" t="inlineStr">
        <is>
          <t>Hevea</t>
        </is>
      </c>
      <c r="B103" s="122" t="inlineStr">
        <is>
          <t>set-jardin-3-plazas-urbano-sofa-3-plazas-2-sillones-mesa</t>
        </is>
      </c>
      <c r="C103" s="122" t="inlineStr">
        <is>
          <t>557-01955</t>
        </is>
      </c>
      <c r="D103" s="122" t="inlineStr">
        <is>
          <t>MANHATAN-8 SET SOFÁ 3 PLAZAS / 3 SEATER SOFA SET / SET CANAPÉ 3 PLACES</t>
        </is>
      </c>
      <c r="E103" s="123" t="inlineStr">
        <is>
          <t>2026-03-06</t>
        </is>
      </c>
      <c r="F103" s="123" t="inlineStr">
        <is>
          <t>2026-05-07</t>
        </is>
      </c>
      <c r="G103" s="133" t="inlineStr">
        <is>
          <t>ACTIVO ⤺</t>
        </is>
      </c>
      <c r="H103" s="124" t="n">
        <v>1251</v>
      </c>
      <c r="I103" s="124" t="n">
        <v>1985</v>
      </c>
      <c r="J103" s="124" t="n">
        <v>2401.85</v>
      </c>
      <c r="K103" s="124" t="n">
        <v>734</v>
      </c>
      <c r="L103" s="125" t="n">
        <v>36.97732997481108</v>
      </c>
      <c r="M103" s="125" t="n">
        <v>58.6730615507594</v>
      </c>
      <c r="N103" s="134" t="n">
        <v>14.56043956043956</v>
      </c>
      <c r="O103" s="134" t="n">
        <v>14.56043956043956</v>
      </c>
      <c r="P103" s="123" t="n">
        <v>1</v>
      </c>
      <c r="Q103" s="135" t="inlineStr">
        <is>
          <t>▁█</t>
        </is>
      </c>
    </row>
    <row r="104">
      <c r="A104" s="116" t="inlineStr">
        <is>
          <t>Hevea</t>
        </is>
      </c>
      <c r="B104" s="116" t="inlineStr">
        <is>
          <t>set-jardin-2-plazas-elegante-sofa-2-plazas-2-sillones-mesa-5</t>
        </is>
      </c>
      <c r="C104" s="116" t="inlineStr">
        <is>
          <t>557-0793</t>
        </is>
      </c>
      <c r="D104" s="116" t="inlineStr">
        <is>
          <t>BOLONIA XL-7 SET SOFA 2 PLAZAS/SOFA/CANAPÉ</t>
        </is>
      </c>
      <c r="E104" s="117" t="inlineStr">
        <is>
          <t>2026-03-06</t>
        </is>
      </c>
      <c r="F104" s="117" t="inlineStr">
        <is>
          <t>2026-05-07</t>
        </is>
      </c>
      <c r="G104" s="140" t="inlineStr">
        <is>
          <t>ACTIVO</t>
        </is>
      </c>
      <c r="H104" s="118" t="n">
        <v>2174</v>
      </c>
      <c r="I104" s="118" t="n">
        <v>3450</v>
      </c>
      <c r="J104" s="118" t="n">
        <v>4174.5</v>
      </c>
      <c r="K104" s="118" t="n">
        <v>1276</v>
      </c>
      <c r="L104" s="119" t="n">
        <v>36.98550724637681</v>
      </c>
      <c r="M104" s="119" t="n">
        <v>58.69365225390985</v>
      </c>
      <c r="N104" s="121" t="n">
        <v>0</v>
      </c>
      <c r="O104" s="137" t="n">
        <v>14.54162276080084</v>
      </c>
      <c r="P104" s="117" t="n">
        <v>1</v>
      </c>
      <c r="Q104" s="132" t="inlineStr">
        <is>
          <t>▁██</t>
        </is>
      </c>
    </row>
    <row r="105">
      <c r="A105" s="122" t="inlineStr">
        <is>
          <t>Hevea</t>
        </is>
      </c>
      <c r="B105" s="122" t="inlineStr">
        <is>
          <t>sillon-exterior-estilo-contemporaneo-68115-cm</t>
        </is>
      </c>
      <c r="C105" s="122" t="inlineStr">
        <is>
          <t>557-0794</t>
        </is>
      </c>
      <c r="D105" s="122" t="inlineStr">
        <is>
          <t>HASTON-1 SILLÓN / ARMCHAIR / FAUTEUIL</t>
        </is>
      </c>
      <c r="E105" s="123" t="inlineStr">
        <is>
          <t>2026-03-06</t>
        </is>
      </c>
      <c r="F105" s="123" t="inlineStr">
        <is>
          <t>2026-05-07</t>
        </is>
      </c>
      <c r="G105" s="141" t="inlineStr">
        <is>
          <t>ACTIVO</t>
        </is>
      </c>
      <c r="H105" s="124" t="n">
        <v>290</v>
      </c>
      <c r="I105" s="124" t="n">
        <v>460</v>
      </c>
      <c r="J105" s="124" t="n">
        <v>556.6</v>
      </c>
      <c r="K105" s="124" t="n">
        <v>170</v>
      </c>
      <c r="L105" s="125" t="n">
        <v>36.95652173913043</v>
      </c>
      <c r="M105" s="125" t="n">
        <v>58.62068965517241</v>
      </c>
      <c r="N105" s="127" t="n">
        <v>0</v>
      </c>
      <c r="O105" s="134" t="n">
        <v>14.62450592885375</v>
      </c>
      <c r="P105" s="123" t="n">
        <v>1</v>
      </c>
      <c r="Q105" s="135" t="inlineStr">
        <is>
          <t>▁██</t>
        </is>
      </c>
    </row>
    <row r="106">
      <c r="A106" s="116" t="inlineStr">
        <is>
          <t>Hevea</t>
        </is>
      </c>
      <c r="B106" s="116" t="inlineStr">
        <is>
          <t>sofa-terraza-2-plazas-estilo-moderno-128115-cm</t>
        </is>
      </c>
      <c r="C106" s="116" t="inlineStr">
        <is>
          <t>557-0795</t>
        </is>
      </c>
      <c r="D106" s="116" t="inlineStr">
        <is>
          <t>HASTON-2 SOFÁ 2 PLAZAS / 2 SEATER SOFA / CANAPÉ 2 PLACES</t>
        </is>
      </c>
      <c r="E106" s="117" t="inlineStr">
        <is>
          <t>2026-03-06</t>
        </is>
      </c>
      <c r="F106" s="117" t="inlineStr">
        <is>
          <t>2026-05-07</t>
        </is>
      </c>
      <c r="G106" s="140" t="inlineStr">
        <is>
          <t>ACTIVO</t>
        </is>
      </c>
      <c r="H106" s="118" t="n">
        <v>473</v>
      </c>
      <c r="I106" s="118" t="n">
        <v>750</v>
      </c>
      <c r="J106" s="118" t="n">
        <v>907.5</v>
      </c>
      <c r="K106" s="118" t="n">
        <v>277</v>
      </c>
      <c r="L106" s="119" t="n">
        <v>36.93333333333334</v>
      </c>
      <c r="M106" s="119" t="n">
        <v>58.56236786469344</v>
      </c>
      <c r="N106" s="121" t="n">
        <v>0</v>
      </c>
      <c r="O106" s="137" t="n">
        <v>14.52784503631961</v>
      </c>
      <c r="P106" s="117" t="n">
        <v>1</v>
      </c>
      <c r="Q106" s="132" t="inlineStr">
        <is>
          <t>▁██</t>
        </is>
      </c>
    </row>
    <row r="107">
      <c r="A107" s="122" t="inlineStr">
        <is>
          <t>Hevea</t>
        </is>
      </c>
      <c r="B107" s="122" t="inlineStr">
        <is>
          <t>sofa-terraza-3-plazas-estilo-contemporaneo-188115-cm</t>
        </is>
      </c>
      <c r="C107" s="122" t="inlineStr">
        <is>
          <t>557-0796</t>
        </is>
      </c>
      <c r="D107" s="122" t="inlineStr">
        <is>
          <t>HASTON-3 SOFÁ 3 PLAZAS / 3 SEATER SOFA / CANAPÉ 3 PLACES</t>
        </is>
      </c>
      <c r="E107" s="123" t="inlineStr">
        <is>
          <t>2026-03-06</t>
        </is>
      </c>
      <c r="F107" s="123" t="inlineStr">
        <is>
          <t>2026-05-07</t>
        </is>
      </c>
      <c r="G107" s="141" t="inlineStr">
        <is>
          <t>ACTIVO</t>
        </is>
      </c>
      <c r="H107" s="124" t="n">
        <v>624</v>
      </c>
      <c r="I107" s="124" t="n">
        <v>990</v>
      </c>
      <c r="J107" s="124" t="n">
        <v>1197.9</v>
      </c>
      <c r="K107" s="124" t="n">
        <v>366</v>
      </c>
      <c r="L107" s="125" t="n">
        <v>36.96969696969697</v>
      </c>
      <c r="M107" s="125" t="n">
        <v>58.65384615384615</v>
      </c>
      <c r="N107" s="127" t="n">
        <v>0</v>
      </c>
      <c r="O107" s="134" t="n">
        <v>14.4954128440367</v>
      </c>
      <c r="P107" s="123" t="n">
        <v>1</v>
      </c>
      <c r="Q107" s="135" t="inlineStr">
        <is>
          <t>▁██</t>
        </is>
      </c>
    </row>
    <row r="108">
      <c r="A108" s="116" t="inlineStr">
        <is>
          <t>Hevea</t>
        </is>
      </c>
      <c r="B108" s="116" t="inlineStr">
        <is>
          <t>set-jardin-2-plazas-moderno-sofa-2-plazas-2-sillones-mesa-3</t>
        </is>
      </c>
      <c r="C108" s="116" t="inlineStr">
        <is>
          <t>557-0798</t>
        </is>
      </c>
      <c r="D108" s="116" t="inlineStr">
        <is>
          <t>HASTON-7 SET SOFÁ 2 PLAZAS / 2 SEATER SOFA SET / SET CANAPÉ 2 PLACES</t>
        </is>
      </c>
      <c r="E108" s="117" t="inlineStr">
        <is>
          <t>2026-03-06</t>
        </is>
      </c>
      <c r="F108" s="117" t="inlineStr">
        <is>
          <t>2026-05-07</t>
        </is>
      </c>
      <c r="G108" s="140" t="inlineStr">
        <is>
          <t>ACTIVO</t>
        </is>
      </c>
      <c r="H108" s="118" t="n">
        <v>1226</v>
      </c>
      <c r="I108" s="118" t="n">
        <v>1945</v>
      </c>
      <c r="J108" s="118" t="n">
        <v>2353.45</v>
      </c>
      <c r="K108" s="118" t="n">
        <v>719</v>
      </c>
      <c r="L108" s="119" t="n">
        <v>36.96658097686375</v>
      </c>
      <c r="M108" s="119" t="n">
        <v>58.64600326264274</v>
      </c>
      <c r="N108" s="121" t="n">
        <v>0.0816326530612245</v>
      </c>
      <c r="O108" s="137" t="n">
        <v>14.57943925233645</v>
      </c>
      <c r="P108" s="117" t="n">
        <v>2</v>
      </c>
      <c r="Q108" s="132" t="inlineStr">
        <is>
          <t>▁▇█</t>
        </is>
      </c>
    </row>
    <row r="109">
      <c r="A109" s="122" t="inlineStr">
        <is>
          <t>Hevea</t>
        </is>
      </c>
      <c r="B109" s="122" t="inlineStr">
        <is>
          <t>set-jardin-3-plazas-contemporaneo-sofa-3-plazas-2-sillones-mesa-4</t>
        </is>
      </c>
      <c r="C109" s="122" t="inlineStr">
        <is>
          <t>557-0799</t>
        </is>
      </c>
      <c r="D109" s="122" t="inlineStr">
        <is>
          <t>HASTON-8 SET SOFÁ 3 PLAZAS / 3 SEATER SOFA SET / SET CANAPÉ 3 PLACES</t>
        </is>
      </c>
      <c r="E109" s="123" t="inlineStr">
        <is>
          <t>2026-03-06</t>
        </is>
      </c>
      <c r="F109" s="123" t="inlineStr">
        <is>
          <t>2026-05-07</t>
        </is>
      </c>
      <c r="G109" s="141" t="inlineStr">
        <is>
          <t>ACTIVO</t>
        </is>
      </c>
      <c r="H109" s="124" t="n">
        <v>1434</v>
      </c>
      <c r="I109" s="124" t="n">
        <v>2275</v>
      </c>
      <c r="J109" s="124" t="n">
        <v>2752.75</v>
      </c>
      <c r="K109" s="124" t="n">
        <v>841</v>
      </c>
      <c r="L109" s="125" t="n">
        <v>36.96703296703296</v>
      </c>
      <c r="M109" s="125" t="n">
        <v>58.64714086471409</v>
      </c>
      <c r="N109" s="127" t="n">
        <v>0.06978367062107467</v>
      </c>
      <c r="O109" s="134" t="n">
        <v>14.53674121405751</v>
      </c>
      <c r="P109" s="123" t="n">
        <v>2</v>
      </c>
      <c r="Q109" s="135" t="inlineStr">
        <is>
          <t>▁▇█</t>
        </is>
      </c>
    </row>
    <row r="110">
      <c r="A110" s="116" t="inlineStr">
        <is>
          <t>Hevea</t>
        </is>
      </c>
      <c r="B110" s="130" t="inlineStr">
        <is>
          <t>(no en Shopify)</t>
        </is>
      </c>
      <c r="C110" s="116" t="inlineStr">
        <is>
          <t>557-0919</t>
        </is>
      </c>
      <c r="D110" s="116" t="inlineStr">
        <is>
          <t>MANHATAN-2</t>
        </is>
      </c>
      <c r="E110" s="117" t="inlineStr">
        <is>
          <t>2026-04-17</t>
        </is>
      </c>
      <c r="F110" s="117" t="inlineStr">
        <is>
          <t>2026-04-17</t>
        </is>
      </c>
      <c r="G110" s="131" t="inlineStr">
        <is>
          <t>DESCATALOGADO ⤺</t>
        </is>
      </c>
      <c r="H110" s="118" t="n">
        <v>372</v>
      </c>
      <c r="I110" s="118" t="n">
        <v>1690</v>
      </c>
      <c r="J110" s="118" t="n">
        <v>2044.9</v>
      </c>
      <c r="K110" s="118" t="n">
        <v>1318</v>
      </c>
      <c r="L110" s="119" t="n">
        <v>77.98816568047337</v>
      </c>
      <c r="M110" s="119" t="n">
        <v>354.3010752688172</v>
      </c>
      <c r="N110" s="121" t="n"/>
      <c r="O110" s="121" t="n"/>
      <c r="P110" s="117" t="n">
        <v>0</v>
      </c>
      <c r="Q110" s="132" t="inlineStr"/>
    </row>
    <row r="111">
      <c r="A111" s="122" t="inlineStr">
        <is>
          <t>Hevea</t>
        </is>
      </c>
      <c r="B111" s="122" t="inlineStr">
        <is>
          <t>pergola-aluminio-para-jardin-300300250-cm</t>
        </is>
      </c>
      <c r="C111" s="122" t="inlineStr">
        <is>
          <t>557-0919</t>
        </is>
      </c>
      <c r="D111" s="122" t="inlineStr">
        <is>
          <t>PÉRGOLA VENECIA / VENECIA PERGOLA / PERGOLA VENECIA</t>
        </is>
      </c>
      <c r="E111" s="123" t="inlineStr">
        <is>
          <t>2026-03-06</t>
        </is>
      </c>
      <c r="F111" s="123" t="inlineStr">
        <is>
          <t>2026-05-07</t>
        </is>
      </c>
      <c r="G111" s="133" t="inlineStr">
        <is>
          <t>ACTIVO ⤺</t>
        </is>
      </c>
      <c r="H111" s="124" t="n">
        <v>1065</v>
      </c>
      <c r="I111" s="124" t="n">
        <v>1690</v>
      </c>
      <c r="J111" s="124" t="n">
        <v>2044.9</v>
      </c>
      <c r="K111" s="124" t="n">
        <v>625</v>
      </c>
      <c r="L111" s="125" t="n">
        <v>36.98224852071006</v>
      </c>
      <c r="M111" s="125" t="n">
        <v>58.68544600938967</v>
      </c>
      <c r="N111" s="134" t="n">
        <v>14.51612903225807</v>
      </c>
      <c r="O111" s="134" t="n">
        <v>14.51612903225807</v>
      </c>
      <c r="P111" s="123" t="n">
        <v>1</v>
      </c>
      <c r="Q111" s="135" t="inlineStr">
        <is>
          <t>▁█</t>
        </is>
      </c>
    </row>
    <row r="112">
      <c r="A112" s="116" t="inlineStr">
        <is>
          <t>Hevea</t>
        </is>
      </c>
      <c r="B112" s="116" t="inlineStr">
        <is>
          <t>mesa-de-centro-exterior-90-cm-altura-40-cm-2</t>
        </is>
      </c>
      <c r="C112" s="116" t="inlineStr">
        <is>
          <t>557-1070</t>
        </is>
      </c>
      <c r="D112" s="116" t="inlineStr">
        <is>
          <t>MESA CENTRO 90</t>
        </is>
      </c>
      <c r="E112" s="117" t="inlineStr">
        <is>
          <t>2026-03-06</t>
        </is>
      </c>
      <c r="F112" s="117" t="inlineStr">
        <is>
          <t>2026-05-07</t>
        </is>
      </c>
      <c r="G112" s="140" t="inlineStr">
        <is>
          <t>ACTIVO</t>
        </is>
      </c>
      <c r="H112" s="118" t="n">
        <v>174</v>
      </c>
      <c r="I112" s="118" t="n">
        <v>275</v>
      </c>
      <c r="J112" s="118" t="n">
        <v>332.75</v>
      </c>
      <c r="K112" s="118" t="n">
        <v>101</v>
      </c>
      <c r="L112" s="119" t="n">
        <v>36.72727272727273</v>
      </c>
      <c r="M112" s="119" t="n">
        <v>58.04597701149425</v>
      </c>
      <c r="N112" s="137" t="n">
        <v>0.5780346820809248</v>
      </c>
      <c r="O112" s="137" t="n">
        <v>14.47368421052632</v>
      </c>
      <c r="P112" s="117" t="n">
        <v>2</v>
      </c>
      <c r="Q112" s="132" t="inlineStr">
        <is>
          <t>▁▇█</t>
        </is>
      </c>
    </row>
    <row r="113">
      <c r="A113" s="122" t="inlineStr">
        <is>
          <t>Hevea</t>
        </is>
      </c>
      <c r="B113" s="122" t="inlineStr">
        <is>
          <t>mesa-de-centro-exterior-90-cm-altura-40-cm</t>
        </is>
      </c>
      <c r="C113" s="122" t="inlineStr">
        <is>
          <t>557-1071</t>
        </is>
      </c>
      <c r="D113" s="122" t="inlineStr">
        <is>
          <t>UNIVERSAL-80 MESA CENTRO/COFFEE TABLE</t>
        </is>
      </c>
      <c r="E113" s="123" t="inlineStr">
        <is>
          <t>2026-03-06</t>
        </is>
      </c>
      <c r="F113" s="123" t="inlineStr">
        <is>
          <t>2026-05-07</t>
        </is>
      </c>
      <c r="G113" s="141" t="inlineStr">
        <is>
          <t>ACTIVO</t>
        </is>
      </c>
      <c r="H113" s="124" t="n">
        <v>177</v>
      </c>
      <c r="I113" s="124" t="n">
        <v>280</v>
      </c>
      <c r="J113" s="124" t="n">
        <v>338.8</v>
      </c>
      <c r="K113" s="124" t="n">
        <v>103</v>
      </c>
      <c r="L113" s="125" t="n">
        <v>36.78571428571429</v>
      </c>
      <c r="M113" s="125" t="n">
        <v>58.19209039548022</v>
      </c>
      <c r="N113" s="134" t="n">
        <v>0.5681818181818182</v>
      </c>
      <c r="O113" s="134" t="n">
        <v>14.93506493506493</v>
      </c>
      <c r="P113" s="123" t="n">
        <v>2</v>
      </c>
      <c r="Q113" s="135" t="inlineStr">
        <is>
          <t>▁▇█</t>
        </is>
      </c>
    </row>
    <row r="114">
      <c r="A114" s="116" t="inlineStr">
        <is>
          <t>Hevea</t>
        </is>
      </c>
      <c r="B114" s="116" t="inlineStr">
        <is>
          <t>sillon-exterior-estilo-envolvente-7582-cm</t>
        </is>
      </c>
      <c r="C114" s="116" t="inlineStr">
        <is>
          <t>557-1089</t>
        </is>
      </c>
      <c r="D114" s="116" t="inlineStr">
        <is>
          <t>BELLAGIO-1 SILLÓN/ARMCHAIR/FAUTEUIL</t>
        </is>
      </c>
      <c r="E114" s="117" t="inlineStr">
        <is>
          <t>2026-03-06</t>
        </is>
      </c>
      <c r="F114" s="117" t="inlineStr">
        <is>
          <t>2026-05-07</t>
        </is>
      </c>
      <c r="G114" s="140" t="inlineStr">
        <is>
          <t>ACTIVO</t>
        </is>
      </c>
      <c r="H114" s="118" t="n">
        <v>413</v>
      </c>
      <c r="I114" s="118" t="n">
        <v>655</v>
      </c>
      <c r="J114" s="118" t="n">
        <v>792.55</v>
      </c>
      <c r="K114" s="118" t="n">
        <v>242</v>
      </c>
      <c r="L114" s="119" t="n">
        <v>36.94656488549619</v>
      </c>
      <c r="M114" s="119" t="n">
        <v>58.59564164648911</v>
      </c>
      <c r="N114" s="121" t="n">
        <v>0</v>
      </c>
      <c r="O114" s="137" t="n">
        <v>14.40443213296399</v>
      </c>
      <c r="P114" s="117" t="n">
        <v>1</v>
      </c>
      <c r="Q114" s="132" t="inlineStr">
        <is>
          <t>▁██</t>
        </is>
      </c>
    </row>
    <row r="115">
      <c r="A115" s="122" t="inlineStr">
        <is>
          <t>Hevea</t>
        </is>
      </c>
      <c r="B115" s="122" t="inlineStr">
        <is>
          <t>sofa-terraza-3-plazas-estilo-contemporaneo-19882-cm</t>
        </is>
      </c>
      <c r="C115" s="122" t="inlineStr">
        <is>
          <t>557-1090</t>
        </is>
      </c>
      <c r="D115" s="122" t="inlineStr">
        <is>
          <t>BELLAGIO-3 SOFA 3 PLAZAS/SOFA/CANAPÉ</t>
        </is>
      </c>
      <c r="E115" s="123" t="inlineStr">
        <is>
          <t>2026-03-06</t>
        </is>
      </c>
      <c r="F115" s="123" t="inlineStr">
        <is>
          <t>2026-05-07</t>
        </is>
      </c>
      <c r="G115" s="141" t="inlineStr">
        <is>
          <t>ACTIVO</t>
        </is>
      </c>
      <c r="H115" s="124" t="n">
        <v>775</v>
      </c>
      <c r="I115" s="124" t="n">
        <v>1230</v>
      </c>
      <c r="J115" s="124" t="n">
        <v>1488.3</v>
      </c>
      <c r="K115" s="124" t="n">
        <v>455</v>
      </c>
      <c r="L115" s="125" t="n">
        <v>36.99186991869919</v>
      </c>
      <c r="M115" s="125" t="n">
        <v>58.70967741935483</v>
      </c>
      <c r="N115" s="127" t="n">
        <v>0</v>
      </c>
      <c r="O115" s="134" t="n">
        <v>14.47562776957164</v>
      </c>
      <c r="P115" s="123" t="n">
        <v>1</v>
      </c>
      <c r="Q115" s="135" t="inlineStr">
        <is>
          <t>▁██</t>
        </is>
      </c>
    </row>
    <row r="116">
      <c r="A116" s="116" t="inlineStr">
        <is>
          <t>Hevea</t>
        </is>
      </c>
      <c r="B116" s="116" t="inlineStr">
        <is>
          <t>sofa-terraza-2-plazas-estilo-contemporaneo-15082-cm</t>
        </is>
      </c>
      <c r="C116" s="116" t="inlineStr">
        <is>
          <t>557-1091</t>
        </is>
      </c>
      <c r="D116" s="116" t="inlineStr">
        <is>
          <t>BELLAGIO-2 SOFA 2 PLAZAS/SOFA/CANAPÉ</t>
        </is>
      </c>
      <c r="E116" s="117" t="inlineStr">
        <is>
          <t>2026-03-06</t>
        </is>
      </c>
      <c r="F116" s="117" t="inlineStr">
        <is>
          <t>2026-05-07</t>
        </is>
      </c>
      <c r="G116" s="140" t="inlineStr">
        <is>
          <t>ACTIVO</t>
        </is>
      </c>
      <c r="H116" s="118" t="n">
        <v>549</v>
      </c>
      <c r="I116" s="118" t="n">
        <v>870</v>
      </c>
      <c r="J116" s="118" t="n">
        <v>1052.7</v>
      </c>
      <c r="K116" s="118" t="n">
        <v>321</v>
      </c>
      <c r="L116" s="119" t="n">
        <v>36.89655172413794</v>
      </c>
      <c r="M116" s="119" t="n">
        <v>58.46994535519126</v>
      </c>
      <c r="N116" s="121" t="n">
        <v>0.1824817518248175</v>
      </c>
      <c r="O116" s="137" t="n">
        <v>14.61377870563674</v>
      </c>
      <c r="P116" s="117" t="n">
        <v>2</v>
      </c>
      <c r="Q116" s="132" t="inlineStr">
        <is>
          <t>▁▇█</t>
        </is>
      </c>
    </row>
    <row r="117">
      <c r="A117" s="122" t="inlineStr">
        <is>
          <t>Hevea</t>
        </is>
      </c>
      <c r="B117" s="122" t="inlineStr">
        <is>
          <t>mesa-de-centro-exterior-125-cm-altura-38-cm</t>
        </is>
      </c>
      <c r="C117" s="122" t="inlineStr">
        <is>
          <t>557-1092</t>
        </is>
      </c>
      <c r="D117" s="122" t="inlineStr">
        <is>
          <t>BELLAGIO-4 MESA CENTRO 125</t>
        </is>
      </c>
      <c r="E117" s="123" t="inlineStr">
        <is>
          <t>2026-03-06</t>
        </is>
      </c>
      <c r="F117" s="123" t="inlineStr">
        <is>
          <t>2026-05-07</t>
        </is>
      </c>
      <c r="G117" s="141" t="inlineStr">
        <is>
          <t>ACTIVO</t>
        </is>
      </c>
      <c r="H117" s="124" t="n">
        <v>196</v>
      </c>
      <c r="I117" s="124" t="n">
        <v>310</v>
      </c>
      <c r="J117" s="124" t="n">
        <v>375.1</v>
      </c>
      <c r="K117" s="124" t="n">
        <v>114</v>
      </c>
      <c r="L117" s="125" t="n">
        <v>36.7741935483871</v>
      </c>
      <c r="M117" s="125" t="n">
        <v>58.16326530612245</v>
      </c>
      <c r="N117" s="134" t="n">
        <v>0.5128205128205128</v>
      </c>
      <c r="O117" s="134" t="n">
        <v>14.61988304093567</v>
      </c>
      <c r="P117" s="123" t="n">
        <v>2</v>
      </c>
      <c r="Q117" s="135" t="inlineStr">
        <is>
          <t>▁▇█</t>
        </is>
      </c>
    </row>
    <row r="118">
      <c r="A118" s="116" t="inlineStr">
        <is>
          <t>Hevea</t>
        </is>
      </c>
      <c r="B118" s="116" t="inlineStr">
        <is>
          <t>set-jardin-2-plazas-elegante-sofa-2-plazas-2-sillones-mesa-3</t>
        </is>
      </c>
      <c r="C118" s="116" t="inlineStr">
        <is>
          <t>557-1094</t>
        </is>
      </c>
      <c r="D118" s="116" t="inlineStr">
        <is>
          <t>BELLAGIO-7 SET SOFÁ 2 PLAZAS / 2 SEATER SOFA SET / SET CANAPÉ 2 PLACES</t>
        </is>
      </c>
      <c r="E118" s="117" t="inlineStr">
        <is>
          <t>2026-03-06</t>
        </is>
      </c>
      <c r="F118" s="117" t="inlineStr">
        <is>
          <t>2026-05-07</t>
        </is>
      </c>
      <c r="G118" s="140" t="inlineStr">
        <is>
          <t>ACTIVO</t>
        </is>
      </c>
      <c r="H118" s="118" t="n">
        <v>1569</v>
      </c>
      <c r="I118" s="118" t="n">
        <v>2490</v>
      </c>
      <c r="J118" s="118" t="n">
        <v>3012.9</v>
      </c>
      <c r="K118" s="118" t="n">
        <v>921</v>
      </c>
      <c r="L118" s="119" t="n">
        <v>36.98795180722891</v>
      </c>
      <c r="M118" s="119" t="n">
        <v>58.69980879541109</v>
      </c>
      <c r="N118" s="121" t="n">
        <v>0</v>
      </c>
      <c r="O118" s="137" t="n">
        <v>14.52554744525547</v>
      </c>
      <c r="P118" s="117" t="n">
        <v>1</v>
      </c>
      <c r="Q118" s="132" t="inlineStr">
        <is>
          <t>▁██</t>
        </is>
      </c>
    </row>
    <row r="119">
      <c r="A119" s="122" t="inlineStr">
        <is>
          <t>Hevea</t>
        </is>
      </c>
      <c r="B119" s="122" t="inlineStr">
        <is>
          <t>set-jardin-3-plazas-sofisticado-sofa-3-plazas-2-sillones-mesa-3</t>
        </is>
      </c>
      <c r="C119" s="122" t="inlineStr">
        <is>
          <t>557-1095</t>
        </is>
      </c>
      <c r="D119" s="122" t="inlineStr">
        <is>
          <t>BELLAGIO-8 SET SOFÁ 3 PLAZAS / 3 SEATER SOFA SET / SET CANAPÉ 3 PLACES</t>
        </is>
      </c>
      <c r="E119" s="123" t="inlineStr">
        <is>
          <t>2026-03-06</t>
        </is>
      </c>
      <c r="F119" s="123" t="inlineStr">
        <is>
          <t>2026-05-07</t>
        </is>
      </c>
      <c r="G119" s="141" t="inlineStr">
        <is>
          <t>ACTIVO</t>
        </is>
      </c>
      <c r="H119" s="124" t="n">
        <v>1796</v>
      </c>
      <c r="I119" s="124" t="n">
        <v>2850</v>
      </c>
      <c r="J119" s="124" t="n">
        <v>3448.5</v>
      </c>
      <c r="K119" s="124" t="n">
        <v>1054</v>
      </c>
      <c r="L119" s="125" t="n">
        <v>36.98245614035088</v>
      </c>
      <c r="M119" s="125" t="n">
        <v>58.68596881959911</v>
      </c>
      <c r="N119" s="127" t="n">
        <v>0</v>
      </c>
      <c r="O119" s="134" t="n">
        <v>14.54081632653061</v>
      </c>
      <c r="P119" s="123" t="n">
        <v>1</v>
      </c>
      <c r="Q119" s="135" t="inlineStr">
        <is>
          <t>▁██</t>
        </is>
      </c>
    </row>
    <row r="120">
      <c r="A120" s="116" t="inlineStr">
        <is>
          <t>Hevea</t>
        </is>
      </c>
      <c r="B120" s="116" t="inlineStr">
        <is>
          <t>set-rinconera-exterior-contemporaneo-sofa-de-esquina-mesa-de-centro</t>
        </is>
      </c>
      <c r="C120" s="116" t="inlineStr">
        <is>
          <t>557-1164</t>
        </is>
      </c>
      <c r="D120" s="116" t="inlineStr">
        <is>
          <t>ADEL-7 SET SOFÁ RINCONERA / CORNER SOFA SET / SET CANAPÉ D’ANGLE</t>
        </is>
      </c>
      <c r="E120" s="117" t="inlineStr">
        <is>
          <t>2026-03-06</t>
        </is>
      </c>
      <c r="F120" s="117" t="inlineStr">
        <is>
          <t>2026-05-07</t>
        </is>
      </c>
      <c r="G120" s="136" t="inlineStr">
        <is>
          <t>ACTIVO ⤺</t>
        </is>
      </c>
      <c r="H120" s="118" t="n">
        <v>1342</v>
      </c>
      <c r="I120" s="118" t="n">
        <v>2130</v>
      </c>
      <c r="J120" s="118" t="n">
        <v>2577.3</v>
      </c>
      <c r="K120" s="118" t="n">
        <v>788</v>
      </c>
      <c r="L120" s="119" t="n">
        <v>36.99530516431925</v>
      </c>
      <c r="M120" s="119" t="n">
        <v>58.71833084947839</v>
      </c>
      <c r="N120" s="137" t="n">
        <v>14.50511945392491</v>
      </c>
      <c r="O120" s="137" t="n">
        <v>14.50511945392491</v>
      </c>
      <c r="P120" s="117" t="n">
        <v>1</v>
      </c>
      <c r="Q120" s="132" t="inlineStr">
        <is>
          <t>▁█</t>
        </is>
      </c>
    </row>
    <row r="121">
      <c r="A121" s="122" t="inlineStr">
        <is>
          <t>Hevea</t>
        </is>
      </c>
      <c r="B121" s="138" t="inlineStr">
        <is>
          <t>(no en Shopify)</t>
        </is>
      </c>
      <c r="C121" s="122" t="inlineStr">
        <is>
          <t>557-1164</t>
        </is>
      </c>
      <c r="D121" s="122" t="inlineStr">
        <is>
          <t>CORCEGA-135x90</t>
        </is>
      </c>
      <c r="E121" s="123" t="inlineStr">
        <is>
          <t>2026-04-17</t>
        </is>
      </c>
      <c r="F121" s="123" t="inlineStr">
        <is>
          <t>2026-04-17</t>
        </is>
      </c>
      <c r="G121" s="139" t="inlineStr">
        <is>
          <t>DESCATALOGADO ⤺</t>
        </is>
      </c>
      <c r="H121" s="124" t="n">
        <v>343</v>
      </c>
      <c r="I121" s="124" t="n">
        <v>2130</v>
      </c>
      <c r="J121" s="124" t="n">
        <v>2577.3</v>
      </c>
      <c r="K121" s="124" t="n">
        <v>1787</v>
      </c>
      <c r="L121" s="125" t="n">
        <v>83.89671361502347</v>
      </c>
      <c r="M121" s="125" t="n">
        <v>520.9912536443148</v>
      </c>
      <c r="N121" s="127" t="n"/>
      <c r="O121" s="127" t="n"/>
      <c r="P121" s="123" t="n">
        <v>0</v>
      </c>
      <c r="Q121" s="135" t="inlineStr"/>
    </row>
    <row r="122">
      <c r="A122" s="116" t="inlineStr">
        <is>
          <t>Hevea</t>
        </is>
      </c>
      <c r="B122" s="116" t="inlineStr">
        <is>
          <t>mesa-de-centro-exterior-120-cm-altura-40-cm-2</t>
        </is>
      </c>
      <c r="C122" s="116" t="inlineStr">
        <is>
          <t>557-1563</t>
        </is>
      </c>
      <c r="D122" s="116" t="inlineStr">
        <is>
          <t>MESA CENTRO 120</t>
        </is>
      </c>
      <c r="E122" s="117" t="inlineStr">
        <is>
          <t>2026-03-06</t>
        </is>
      </c>
      <c r="F122" s="117" t="inlineStr">
        <is>
          <t>2026-05-07</t>
        </is>
      </c>
      <c r="G122" s="136" t="inlineStr">
        <is>
          <t>ACTIVO ⚠ ⤺</t>
        </is>
      </c>
      <c r="H122" s="118" t="n">
        <v>230</v>
      </c>
      <c r="I122" s="118" t="n">
        <v>365</v>
      </c>
      <c r="J122" s="118" t="n">
        <v>441.65</v>
      </c>
      <c r="K122" s="118" t="n">
        <v>135</v>
      </c>
      <c r="L122" s="119" t="n">
        <v>36.98630136986301</v>
      </c>
      <c r="M122" s="119" t="n">
        <v>58.69565217391305</v>
      </c>
      <c r="N122" s="121" t="n">
        <v>0</v>
      </c>
      <c r="O122" s="137" t="n">
        <v>14.42786069651741</v>
      </c>
      <c r="P122" s="117" t="n">
        <v>1</v>
      </c>
      <c r="Q122" s="132" t="inlineStr">
        <is>
          <t>▁██</t>
        </is>
      </c>
    </row>
    <row r="123">
      <c r="A123" s="122" t="inlineStr">
        <is>
          <t>Hevea</t>
        </is>
      </c>
      <c r="B123" s="122" t="inlineStr">
        <is>
          <t>mesa-de-centro-exterior-120-cm-altura-40-cm-2</t>
        </is>
      </c>
      <c r="C123" s="122" t="inlineStr">
        <is>
          <t>557-1563</t>
        </is>
      </c>
      <c r="D123" s="122" t="inlineStr">
        <is>
          <t>UNIVERSAL-120 MESA CENTRO 120/COFFEE TABLE</t>
        </is>
      </c>
      <c r="E123" s="123" t="inlineStr">
        <is>
          <t>2026-03-06</t>
        </is>
      </c>
      <c r="F123" s="123" t="inlineStr">
        <is>
          <t>2026-05-07</t>
        </is>
      </c>
      <c r="G123" s="133" t="inlineStr">
        <is>
          <t>ACTIVO ⚠ ⤺</t>
        </is>
      </c>
      <c r="H123" s="124" t="n">
        <v>246</v>
      </c>
      <c r="I123" s="124" t="n">
        <v>390</v>
      </c>
      <c r="J123" s="124" t="n">
        <v>471.9</v>
      </c>
      <c r="K123" s="124" t="n">
        <v>144</v>
      </c>
      <c r="L123" s="125" t="n">
        <v>36.92307692307693</v>
      </c>
      <c r="M123" s="125" t="n">
        <v>58.53658536585365</v>
      </c>
      <c r="N123" s="127" t="n">
        <v>0</v>
      </c>
      <c r="O123" s="134" t="n">
        <v>14.41860465116279</v>
      </c>
      <c r="P123" s="123" t="n">
        <v>1</v>
      </c>
      <c r="Q123" s="135" t="inlineStr">
        <is>
          <t>▁██</t>
        </is>
      </c>
    </row>
    <row r="124">
      <c r="A124" s="116" t="inlineStr">
        <is>
          <t>Hevea</t>
        </is>
      </c>
      <c r="B124" s="130" t="inlineStr">
        <is>
          <t>(no en Shopify)</t>
        </is>
      </c>
      <c r="C124" s="116" t="inlineStr">
        <is>
          <t>557-1682</t>
        </is>
      </c>
      <c r="D124" s="116" t="inlineStr">
        <is>
          <t>BASE PARASOL 25KG</t>
        </is>
      </c>
      <c r="E124" s="117" t="inlineStr">
        <is>
          <t>2026-04-17</t>
        </is>
      </c>
      <c r="F124" s="117" t="inlineStr">
        <is>
          <t>2026-04-17</t>
        </is>
      </c>
      <c r="G124" s="131" t="inlineStr">
        <is>
          <t>DESCATALOGADO ⤺</t>
        </is>
      </c>
      <c r="H124" s="118" t="n">
        <v>41</v>
      </c>
      <c r="I124" s="118" t="n">
        <v>890</v>
      </c>
      <c r="J124" s="118" t="n">
        <v>1076.9</v>
      </c>
      <c r="K124" s="118" t="n">
        <v>849</v>
      </c>
      <c r="L124" s="119" t="n">
        <v>95.39325842696628</v>
      </c>
      <c r="M124" s="119" t="n">
        <v>2070.731707317073</v>
      </c>
      <c r="N124" s="121" t="n"/>
      <c r="O124" s="121" t="n"/>
      <c r="P124" s="117" t="n">
        <v>0</v>
      </c>
      <c r="Q124" s="132" t="inlineStr"/>
    </row>
    <row r="125">
      <c r="A125" s="122" t="inlineStr">
        <is>
          <t>Hevea</t>
        </is>
      </c>
      <c r="B125" s="122" t="inlineStr">
        <is>
          <t>parasol-para-terraza-350-cm</t>
        </is>
      </c>
      <c r="C125" s="122" t="inlineStr">
        <is>
          <t>557-1682</t>
        </is>
      </c>
      <c r="D125" s="122" t="inlineStr">
        <is>
          <t>PARASOL SAMSON Ø350 / SAMSON PARASOL / PARASOL SAMSON</t>
        </is>
      </c>
      <c r="E125" s="123" t="inlineStr">
        <is>
          <t>2026-03-06</t>
        </is>
      </c>
      <c r="F125" s="123" t="inlineStr">
        <is>
          <t>2026-05-07</t>
        </is>
      </c>
      <c r="G125" s="133" t="inlineStr">
        <is>
          <t>ACTIVO ⤺</t>
        </is>
      </c>
      <c r="H125" s="124" t="n">
        <v>561</v>
      </c>
      <c r="I125" s="124" t="n">
        <v>890</v>
      </c>
      <c r="J125" s="124" t="n">
        <v>1076.9</v>
      </c>
      <c r="K125" s="124" t="n">
        <v>329</v>
      </c>
      <c r="L125" s="125" t="n">
        <v>36.96629213483146</v>
      </c>
      <c r="M125" s="125" t="n">
        <v>58.64527629233511</v>
      </c>
      <c r="N125" s="134" t="n">
        <v>14.48979591836735</v>
      </c>
      <c r="O125" s="134" t="n">
        <v>14.48979591836735</v>
      </c>
      <c r="P125" s="123" t="n">
        <v>1</v>
      </c>
      <c r="Q125" s="135" t="inlineStr">
        <is>
          <t>▁█</t>
        </is>
      </c>
    </row>
    <row r="126">
      <c r="A126" s="116" t="inlineStr">
        <is>
          <t>Hevea</t>
        </is>
      </c>
      <c r="B126" s="116" t="inlineStr">
        <is>
          <t>mesa-de-centro-exterior-hpl-120-cm-altura-40-cm</t>
        </is>
      </c>
      <c r="C126" s="116" t="inlineStr">
        <is>
          <t>558-0033</t>
        </is>
      </c>
      <c r="D126" s="116" t="inlineStr">
        <is>
          <t>BICOLOR MESA CENTRO 120/COFFEE TABLE/TABLE CENTRE HPL</t>
        </is>
      </c>
      <c r="E126" s="117" t="inlineStr">
        <is>
          <t>2026-03-06</t>
        </is>
      </c>
      <c r="F126" s="117" t="inlineStr">
        <is>
          <t>2026-05-07</t>
        </is>
      </c>
      <c r="G126" s="140" t="inlineStr">
        <is>
          <t>ACTIVO</t>
        </is>
      </c>
      <c r="H126" s="118" t="n">
        <v>372</v>
      </c>
      <c r="I126" s="118" t="n">
        <v>590</v>
      </c>
      <c r="J126" s="118" t="n">
        <v>713.9</v>
      </c>
      <c r="K126" s="118" t="n">
        <v>218</v>
      </c>
      <c r="L126" s="119" t="n">
        <v>36.94915254237288</v>
      </c>
      <c r="M126" s="119" t="n">
        <v>58.60215053763442</v>
      </c>
      <c r="N126" s="121" t="n">
        <v>0</v>
      </c>
      <c r="O126" s="137" t="n">
        <v>14.46153846153846</v>
      </c>
      <c r="P126" s="117" t="n">
        <v>1</v>
      </c>
      <c r="Q126" s="132" t="inlineStr">
        <is>
          <t>▁██</t>
        </is>
      </c>
    </row>
    <row r="127">
      <c r="A127" s="122" t="inlineStr">
        <is>
          <t>Hevea</t>
        </is>
      </c>
      <c r="B127" s="122" t="inlineStr">
        <is>
          <t>mesa-de-centro-exterior-hpl-135-cm-altura-40-cm</t>
        </is>
      </c>
      <c r="C127" s="122" t="inlineStr">
        <is>
          <t>558-0039</t>
        </is>
      </c>
      <c r="D127" s="122" t="inlineStr">
        <is>
          <t>BICOLOR MESA CENTRO 135/COFFEE TABLE/TABLE CENTRE HPL</t>
        </is>
      </c>
      <c r="E127" s="123" t="inlineStr">
        <is>
          <t>2026-03-06</t>
        </is>
      </c>
      <c r="F127" s="123" t="inlineStr">
        <is>
          <t>2026-05-07</t>
        </is>
      </c>
      <c r="G127" s="141" t="inlineStr">
        <is>
          <t>ACTIVO</t>
        </is>
      </c>
      <c r="H127" s="124" t="n">
        <v>435</v>
      </c>
      <c r="I127" s="124" t="n">
        <v>690</v>
      </c>
      <c r="J127" s="124" t="n">
        <v>834.9</v>
      </c>
      <c r="K127" s="124" t="n">
        <v>255</v>
      </c>
      <c r="L127" s="125" t="n">
        <v>36.95652173913043</v>
      </c>
      <c r="M127" s="125" t="n">
        <v>58.62068965517241</v>
      </c>
      <c r="N127" s="127" t="n">
        <v>0</v>
      </c>
      <c r="O127" s="134" t="n">
        <v>14.47368421052632</v>
      </c>
      <c r="P127" s="123" t="n">
        <v>1</v>
      </c>
      <c r="Q127" s="135" t="inlineStr">
        <is>
          <t>▁██</t>
        </is>
      </c>
    </row>
    <row r="128">
      <c r="A128" s="116" t="inlineStr">
        <is>
          <t>Hevea</t>
        </is>
      </c>
      <c r="B128" s="116" t="inlineStr">
        <is>
          <t>reposapies-exterior-bicolor-704544-cm</t>
        </is>
      </c>
      <c r="C128" s="116" t="inlineStr">
        <is>
          <t>558-0049</t>
        </is>
      </c>
      <c r="D128" s="116" t="inlineStr">
        <is>
          <t>BICOLOR STANDARD-55 REPOSAPIES/FOOTSTOOL/REPOSE-PIEDS</t>
        </is>
      </c>
      <c r="E128" s="117" t="inlineStr">
        <is>
          <t>2026-03-06</t>
        </is>
      </c>
      <c r="F128" s="117" t="inlineStr">
        <is>
          <t>2026-05-07</t>
        </is>
      </c>
      <c r="G128" s="140" t="inlineStr">
        <is>
          <t>ACTIVO</t>
        </is>
      </c>
      <c r="H128" s="118" t="n">
        <v>265</v>
      </c>
      <c r="I128" s="118" t="n">
        <v>420</v>
      </c>
      <c r="J128" s="118" t="n">
        <v>508.2</v>
      </c>
      <c r="K128" s="118" t="n">
        <v>155</v>
      </c>
      <c r="L128" s="119" t="n">
        <v>36.90476190476191</v>
      </c>
      <c r="M128" s="119" t="n">
        <v>58.49056603773585</v>
      </c>
      <c r="N128" s="121" t="n">
        <v>0</v>
      </c>
      <c r="O128" s="137" t="n">
        <v>14.71861471861472</v>
      </c>
      <c r="P128" s="117" t="n">
        <v>1</v>
      </c>
      <c r="Q128" s="132" t="inlineStr">
        <is>
          <t>▁██</t>
        </is>
      </c>
    </row>
    <row r="129">
      <c r="A129" s="122" t="inlineStr">
        <is>
          <t>Hevea</t>
        </is>
      </c>
      <c r="B129" s="122" t="inlineStr">
        <is>
          <t>set-jardin-bicolor-3-plazas-bicolor-sofa-3-plazas-2-sillones-mesa</t>
        </is>
      </c>
      <c r="C129" s="122" t="inlineStr">
        <is>
          <t>558-0050</t>
        </is>
      </c>
      <c r="D129" s="122" t="inlineStr">
        <is>
          <t>DIVA-8 BICOLOR SET SOFA 3 PLAZAS/SOFA/CANAPÉ</t>
        </is>
      </c>
      <c r="E129" s="123" t="inlineStr">
        <is>
          <t>2026-03-06</t>
        </is>
      </c>
      <c r="F129" s="123" t="inlineStr">
        <is>
          <t>2026-05-07</t>
        </is>
      </c>
      <c r="G129" s="141" t="inlineStr">
        <is>
          <t>ACTIVO</t>
        </is>
      </c>
      <c r="H129" s="124" t="n">
        <v>2294</v>
      </c>
      <c r="I129" s="124" t="n">
        <v>3640</v>
      </c>
      <c r="J129" s="124" t="n">
        <v>4404.4</v>
      </c>
      <c r="K129" s="124" t="n">
        <v>1346</v>
      </c>
      <c r="L129" s="125" t="n">
        <v>36.97802197802198</v>
      </c>
      <c r="M129" s="125" t="n">
        <v>58.67480383609416</v>
      </c>
      <c r="N129" s="127" t="n">
        <v>0.04361098996947231</v>
      </c>
      <c r="O129" s="134" t="n">
        <v>14.58541458541459</v>
      </c>
      <c r="P129" s="123" t="n">
        <v>2</v>
      </c>
      <c r="Q129" s="135" t="inlineStr">
        <is>
          <t>▁▇█</t>
        </is>
      </c>
    </row>
    <row r="130">
      <c r="A130" s="116" t="inlineStr">
        <is>
          <t>Hevea</t>
        </is>
      </c>
      <c r="B130" s="116" t="inlineStr">
        <is>
          <t>sillon-exterior-bicolor-estilo-bicolor-7376-cm</t>
        </is>
      </c>
      <c r="C130" s="116" t="inlineStr">
        <is>
          <t>558-0051</t>
        </is>
      </c>
      <c r="D130" s="116" t="inlineStr">
        <is>
          <t>DIVA-1 BICOLOR SILLON/ARMCHAIR/FAUTEUIL</t>
        </is>
      </c>
      <c r="E130" s="117" t="inlineStr">
        <is>
          <t>2026-03-06</t>
        </is>
      </c>
      <c r="F130" s="117" t="inlineStr">
        <is>
          <t>2026-05-07</t>
        </is>
      </c>
      <c r="G130" s="140" t="inlineStr">
        <is>
          <t>ACTIVO</t>
        </is>
      </c>
      <c r="H130" s="118" t="n">
        <v>492</v>
      </c>
      <c r="I130" s="118" t="n">
        <v>780</v>
      </c>
      <c r="J130" s="118" t="n">
        <v>943.8</v>
      </c>
      <c r="K130" s="118" t="n">
        <v>288</v>
      </c>
      <c r="L130" s="119" t="n">
        <v>36.92307692307693</v>
      </c>
      <c r="M130" s="119" t="n">
        <v>58.53658536585365</v>
      </c>
      <c r="N130" s="121" t="n">
        <v>0.2036659877800407</v>
      </c>
      <c r="O130" s="137" t="n">
        <v>14.68531468531468</v>
      </c>
      <c r="P130" s="117" t="n">
        <v>2</v>
      </c>
      <c r="Q130" s="132" t="inlineStr">
        <is>
          <t>▁▇█</t>
        </is>
      </c>
    </row>
    <row r="131">
      <c r="A131" s="122" t="inlineStr">
        <is>
          <t>Hevea</t>
        </is>
      </c>
      <c r="B131" s="122" t="inlineStr">
        <is>
          <t>sofa-terraza-bicolor-3-plazas-estilo-bicolor-20076-cm</t>
        </is>
      </c>
      <c r="C131" s="122" t="inlineStr">
        <is>
          <t>558-0052</t>
        </is>
      </c>
      <c r="D131" s="122" t="inlineStr">
        <is>
          <t>DIVA-3 BICOLOR SOFA 3 PLAZAS/SOFA/CANAPÉ</t>
        </is>
      </c>
      <c r="E131" s="123" t="inlineStr">
        <is>
          <t>2026-03-06</t>
        </is>
      </c>
      <c r="F131" s="123" t="inlineStr">
        <is>
          <t>2026-05-07</t>
        </is>
      </c>
      <c r="G131" s="141" t="inlineStr">
        <is>
          <t>ACTIVO</t>
        </is>
      </c>
      <c r="H131" s="124" t="n">
        <v>876</v>
      </c>
      <c r="I131" s="124" t="n">
        <v>1390</v>
      </c>
      <c r="J131" s="124" t="n">
        <v>1681.9</v>
      </c>
      <c r="K131" s="124" t="n">
        <v>514</v>
      </c>
      <c r="L131" s="125" t="n">
        <v>36.97841726618705</v>
      </c>
      <c r="M131" s="125" t="n">
        <v>58.675799086758</v>
      </c>
      <c r="N131" s="127" t="n">
        <v>0</v>
      </c>
      <c r="O131" s="134" t="n">
        <v>14.50980392156863</v>
      </c>
      <c r="P131" s="123" t="n">
        <v>1</v>
      </c>
      <c r="Q131" s="135" t="inlineStr">
        <is>
          <t>▁██</t>
        </is>
      </c>
    </row>
    <row r="132">
      <c r="A132" s="116" t="inlineStr">
        <is>
          <t>Hevea</t>
        </is>
      </c>
      <c r="B132" s="116" t="inlineStr">
        <is>
          <t>set-jardin-bicolor-2-plazas-bicolor-sofa-2-plazas-2-sillones-mesa</t>
        </is>
      </c>
      <c r="C132" s="116" t="inlineStr">
        <is>
          <t>558-0066</t>
        </is>
      </c>
      <c r="D132" s="116" t="inlineStr">
        <is>
          <t>DIVA-7 BICOLOR SET SOFA 2 PLAZAS/SOFA/CANAPÉ</t>
        </is>
      </c>
      <c r="E132" s="117" t="inlineStr">
        <is>
          <t>2026-03-06</t>
        </is>
      </c>
      <c r="F132" s="117" t="inlineStr">
        <is>
          <t>2026-05-07</t>
        </is>
      </c>
      <c r="G132" s="140" t="inlineStr">
        <is>
          <t>ACTIVO</t>
        </is>
      </c>
      <c r="H132" s="118" t="n">
        <v>2064</v>
      </c>
      <c r="I132" s="118" t="n">
        <v>3275</v>
      </c>
      <c r="J132" s="118" t="n">
        <v>3962.75</v>
      </c>
      <c r="K132" s="118" t="n">
        <v>1211</v>
      </c>
      <c r="L132" s="119" t="n">
        <v>36.97709923664122</v>
      </c>
      <c r="M132" s="119" t="n">
        <v>58.67248062015504</v>
      </c>
      <c r="N132" s="121" t="n">
        <v>0.04847309743092584</v>
      </c>
      <c r="O132" s="137" t="n">
        <v>14.53940066592675</v>
      </c>
      <c r="P132" s="117" t="n">
        <v>2</v>
      </c>
      <c r="Q132" s="132" t="inlineStr">
        <is>
          <t>▁▇█</t>
        </is>
      </c>
    </row>
    <row r="133">
      <c r="A133" s="122" t="inlineStr">
        <is>
          <t>Hevea</t>
        </is>
      </c>
      <c r="B133" s="122" t="inlineStr">
        <is>
          <t>sofa-terraza-bicolor-2-plazas-estilo-bicolor-14076-cm</t>
        </is>
      </c>
      <c r="C133" s="122" t="inlineStr">
        <is>
          <t>558-0070</t>
        </is>
      </c>
      <c r="D133" s="122" t="inlineStr">
        <is>
          <t>DIVA-2 BICOLOR SOFA 2 PLAZAS/SOFA/CANAPÉ</t>
        </is>
      </c>
      <c r="E133" s="123" t="inlineStr">
        <is>
          <t>2026-03-06</t>
        </is>
      </c>
      <c r="F133" s="123" t="inlineStr">
        <is>
          <t>2026-05-07</t>
        </is>
      </c>
      <c r="G133" s="141" t="inlineStr">
        <is>
          <t>ACTIVO</t>
        </is>
      </c>
      <c r="H133" s="124" t="n">
        <v>709</v>
      </c>
      <c r="I133" s="124" t="n">
        <v>1125</v>
      </c>
      <c r="J133" s="124" t="n">
        <v>1361.25</v>
      </c>
      <c r="K133" s="124" t="n">
        <v>416</v>
      </c>
      <c r="L133" s="125" t="n">
        <v>36.97777777777777</v>
      </c>
      <c r="M133" s="125" t="n">
        <v>58.67418899858956</v>
      </c>
      <c r="N133" s="127" t="n">
        <v>0</v>
      </c>
      <c r="O133" s="134" t="n">
        <v>14.53957996768982</v>
      </c>
      <c r="P133" s="123" t="n">
        <v>1</v>
      </c>
      <c r="Q133" s="135" t="inlineStr">
        <is>
          <t>▁██</t>
        </is>
      </c>
    </row>
    <row r="134">
      <c r="A134" s="116" t="inlineStr">
        <is>
          <t>Hevea</t>
        </is>
      </c>
      <c r="B134" s="116" t="inlineStr">
        <is>
          <t>sillon-exterior-estilo-versatil-7783-cm</t>
        </is>
      </c>
      <c r="C134" s="116" t="inlineStr">
        <is>
          <t>600-010021</t>
        </is>
      </c>
      <c r="D134" s="116" t="inlineStr">
        <is>
          <t>YINA-1 SILLON/ARMCHAIR/FAUTEUIL</t>
        </is>
      </c>
      <c r="E134" s="117" t="inlineStr">
        <is>
          <t>2026-03-06</t>
        </is>
      </c>
      <c r="F134" s="117" t="inlineStr">
        <is>
          <t>2026-05-07</t>
        </is>
      </c>
      <c r="G134" s="140" t="inlineStr">
        <is>
          <t>ACTIVO</t>
        </is>
      </c>
      <c r="H134" s="118" t="n">
        <v>498</v>
      </c>
      <c r="I134" s="118" t="n">
        <v>790</v>
      </c>
      <c r="J134" s="118" t="n">
        <v>955.9</v>
      </c>
      <c r="K134" s="118" t="n">
        <v>292</v>
      </c>
      <c r="L134" s="119" t="n">
        <v>36.9620253164557</v>
      </c>
      <c r="M134" s="119" t="n">
        <v>58.63453815261044</v>
      </c>
      <c r="N134" s="121" t="n">
        <v>0</v>
      </c>
      <c r="O134" s="137" t="n">
        <v>14.48275862068966</v>
      </c>
      <c r="P134" s="117" t="n">
        <v>1</v>
      </c>
      <c r="Q134" s="132" t="inlineStr">
        <is>
          <t>▁██</t>
        </is>
      </c>
    </row>
    <row r="135">
      <c r="A135" s="122" t="inlineStr">
        <is>
          <t>Hevea</t>
        </is>
      </c>
      <c r="B135" s="122" t="inlineStr">
        <is>
          <t>sofa-terraza-2-plazas-estilo-estilizado-14383-cm</t>
        </is>
      </c>
      <c r="C135" s="122" t="inlineStr">
        <is>
          <t>600-010022</t>
        </is>
      </c>
      <c r="D135" s="122" t="inlineStr">
        <is>
          <t>YINA-2 SOFA 2 PLAZAS/SOFÁ/CANAPÉ</t>
        </is>
      </c>
      <c r="E135" s="123" t="inlineStr">
        <is>
          <t>2026-03-06</t>
        </is>
      </c>
      <c r="F135" s="123" t="inlineStr">
        <is>
          <t>2026-05-07</t>
        </is>
      </c>
      <c r="G135" s="141" t="inlineStr">
        <is>
          <t>ACTIVO</t>
        </is>
      </c>
      <c r="H135" s="124" t="n">
        <v>728</v>
      </c>
      <c r="I135" s="124" t="n">
        <v>1155</v>
      </c>
      <c r="J135" s="124" t="n">
        <v>1397.55</v>
      </c>
      <c r="K135" s="124" t="n">
        <v>427</v>
      </c>
      <c r="L135" s="125" t="n">
        <v>36.96969696969697</v>
      </c>
      <c r="M135" s="125" t="n">
        <v>58.65384615384615</v>
      </c>
      <c r="N135" s="127" t="n">
        <v>0</v>
      </c>
      <c r="O135" s="134" t="n">
        <v>14.46540880503145</v>
      </c>
      <c r="P135" s="123" t="n">
        <v>1</v>
      </c>
      <c r="Q135" s="135" t="inlineStr">
        <is>
          <t>▁██</t>
        </is>
      </c>
    </row>
    <row r="136">
      <c r="A136" s="116" t="inlineStr">
        <is>
          <t>Hevea</t>
        </is>
      </c>
      <c r="B136" s="116" t="inlineStr">
        <is>
          <t>sofa-terraza-3-plazas-estilo-contemporaneo-18583-cm</t>
        </is>
      </c>
      <c r="C136" s="116" t="inlineStr">
        <is>
          <t>600-010023</t>
        </is>
      </c>
      <c r="D136" s="116" t="inlineStr">
        <is>
          <t>YINA-3 SOFA 3 PLAZAS/SOFÁ/CANAPÉ</t>
        </is>
      </c>
      <c r="E136" s="117" t="inlineStr">
        <is>
          <t>2026-03-06</t>
        </is>
      </c>
      <c r="F136" s="117" t="inlineStr">
        <is>
          <t>2026-05-07</t>
        </is>
      </c>
      <c r="G136" s="140" t="inlineStr">
        <is>
          <t>ACTIVO</t>
        </is>
      </c>
      <c r="H136" s="118" t="n">
        <v>923</v>
      </c>
      <c r="I136" s="118" t="n">
        <v>1465</v>
      </c>
      <c r="J136" s="118" t="n">
        <v>1772.65</v>
      </c>
      <c r="K136" s="118" t="n">
        <v>542</v>
      </c>
      <c r="L136" s="119" t="n">
        <v>36.99658703071672</v>
      </c>
      <c r="M136" s="119" t="n">
        <v>58.72156013001083</v>
      </c>
      <c r="N136" s="121" t="n">
        <v>0</v>
      </c>
      <c r="O136" s="137" t="n">
        <v>14.51612903225807</v>
      </c>
      <c r="P136" s="117" t="n">
        <v>1</v>
      </c>
      <c r="Q136" s="132" t="inlineStr">
        <is>
          <t>▁██</t>
        </is>
      </c>
    </row>
    <row r="137">
      <c r="A137" s="122" t="inlineStr">
        <is>
          <t>Hevea</t>
        </is>
      </c>
      <c r="B137" s="122" t="inlineStr">
        <is>
          <t>mesa-de-centro-exterior-hpl-70-cm-altura-45-cm</t>
        </is>
      </c>
      <c r="C137" s="122" t="inlineStr">
        <is>
          <t>600-010024</t>
        </is>
      </c>
      <c r="D137" s="122" t="inlineStr">
        <is>
          <t>YINA-70 HPL MESA CENTRO/COFFEE TABLE/TABLE CENTRE</t>
        </is>
      </c>
      <c r="E137" s="123" t="inlineStr">
        <is>
          <t>2026-03-06</t>
        </is>
      </c>
      <c r="F137" s="123" t="inlineStr">
        <is>
          <t>2026-05-07</t>
        </is>
      </c>
      <c r="G137" s="141" t="inlineStr">
        <is>
          <t>ACTIVO</t>
        </is>
      </c>
      <c r="H137" s="124" t="n">
        <v>262</v>
      </c>
      <c r="I137" s="124" t="n">
        <v>415</v>
      </c>
      <c r="J137" s="124" t="n">
        <v>502.15</v>
      </c>
      <c r="K137" s="124" t="n">
        <v>153</v>
      </c>
      <c r="L137" s="125" t="n">
        <v>36.86746987951807</v>
      </c>
      <c r="M137" s="125" t="n">
        <v>58.3969465648855</v>
      </c>
      <c r="N137" s="127" t="n">
        <v>0.3831417624521072</v>
      </c>
      <c r="O137" s="134" t="n">
        <v>14.41048034934498</v>
      </c>
      <c r="P137" s="123" t="n">
        <v>2</v>
      </c>
      <c r="Q137" s="135" t="inlineStr">
        <is>
          <t>▁▇█</t>
        </is>
      </c>
    </row>
    <row r="138">
      <c r="A138" s="116" t="inlineStr">
        <is>
          <t>Hevea</t>
        </is>
      </c>
      <c r="B138" s="116" t="inlineStr">
        <is>
          <t>reposapies-exterior-734640-cm</t>
        </is>
      </c>
      <c r="C138" s="116" t="inlineStr">
        <is>
          <t>600-010025</t>
        </is>
      </c>
      <c r="D138" s="116" t="inlineStr">
        <is>
          <t>YINA-5 REPOSAPIES/FOOTSTOOL/REPOSE-PIEDS</t>
        </is>
      </c>
      <c r="E138" s="117" t="inlineStr">
        <is>
          <t>2026-03-06</t>
        </is>
      </c>
      <c r="F138" s="117" t="inlineStr">
        <is>
          <t>2026-05-07</t>
        </is>
      </c>
      <c r="G138" s="140" t="inlineStr">
        <is>
          <t>ACTIVO</t>
        </is>
      </c>
      <c r="H138" s="118" t="n">
        <v>202</v>
      </c>
      <c r="I138" s="118" t="n">
        <v>320</v>
      </c>
      <c r="J138" s="118" t="n">
        <v>387.2</v>
      </c>
      <c r="K138" s="118" t="n">
        <v>118</v>
      </c>
      <c r="L138" s="119" t="n">
        <v>36.875</v>
      </c>
      <c r="M138" s="119" t="n">
        <v>58.41584158415841</v>
      </c>
      <c r="N138" s="121" t="n">
        <v>0</v>
      </c>
      <c r="O138" s="137" t="n">
        <v>14.77272727272727</v>
      </c>
      <c r="P138" s="117" t="n">
        <v>1</v>
      </c>
      <c r="Q138" s="132" t="inlineStr">
        <is>
          <t>▁██</t>
        </is>
      </c>
    </row>
    <row r="139">
      <c r="A139" s="122" t="inlineStr">
        <is>
          <t>Hevea</t>
        </is>
      </c>
      <c r="B139" s="122" t="inlineStr">
        <is>
          <t>set-jardin-2-plazas-moderno-sofa-2-plazas-2-sillones-mesa</t>
        </is>
      </c>
      <c r="C139" s="122" t="inlineStr">
        <is>
          <t>600-010026</t>
        </is>
      </c>
      <c r="D139" s="122" t="inlineStr">
        <is>
          <t>YINA-7 SET SOFÁ 2 PLAZAS / 2 SEATER SOFA SET / SET CANAPÉ 2 PLACES</t>
        </is>
      </c>
      <c r="E139" s="123" t="inlineStr">
        <is>
          <t>2026-03-06</t>
        </is>
      </c>
      <c r="F139" s="123" t="inlineStr">
        <is>
          <t>2026-05-07</t>
        </is>
      </c>
      <c r="G139" s="141" t="inlineStr">
        <is>
          <t>ACTIVO</t>
        </is>
      </c>
      <c r="H139" s="124" t="n">
        <v>1988</v>
      </c>
      <c r="I139" s="124" t="n">
        <v>3155</v>
      </c>
      <c r="J139" s="124" t="n">
        <v>3817.55</v>
      </c>
      <c r="K139" s="124" t="n">
        <v>1167</v>
      </c>
      <c r="L139" s="125" t="n">
        <v>36.98890649762282</v>
      </c>
      <c r="M139" s="125" t="n">
        <v>58.70221327967807</v>
      </c>
      <c r="N139" s="127" t="n">
        <v>0</v>
      </c>
      <c r="O139" s="134" t="n">
        <v>14.51612903225807</v>
      </c>
      <c r="P139" s="123" t="n">
        <v>1</v>
      </c>
      <c r="Q139" s="135" t="inlineStr">
        <is>
          <t>▁██</t>
        </is>
      </c>
    </row>
    <row r="140">
      <c r="A140" s="116" t="inlineStr">
        <is>
          <t>Hevea</t>
        </is>
      </c>
      <c r="B140" s="116" t="inlineStr">
        <is>
          <t>set-jardin-3-plazas-contemporaneo-sofa-3-plazas-2-sillones-mesa</t>
        </is>
      </c>
      <c r="C140" s="116" t="inlineStr">
        <is>
          <t>600-010027</t>
        </is>
      </c>
      <c r="D140" s="116" t="inlineStr">
        <is>
          <t>YINA-8 SET SOFÁ 3 PLAZAS / 3 SEATER SOFA SET / SET CANAPÉ 3 PLACES</t>
        </is>
      </c>
      <c r="E140" s="117" t="inlineStr">
        <is>
          <t>2026-03-06</t>
        </is>
      </c>
      <c r="F140" s="117" t="inlineStr">
        <is>
          <t>2026-05-07</t>
        </is>
      </c>
      <c r="G140" s="140" t="inlineStr">
        <is>
          <t>ACTIVO</t>
        </is>
      </c>
      <c r="H140" s="118" t="n">
        <v>2183</v>
      </c>
      <c r="I140" s="118" t="n">
        <v>3465</v>
      </c>
      <c r="J140" s="118" t="n">
        <v>4192.65</v>
      </c>
      <c r="K140" s="118" t="n">
        <v>1282</v>
      </c>
      <c r="L140" s="119" t="n">
        <v>36.998556998557</v>
      </c>
      <c r="M140" s="119" t="n">
        <v>58.7265231333028</v>
      </c>
      <c r="N140" s="121" t="n">
        <v>0</v>
      </c>
      <c r="O140" s="137" t="n">
        <v>14.53305351521511</v>
      </c>
      <c r="P140" s="117" t="n">
        <v>1</v>
      </c>
      <c r="Q140" s="132" t="inlineStr">
        <is>
          <t>▁██</t>
        </is>
      </c>
    </row>
    <row r="141">
      <c r="A141" s="122" t="inlineStr">
        <is>
          <t>Hevea</t>
        </is>
      </c>
      <c r="B141" s="122" t="inlineStr">
        <is>
          <t>sillon-exterior-estilo-estilizado-7069-cm</t>
        </is>
      </c>
      <c r="C141" s="122" t="inlineStr">
        <is>
          <t>600-010090</t>
        </is>
      </c>
      <c r="D141" s="122" t="inlineStr">
        <is>
          <t>CLOE-1 SILLON/ARMCHAIR/FAUTEUIL</t>
        </is>
      </c>
      <c r="E141" s="123" t="inlineStr">
        <is>
          <t>2026-03-06</t>
        </is>
      </c>
      <c r="F141" s="123" t="inlineStr">
        <is>
          <t>2026-05-07</t>
        </is>
      </c>
      <c r="G141" s="141" t="inlineStr">
        <is>
          <t>ACTIVO</t>
        </is>
      </c>
      <c r="H141" s="124" t="n">
        <v>508</v>
      </c>
      <c r="I141" s="124" t="n">
        <v>805</v>
      </c>
      <c r="J141" s="124" t="n">
        <v>974.05</v>
      </c>
      <c r="K141" s="124" t="n">
        <v>297</v>
      </c>
      <c r="L141" s="125" t="n">
        <v>36.8944099378882</v>
      </c>
      <c r="M141" s="125" t="n">
        <v>58.46456692913385</v>
      </c>
      <c r="N141" s="127" t="n">
        <v>0.1972386587771203</v>
      </c>
      <c r="O141" s="134" t="n">
        <v>14.67268623024831</v>
      </c>
      <c r="P141" s="123" t="n">
        <v>2</v>
      </c>
      <c r="Q141" s="135" t="inlineStr">
        <is>
          <t>▁▇█</t>
        </is>
      </c>
    </row>
    <row r="142">
      <c r="A142" s="116" t="inlineStr">
        <is>
          <t>Hevea</t>
        </is>
      </c>
      <c r="B142" s="116" t="inlineStr">
        <is>
          <t>sofa-terraza-2-plazas-estilo-contemporaneo-16269-cm</t>
        </is>
      </c>
      <c r="C142" s="116" t="inlineStr">
        <is>
          <t>600-010091</t>
        </is>
      </c>
      <c r="D142" s="116" t="inlineStr">
        <is>
          <t>CLOE SOFA 2 PLAZAS/SOFA/CANAPÉ</t>
        </is>
      </c>
      <c r="E142" s="117" t="inlineStr">
        <is>
          <t>2026-03-06</t>
        </is>
      </c>
      <c r="F142" s="117" t="inlineStr">
        <is>
          <t>2026-05-07</t>
        </is>
      </c>
      <c r="G142" s="140" t="inlineStr">
        <is>
          <t>ACTIVO</t>
        </is>
      </c>
      <c r="H142" s="118" t="n">
        <v>722</v>
      </c>
      <c r="I142" s="118" t="n">
        <v>1145</v>
      </c>
      <c r="J142" s="118" t="n">
        <v>1385.45</v>
      </c>
      <c r="K142" s="118" t="n">
        <v>423</v>
      </c>
      <c r="L142" s="119" t="n">
        <v>36.94323144104803</v>
      </c>
      <c r="M142" s="119" t="n">
        <v>58.58725761772853</v>
      </c>
      <c r="N142" s="121" t="n">
        <v>0.1386962552011096</v>
      </c>
      <c r="O142" s="137" t="n">
        <v>14.6031746031746</v>
      </c>
      <c r="P142" s="117" t="n">
        <v>2</v>
      </c>
      <c r="Q142" s="132" t="inlineStr">
        <is>
          <t>▁▇█</t>
        </is>
      </c>
    </row>
    <row r="143">
      <c r="A143" s="122" t="inlineStr">
        <is>
          <t>Hevea</t>
        </is>
      </c>
      <c r="B143" s="122" t="inlineStr">
        <is>
          <t>sofa-terraza-3-plazas-estilo-elegante-22069-cm</t>
        </is>
      </c>
      <c r="C143" s="122" t="inlineStr">
        <is>
          <t>600-010092</t>
        </is>
      </c>
      <c r="D143" s="122" t="inlineStr">
        <is>
          <t>CLOE SOFA 3 PLAZAS/SOFA/CANAPÉ</t>
        </is>
      </c>
      <c r="E143" s="123" t="inlineStr">
        <is>
          <t>2026-03-06</t>
        </is>
      </c>
      <c r="F143" s="123" t="inlineStr">
        <is>
          <t>2026-05-07</t>
        </is>
      </c>
      <c r="G143" s="141" t="inlineStr">
        <is>
          <t>ACTIVO</t>
        </is>
      </c>
      <c r="H143" s="124" t="n">
        <v>999</v>
      </c>
      <c r="I143" s="124" t="n">
        <v>1585</v>
      </c>
      <c r="J143" s="124" t="n">
        <v>1917.85</v>
      </c>
      <c r="K143" s="124" t="n">
        <v>586</v>
      </c>
      <c r="L143" s="125" t="n">
        <v>36.97160883280758</v>
      </c>
      <c r="M143" s="125" t="n">
        <v>58.65865865865866</v>
      </c>
      <c r="N143" s="127" t="n">
        <v>0</v>
      </c>
      <c r="O143" s="134" t="n">
        <v>14.56422018348624</v>
      </c>
      <c r="P143" s="123" t="n">
        <v>1</v>
      </c>
      <c r="Q143" s="135" t="inlineStr">
        <is>
          <t>▁██</t>
        </is>
      </c>
    </row>
    <row r="144">
      <c r="A144" s="116" t="inlineStr">
        <is>
          <t>Hevea</t>
        </is>
      </c>
      <c r="B144" s="116" t="inlineStr">
        <is>
          <t>reposapies-exterior-504540-cm</t>
        </is>
      </c>
      <c r="C144" s="116" t="inlineStr">
        <is>
          <t>600-010093</t>
        </is>
      </c>
      <c r="D144" s="116" t="inlineStr">
        <is>
          <t>CLOE-5 REPOSAPIES/FOOTSTOOL/REPOSE-PIEDS</t>
        </is>
      </c>
      <c r="E144" s="117" t="inlineStr">
        <is>
          <t>2026-03-06</t>
        </is>
      </c>
      <c r="F144" s="117" t="inlineStr">
        <is>
          <t>2026-05-07</t>
        </is>
      </c>
      <c r="G144" s="140" t="inlineStr">
        <is>
          <t>ACTIVO</t>
        </is>
      </c>
      <c r="H144" s="118" t="n">
        <v>98</v>
      </c>
      <c r="I144" s="118" t="n">
        <v>155</v>
      </c>
      <c r="J144" s="118" t="n">
        <v>187.55</v>
      </c>
      <c r="K144" s="118" t="n">
        <v>57</v>
      </c>
      <c r="L144" s="119" t="n">
        <v>36.7741935483871</v>
      </c>
      <c r="M144" s="119" t="n">
        <v>58.16326530612245</v>
      </c>
      <c r="N144" s="121" t="n">
        <v>0</v>
      </c>
      <c r="O144" s="137" t="n">
        <v>13.95348837209302</v>
      </c>
      <c r="P144" s="117" t="n">
        <v>1</v>
      </c>
      <c r="Q144" s="132" t="inlineStr">
        <is>
          <t>▁██</t>
        </is>
      </c>
    </row>
    <row r="145">
      <c r="A145" s="122" t="inlineStr">
        <is>
          <t>Hevea</t>
        </is>
      </c>
      <c r="B145" s="122" t="inlineStr">
        <is>
          <t>set-losas-cemento-para-base-de-parasol</t>
        </is>
      </c>
      <c r="C145" s="122" t="inlineStr">
        <is>
          <t>921-0009</t>
        </is>
      </c>
      <c r="D145" s="122" t="inlineStr">
        <is>
          <t>JUEGO 4 LOSAS CEMENTO BASE PARASOL GRANITE</t>
        </is>
      </c>
      <c r="E145" s="123" t="inlineStr">
        <is>
          <t>2026-03-06</t>
        </is>
      </c>
      <c r="F145" s="123" t="inlineStr">
        <is>
          <t>2026-05-07</t>
        </is>
      </c>
      <c r="G145" s="133" t="inlineStr">
        <is>
          <t>ACTIVO ⤺</t>
        </is>
      </c>
      <c r="H145" s="124" t="n">
        <v>114</v>
      </c>
      <c r="I145" s="124" t="n">
        <v>180</v>
      </c>
      <c r="J145" s="124" t="n">
        <v>217.8</v>
      </c>
      <c r="K145" s="124" t="n">
        <v>66</v>
      </c>
      <c r="L145" s="125" t="n">
        <v>36.66666666666666</v>
      </c>
      <c r="M145" s="125" t="n">
        <v>57.89473684210527</v>
      </c>
      <c r="N145" s="134" t="n">
        <v>15.15151515151515</v>
      </c>
      <c r="O145" s="134" t="n">
        <v>15.15151515151515</v>
      </c>
      <c r="P145" s="123" t="n">
        <v>1</v>
      </c>
      <c r="Q145" s="135" t="inlineStr">
        <is>
          <t>▁█</t>
        </is>
      </c>
    </row>
    <row r="146">
      <c r="A146" s="116" t="inlineStr">
        <is>
          <t>Hevea</t>
        </is>
      </c>
      <c r="B146" s="130" t="inlineStr">
        <is>
          <t>(no en Shopify)</t>
        </is>
      </c>
      <c r="C146" s="116" t="inlineStr">
        <is>
          <t>921-0009</t>
        </is>
      </c>
      <c r="D146" s="116" t="inlineStr">
        <is>
          <t>YULIEN BANCO</t>
        </is>
      </c>
      <c r="E146" s="117" t="inlineStr">
        <is>
          <t>2026-04-17</t>
        </is>
      </c>
      <c r="F146" s="117" t="inlineStr">
        <is>
          <t>2026-04-17</t>
        </is>
      </c>
      <c r="G146" s="131" t="inlineStr">
        <is>
          <t>DESCATALOGADO ⤺</t>
        </is>
      </c>
      <c r="H146" s="118" t="n">
        <v>1509</v>
      </c>
      <c r="I146" s="118" t="n">
        <v>180</v>
      </c>
      <c r="J146" s="118" t="n">
        <v>217.8</v>
      </c>
      <c r="K146" s="118" t="n">
        <v>-1329</v>
      </c>
      <c r="L146" s="119" t="n">
        <v>-738.3333333333334</v>
      </c>
      <c r="M146" s="119" t="n">
        <v>-88.07157057654076</v>
      </c>
      <c r="N146" s="121" t="n"/>
      <c r="O146" s="121" t="n"/>
      <c r="P146" s="117" t="n">
        <v>0</v>
      </c>
      <c r="Q146" s="132" t="inlineStr"/>
    </row>
    <row r="147">
      <c r="A147" s="122" t="inlineStr">
        <is>
          <t>Hevea</t>
        </is>
      </c>
      <c r="B147" s="138" t="inlineStr">
        <is>
          <t>(no en Shopify)</t>
        </is>
      </c>
      <c r="C147" s="122" t="inlineStr">
        <is>
          <t>921-0026</t>
        </is>
      </c>
      <c r="D147" s="122" t="inlineStr">
        <is>
          <t>BALANCÍN SIDNEY</t>
        </is>
      </c>
      <c r="E147" s="123" t="inlineStr">
        <is>
          <t>2026-04-17</t>
        </is>
      </c>
      <c r="F147" s="123" t="inlineStr">
        <is>
          <t>2026-04-17</t>
        </is>
      </c>
      <c r="G147" s="139" t="inlineStr">
        <is>
          <t>DESCATALOGADO ⤺</t>
        </is>
      </c>
      <c r="H147" s="124" t="n">
        <v>939</v>
      </c>
      <c r="I147" s="124" t="n">
        <v>65</v>
      </c>
      <c r="J147" s="124" t="n">
        <v>78.65000000000001</v>
      </c>
      <c r="K147" s="124" t="n">
        <v>-874</v>
      </c>
      <c r="L147" s="125" t="n">
        <v>-1344.615384615385</v>
      </c>
      <c r="M147" s="125" t="n">
        <v>-93.07774227902024</v>
      </c>
      <c r="N147" s="127" t="n"/>
      <c r="O147" s="127" t="n"/>
      <c r="P147" s="123" t="n">
        <v>0</v>
      </c>
      <c r="Q147" s="135" t="inlineStr"/>
    </row>
    <row r="148">
      <c r="A148" s="116" t="inlineStr">
        <is>
          <t>Hevea</t>
        </is>
      </c>
      <c r="B148" s="116" t="inlineStr">
        <is>
          <t>base-de-parasol-25-kg</t>
        </is>
      </c>
      <c r="C148" s="116" t="inlineStr">
        <is>
          <t>921-0026</t>
        </is>
      </c>
      <c r="D148" s="116" t="inlineStr">
        <is>
          <t>BASE DE PARASOL 25KG</t>
        </is>
      </c>
      <c r="E148" s="117" t="inlineStr">
        <is>
          <t>2026-03-06</t>
        </is>
      </c>
      <c r="F148" s="117" t="inlineStr">
        <is>
          <t>2026-05-07</t>
        </is>
      </c>
      <c r="G148" s="136" t="inlineStr">
        <is>
          <t>ACTIVO ⤺</t>
        </is>
      </c>
      <c r="H148" s="118" t="n">
        <v>41</v>
      </c>
      <c r="I148" s="118" t="n">
        <v>65</v>
      </c>
      <c r="J148" s="118" t="n">
        <v>78.65000000000001</v>
      </c>
      <c r="K148" s="118" t="n">
        <v>24</v>
      </c>
      <c r="L148" s="119" t="n">
        <v>36.92307692307693</v>
      </c>
      <c r="M148" s="119" t="n">
        <v>58.53658536585365</v>
      </c>
      <c r="N148" s="137" t="n">
        <v>13.88888888888889</v>
      </c>
      <c r="O148" s="137" t="n">
        <v>13.88888888888889</v>
      </c>
      <c r="P148" s="117" t="n">
        <v>1</v>
      </c>
      <c r="Q148" s="132" t="inlineStr">
        <is>
          <t>▁█</t>
        </is>
      </c>
    </row>
    <row r="149">
      <c r="A149" s="122" t="inlineStr">
        <is>
          <t>Hevea</t>
        </is>
      </c>
      <c r="B149" s="138" t="inlineStr">
        <is>
          <t>(no en Shopify)</t>
        </is>
      </c>
      <c r="C149" s="122" t="inlineStr">
        <is>
          <t>928-0010</t>
        </is>
      </c>
      <c r="D149" s="122" t="inlineStr">
        <is>
          <t>JUEGO LOSAS</t>
        </is>
      </c>
      <c r="E149" s="123" t="inlineStr">
        <is>
          <t>2026-04-17</t>
        </is>
      </c>
      <c r="F149" s="123" t="inlineStr">
        <is>
          <t>2026-04-17</t>
        </is>
      </c>
      <c r="G149" s="139" t="inlineStr">
        <is>
          <t>DESCATALOGADO ⤺</t>
        </is>
      </c>
      <c r="H149" s="124" t="n">
        <v>113</v>
      </c>
      <c r="I149" s="124" t="n">
        <v>135</v>
      </c>
      <c r="J149" s="124" t="n">
        <v>163.35</v>
      </c>
      <c r="K149" s="124" t="n">
        <v>22</v>
      </c>
      <c r="L149" s="125" t="n">
        <v>16.2962962962963</v>
      </c>
      <c r="M149" s="125" t="n">
        <v>19.46902654867257</v>
      </c>
      <c r="N149" s="127" t="n"/>
      <c r="O149" s="127" t="n"/>
      <c r="P149" s="123" t="n">
        <v>0</v>
      </c>
      <c r="Q149" s="135" t="inlineStr"/>
    </row>
    <row r="150">
      <c r="A150" s="116" t="inlineStr">
        <is>
          <t>Hevea</t>
        </is>
      </c>
      <c r="B150" s="116" t="inlineStr">
        <is>
          <t>parasol-para-terraza-300-cm-2</t>
        </is>
      </c>
      <c r="C150" s="116" t="inlineStr">
        <is>
          <t>928-0010</t>
        </is>
      </c>
      <c r="D150" s="116" t="inlineStr">
        <is>
          <t>PARASOL CARACAS 300 / CARACAS PARASOL 300 / PARASOL CARACAS 300</t>
        </is>
      </c>
      <c r="E150" s="117" t="inlineStr">
        <is>
          <t>2026-03-06</t>
        </is>
      </c>
      <c r="F150" s="117" t="inlineStr">
        <is>
          <t>2026-05-07</t>
        </is>
      </c>
      <c r="G150" s="136" t="inlineStr">
        <is>
          <t>ACTIVO ⤺</t>
        </is>
      </c>
      <c r="H150" s="118" t="n">
        <v>86</v>
      </c>
      <c r="I150" s="118" t="n">
        <v>135</v>
      </c>
      <c r="J150" s="118" t="n">
        <v>163.35</v>
      </c>
      <c r="K150" s="118" t="n">
        <v>49</v>
      </c>
      <c r="L150" s="119" t="n">
        <v>36.2962962962963</v>
      </c>
      <c r="M150" s="119" t="n">
        <v>56.97674418604651</v>
      </c>
      <c r="N150" s="137" t="n">
        <v>14.66666666666667</v>
      </c>
      <c r="O150" s="137" t="n">
        <v>14.66666666666667</v>
      </c>
      <c r="P150" s="117" t="n">
        <v>1</v>
      </c>
      <c r="Q150" s="132" t="inlineStr">
        <is>
          <t>▁█</t>
        </is>
      </c>
    </row>
    <row r="151">
      <c r="A151" s="122" t="inlineStr">
        <is>
          <t>Hevea</t>
        </is>
      </c>
      <c r="B151" s="122" t="inlineStr">
        <is>
          <t>parasol-para-terraza-300-cm</t>
        </is>
      </c>
      <c r="C151" s="122" t="inlineStr">
        <is>
          <t>928-0016</t>
        </is>
      </c>
      <c r="D151" s="122" t="inlineStr">
        <is>
          <t>PARASOL VIENA 300 / VIENNA PARASOL 300 / PARASOL VIENNE 300</t>
        </is>
      </c>
      <c r="E151" s="123" t="inlineStr">
        <is>
          <t>2026-03-06</t>
        </is>
      </c>
      <c r="F151" s="123" t="inlineStr">
        <is>
          <t>2026-05-07</t>
        </is>
      </c>
      <c r="G151" s="141" t="inlineStr">
        <is>
          <t>ACTIVO</t>
        </is>
      </c>
      <c r="H151" s="124" t="n">
        <v>189</v>
      </c>
      <c r="I151" s="124" t="n">
        <v>300</v>
      </c>
      <c r="J151" s="124" t="n">
        <v>363</v>
      </c>
      <c r="K151" s="124" t="n">
        <v>111</v>
      </c>
      <c r="L151" s="125" t="n">
        <v>37</v>
      </c>
      <c r="M151" s="125" t="n">
        <v>58.73015873015873</v>
      </c>
      <c r="N151" s="134" t="n">
        <v>122.3529411764706</v>
      </c>
      <c r="O151" s="134" t="n">
        <v>14.54545454545454</v>
      </c>
      <c r="P151" s="123" t="n">
        <v>1</v>
      </c>
      <c r="Q151" s="135" t="inlineStr">
        <is>
          <t>▆▁█</t>
        </is>
      </c>
    </row>
    <row r="152">
      <c r="D152" s="142" t="inlineStr">
        <is>
          <t>TOTAL / MEDIA</t>
        </is>
      </c>
      <c r="H152" s="143">
        <f>SUM(H6:H151)</f>
        <v/>
      </c>
      <c r="I152" s="143">
        <f>SUM(I6:I151)</f>
        <v/>
      </c>
      <c r="J152" s="143">
        <f>SUM(J6:J151)</f>
        <v/>
      </c>
      <c r="K152" s="143">
        <f>SUM(K6:K151)</f>
        <v/>
      </c>
      <c r="L152" s="144">
        <f>AVERAGE(L6:L151)</f>
        <v/>
      </c>
      <c r="M152" s="144">
        <f>AVERAGE(M6:M151)</f>
        <v/>
      </c>
      <c r="N152" s="145">
        <f>AVERAGE(N6:N151)</f>
        <v/>
      </c>
      <c r="O152" s="145">
        <f>AVERAGE(O6:O151)</f>
        <v/>
      </c>
      <c r="P152" s="146">
        <f>SUM(P6:P151)</f>
        <v/>
      </c>
    </row>
  </sheetData>
  <autoFilter ref="A5:Q151"/>
  <mergeCells count="3">
    <mergeCell ref="A3:Q3"/>
    <mergeCell ref="A2:Q2"/>
    <mergeCell ref="A1:Q1"/>
  </mergeCells>
  <conditionalFormatting sqref="L6:L151">
    <cfRule type="colorScale" priority="1">
      <colorScale>
        <cfvo type="num" val="0"/>
        <cfvo type="num" val="30"/>
        <cfvo type="num" val="5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98" min="1" max="1"/>
    <col width="30" customWidth="1" style="98" min="2" max="2"/>
    <col width="36" customWidth="1" style="98" min="3" max="3"/>
    <col width="8" customWidth="1" style="98" min="4" max="4"/>
    <col width="18" customWidth="1" style="98" min="5" max="5"/>
    <col width="12" customWidth="1" style="98" min="6" max="6"/>
    <col width="16" customWidth="1" style="98" min="7" max="7"/>
    <col width="16" customWidth="1" style="98" min="8" max="8"/>
    <col width="14" customWidth="1" style="98" min="9" max="9"/>
    <col width="14" customWidth="1" style="98" min="10" max="10"/>
  </cols>
  <sheetData>
    <row r="1" ht="30" customHeight="1" s="98">
      <c r="A1" s="147" t="inlineStr">
        <is>
          <t>Proveedor</t>
        </is>
      </c>
      <c r="B1" s="147" t="inlineStr">
        <is>
          <t>Producto</t>
        </is>
      </c>
      <c r="C1" s="147" t="inlineStr">
        <is>
          <t>Variante</t>
        </is>
      </c>
      <c r="D1" s="147" t="inlineStr">
        <is>
          <t>Grupo</t>
        </is>
      </c>
      <c r="E1" s="147" t="inlineStr">
        <is>
          <t>Tipo tarifa</t>
        </is>
      </c>
      <c r="F1" s="147" t="inlineStr">
        <is>
          <t>Fecha</t>
        </is>
      </c>
      <c r="G1" s="147" t="inlineStr">
        <is>
          <t>Valor sin IVA €</t>
        </is>
      </c>
      <c r="H1" s="147" t="inlineStr">
        <is>
          <t>Valor con IVA €</t>
        </is>
      </c>
      <c r="I1" s="147" t="inlineStr">
        <is>
          <t>Δ vs anterior €</t>
        </is>
      </c>
      <c r="J1" s="147" t="inlineStr">
        <is>
          <t>Δ vs anterior %</t>
        </is>
      </c>
    </row>
    <row r="2">
      <c r="A2" s="148" t="inlineStr">
        <is>
          <t>Balliu</t>
        </is>
      </c>
      <c r="B2" s="148" t="inlineStr">
        <is>
          <t>Agata Mesa</t>
        </is>
      </c>
      <c r="C2" s="148" t="inlineStr">
        <is>
          <t>180 X 90 Encimera aluminio</t>
        </is>
      </c>
      <c r="D2" s="149" t="inlineStr">
        <is>
          <t>G2</t>
        </is>
      </c>
      <c r="E2" s="150" t="inlineStr">
        <is>
          <t>COSTE</t>
        </is>
      </c>
      <c r="F2" s="151" t="inlineStr">
        <is>
          <t>2026-03-30</t>
        </is>
      </c>
      <c r="G2" s="152" t="n">
        <v>270.76</v>
      </c>
      <c r="H2" s="152" t="n">
        <v>327.62</v>
      </c>
      <c r="I2" s="153" t="n"/>
      <c r="J2" s="154" t="n"/>
    </row>
    <row r="3">
      <c r="A3" s="122" t="inlineStr">
        <is>
          <t>Balliu</t>
        </is>
      </c>
      <c r="B3" s="122" t="inlineStr">
        <is>
          <t>Agata Mesa</t>
        </is>
      </c>
      <c r="C3" s="122" t="inlineStr">
        <is>
          <t>180 X 90 Encimera aluminio</t>
        </is>
      </c>
      <c r="D3" s="123" t="inlineStr">
        <is>
          <t>G2</t>
        </is>
      </c>
      <c r="E3" s="155" t="inlineStr">
        <is>
          <t>PVP_RECOMENDADO</t>
        </is>
      </c>
      <c r="F3" s="123" t="inlineStr">
        <is>
          <t>2026-05-07</t>
        </is>
      </c>
      <c r="G3" s="124" t="n">
        <v>416.55</v>
      </c>
      <c r="H3" s="124" t="n">
        <v>504.03</v>
      </c>
      <c r="I3" s="126" t="n"/>
      <c r="J3" s="127" t="n"/>
    </row>
    <row r="4">
      <c r="A4" s="156" t="inlineStr">
        <is>
          <t>Balliu</t>
        </is>
      </c>
      <c r="B4" s="156" t="inlineStr">
        <is>
          <t>Agata Mesa</t>
        </is>
      </c>
      <c r="C4" s="156" t="inlineStr">
        <is>
          <t>70X70 Encimera aluminio</t>
        </is>
      </c>
      <c r="D4" s="157" t="inlineStr">
        <is>
          <t>G2</t>
        </is>
      </c>
      <c r="E4" s="158" t="inlineStr">
        <is>
          <t>COSTE</t>
        </is>
      </c>
      <c r="F4" s="159" t="inlineStr">
        <is>
          <t>2026-03-30</t>
        </is>
      </c>
      <c r="G4" s="160" t="n">
        <v>186.62</v>
      </c>
      <c r="H4" s="160" t="n">
        <v>225.81</v>
      </c>
      <c r="I4" s="161" t="n"/>
      <c r="J4" s="162" t="n"/>
    </row>
    <row r="5">
      <c r="A5" s="116" t="inlineStr">
        <is>
          <t>Balliu</t>
        </is>
      </c>
      <c r="B5" s="116" t="inlineStr">
        <is>
          <t>Agata Mesa</t>
        </is>
      </c>
      <c r="C5" s="116" t="inlineStr">
        <is>
          <t>70X70 Encimera aluminio</t>
        </is>
      </c>
      <c r="D5" s="117" t="inlineStr">
        <is>
          <t>G2</t>
        </is>
      </c>
      <c r="E5" s="163" t="inlineStr">
        <is>
          <t>PVP_RECOMENDADO</t>
        </is>
      </c>
      <c r="F5" s="117" t="inlineStr">
        <is>
          <t>2026-05-07</t>
        </is>
      </c>
      <c r="G5" s="118" t="n">
        <v>287.1</v>
      </c>
      <c r="H5" s="118" t="n">
        <v>347.39</v>
      </c>
      <c r="I5" s="120" t="n"/>
      <c r="J5" s="121" t="n"/>
    </row>
    <row r="6">
      <c r="A6" s="148" t="inlineStr">
        <is>
          <t>Balliu</t>
        </is>
      </c>
      <c r="B6" s="148" t="inlineStr">
        <is>
          <t>Agora Parasol</t>
        </is>
      </c>
      <c r="C6" s="148" t="inlineStr">
        <is>
          <t>Parasol tela Balliu</t>
        </is>
      </c>
      <c r="D6" s="149" t="inlineStr">
        <is>
          <t>G2</t>
        </is>
      </c>
      <c r="E6" s="150" t="inlineStr">
        <is>
          <t>COSTE</t>
        </is>
      </c>
      <c r="F6" s="151" t="inlineStr">
        <is>
          <t>2026-03-30</t>
        </is>
      </c>
      <c r="G6" s="152" t="n">
        <v>217.14</v>
      </c>
      <c r="H6" s="152" t="n">
        <v>262.74</v>
      </c>
      <c r="I6" s="153" t="n"/>
      <c r="J6" s="154" t="n"/>
    </row>
    <row r="7">
      <c r="A7" s="122" t="inlineStr">
        <is>
          <t>Balliu</t>
        </is>
      </c>
      <c r="B7" s="122" t="inlineStr">
        <is>
          <t>Agora Parasol</t>
        </is>
      </c>
      <c r="C7" s="122" t="inlineStr">
        <is>
          <t>Parasol tela Balliu</t>
        </is>
      </c>
      <c r="D7" s="123" t="inlineStr">
        <is>
          <t>G2</t>
        </is>
      </c>
      <c r="E7" s="155" t="inlineStr">
        <is>
          <t>PVP_RECOMENDADO</t>
        </is>
      </c>
      <c r="F7" s="123" t="inlineStr">
        <is>
          <t>2026-05-07</t>
        </is>
      </c>
      <c r="G7" s="124" t="n">
        <v>334.05</v>
      </c>
      <c r="H7" s="124" t="n">
        <v>404.2</v>
      </c>
      <c r="I7" s="126" t="n"/>
      <c r="J7" s="127" t="n"/>
    </row>
    <row r="8">
      <c r="A8" s="156" t="inlineStr">
        <is>
          <t>Balliu</t>
        </is>
      </c>
      <c r="B8" s="156" t="inlineStr">
        <is>
          <t>Agora Parasol</t>
        </is>
      </c>
      <c r="C8" s="156" t="inlineStr">
        <is>
          <t>Parasol tela acrílica</t>
        </is>
      </c>
      <c r="D8" s="157" t="inlineStr">
        <is>
          <t>G2</t>
        </is>
      </c>
      <c r="E8" s="158" t="inlineStr">
        <is>
          <t>COSTE</t>
        </is>
      </c>
      <c r="F8" s="159" t="inlineStr">
        <is>
          <t>2026-03-30</t>
        </is>
      </c>
      <c r="G8" s="160" t="n">
        <v>228.96</v>
      </c>
      <c r="H8" s="160" t="n">
        <v>277.04</v>
      </c>
      <c r="I8" s="161" t="n"/>
      <c r="J8" s="162" t="n"/>
    </row>
    <row r="9">
      <c r="A9" s="116" t="inlineStr">
        <is>
          <t>Balliu</t>
        </is>
      </c>
      <c r="B9" s="116" t="inlineStr">
        <is>
          <t>Agora Parasol</t>
        </is>
      </c>
      <c r="C9" s="116" t="inlineStr">
        <is>
          <t>Parasol tela acrílica</t>
        </is>
      </c>
      <c r="D9" s="117" t="inlineStr">
        <is>
          <t>G2</t>
        </is>
      </c>
      <c r="E9" s="163" t="inlineStr">
        <is>
          <t>PVP_RECOMENDADO</t>
        </is>
      </c>
      <c r="F9" s="117" t="inlineStr">
        <is>
          <t>2026-05-07</t>
        </is>
      </c>
      <c r="G9" s="118" t="n">
        <v>352.25</v>
      </c>
      <c r="H9" s="118" t="n">
        <v>426.22</v>
      </c>
      <c r="I9" s="120" t="n"/>
      <c r="J9" s="121" t="n"/>
    </row>
    <row r="10">
      <c r="A10" s="148" t="inlineStr">
        <is>
          <t>Balliu</t>
        </is>
      </c>
      <c r="B10" s="148" t="inlineStr">
        <is>
          <t>Alba Tumbona</t>
        </is>
      </c>
      <c r="C10" s="148" t="inlineStr">
        <is>
          <t>Tela Balliu</t>
        </is>
      </c>
      <c r="D10" s="149" t="inlineStr">
        <is>
          <t>G4</t>
        </is>
      </c>
      <c r="E10" s="150" t="inlineStr">
        <is>
          <t>COSTE</t>
        </is>
      </c>
      <c r="F10" s="151" t="inlineStr">
        <is>
          <t>2026-03-30</t>
        </is>
      </c>
      <c r="G10" s="152" t="n">
        <v>226.62</v>
      </c>
      <c r="H10" s="152" t="n">
        <v>274.21</v>
      </c>
      <c r="I10" s="153" t="n"/>
      <c r="J10" s="154" t="n"/>
    </row>
    <row r="11">
      <c r="A11" s="122" t="inlineStr">
        <is>
          <t>Balliu</t>
        </is>
      </c>
      <c r="B11" s="122" t="inlineStr">
        <is>
          <t>Alba Tumbona</t>
        </is>
      </c>
      <c r="C11" s="122" t="inlineStr">
        <is>
          <t>Tela Balliu</t>
        </is>
      </c>
      <c r="D11" s="123" t="inlineStr">
        <is>
          <t>G4</t>
        </is>
      </c>
      <c r="E11" s="155" t="inlineStr">
        <is>
          <t>PVP_RECOMENDADO</t>
        </is>
      </c>
      <c r="F11" s="123" t="inlineStr">
        <is>
          <t>2026-05-07</t>
        </is>
      </c>
      <c r="G11" s="124" t="n">
        <v>348.65</v>
      </c>
      <c r="H11" s="124" t="n">
        <v>421.87</v>
      </c>
      <c r="I11" s="126" t="n"/>
      <c r="J11" s="127" t="n"/>
    </row>
    <row r="12">
      <c r="A12" s="156" t="inlineStr">
        <is>
          <t>Balliu</t>
        </is>
      </c>
      <c r="B12" s="156" t="inlineStr">
        <is>
          <t>Alma Cama Balinesa</t>
        </is>
      </c>
      <c r="C12" s="156" t="inlineStr">
        <is>
          <t>Tela Nautica</t>
        </is>
      </c>
      <c r="D12" s="157" t="inlineStr">
        <is>
          <t>G2</t>
        </is>
      </c>
      <c r="E12" s="158" t="inlineStr">
        <is>
          <t>COSTE</t>
        </is>
      </c>
      <c r="F12" s="159" t="inlineStr">
        <is>
          <t>2026-03-30</t>
        </is>
      </c>
      <c r="G12" s="160" t="n">
        <v>1510.81</v>
      </c>
      <c r="H12" s="160" t="n">
        <v>1828.08</v>
      </c>
      <c r="I12" s="161" t="n"/>
      <c r="J12" s="162" t="n"/>
    </row>
    <row r="13">
      <c r="A13" s="116" t="inlineStr">
        <is>
          <t>Balliu</t>
        </is>
      </c>
      <c r="B13" s="116" t="inlineStr">
        <is>
          <t>Alma Cama Balinesa</t>
        </is>
      </c>
      <c r="C13" s="116" t="inlineStr">
        <is>
          <t>Tela Nautica</t>
        </is>
      </c>
      <c r="D13" s="117" t="inlineStr">
        <is>
          <t>G2</t>
        </is>
      </c>
      <c r="E13" s="163" t="inlineStr">
        <is>
          <t>PVP_RECOMENDADO</t>
        </is>
      </c>
      <c r="F13" s="117" t="inlineStr">
        <is>
          <t>2026-05-07</t>
        </is>
      </c>
      <c r="G13" s="118" t="n">
        <v>2324.32</v>
      </c>
      <c r="H13" s="118" t="n">
        <v>2812.43</v>
      </c>
      <c r="I13" s="120" t="n"/>
      <c r="J13" s="121" t="n"/>
    </row>
    <row r="14">
      <c r="A14" s="148" t="inlineStr">
        <is>
          <t>Balliu</t>
        </is>
      </c>
      <c r="B14" s="148" t="inlineStr">
        <is>
          <t>Atlanta Mesa</t>
        </is>
      </c>
      <c r="C14" s="148" t="inlineStr">
        <is>
          <t>140/180X90 Extensible</t>
        </is>
      </c>
      <c r="D14" s="149" t="inlineStr">
        <is>
          <t>G3</t>
        </is>
      </c>
      <c r="E14" s="150" t="inlineStr">
        <is>
          <t>COSTE</t>
        </is>
      </c>
      <c r="F14" s="151" t="inlineStr">
        <is>
          <t>2026-03-30</t>
        </is>
      </c>
      <c r="G14" s="152" t="n">
        <v>789.72</v>
      </c>
      <c r="H14" s="152" t="n">
        <v>955.5599999999999</v>
      </c>
      <c r="I14" s="153" t="n"/>
      <c r="J14" s="154" t="n"/>
    </row>
    <row r="15">
      <c r="A15" s="122" t="inlineStr">
        <is>
          <t>Balliu</t>
        </is>
      </c>
      <c r="B15" s="122" t="inlineStr">
        <is>
          <t>Atlanta Mesa</t>
        </is>
      </c>
      <c r="C15" s="122" t="inlineStr">
        <is>
          <t>140/180X90 Extensible</t>
        </is>
      </c>
      <c r="D15" s="123" t="inlineStr">
        <is>
          <t>G3</t>
        </is>
      </c>
      <c r="E15" s="155" t="inlineStr">
        <is>
          <t>PVP_RECOMENDADO</t>
        </is>
      </c>
      <c r="F15" s="123" t="inlineStr">
        <is>
          <t>2026-05-07</t>
        </is>
      </c>
      <c r="G15" s="124" t="n">
        <v>1052.96</v>
      </c>
      <c r="H15" s="124" t="n">
        <v>1274.08</v>
      </c>
      <c r="I15" s="126" t="n"/>
      <c r="J15" s="127" t="n"/>
    </row>
    <row r="16">
      <c r="A16" s="156" t="inlineStr">
        <is>
          <t>Balliu</t>
        </is>
      </c>
      <c r="B16" s="156" t="inlineStr">
        <is>
          <t>Atlanta Mesa</t>
        </is>
      </c>
      <c r="C16" s="156" t="inlineStr">
        <is>
          <t>200/260X100 Extensible</t>
        </is>
      </c>
      <c r="D16" s="157" t="inlineStr">
        <is>
          <t>G3</t>
        </is>
      </c>
      <c r="E16" s="158" t="inlineStr">
        <is>
          <t>COSTE</t>
        </is>
      </c>
      <c r="F16" s="159" t="inlineStr">
        <is>
          <t>2026-03-30</t>
        </is>
      </c>
      <c r="G16" s="160" t="n">
        <v>1035.01</v>
      </c>
      <c r="H16" s="160" t="n">
        <v>1252.36</v>
      </c>
      <c r="I16" s="161" t="n"/>
      <c r="J16" s="162" t="n"/>
    </row>
    <row r="17">
      <c r="A17" s="116" t="inlineStr">
        <is>
          <t>Balliu</t>
        </is>
      </c>
      <c r="B17" s="116" t="inlineStr">
        <is>
          <t>Atlanta Mesa</t>
        </is>
      </c>
      <c r="C17" s="116" t="inlineStr">
        <is>
          <t>200/260X100 Extensible</t>
        </is>
      </c>
      <c r="D17" s="117" t="inlineStr">
        <is>
          <t>G3</t>
        </is>
      </c>
      <c r="E17" s="163" t="inlineStr">
        <is>
          <t>PVP_RECOMENDADO</t>
        </is>
      </c>
      <c r="F17" s="117" t="inlineStr">
        <is>
          <t>2026-05-07</t>
        </is>
      </c>
      <c r="G17" s="118" t="n">
        <v>1380.01</v>
      </c>
      <c r="H17" s="118" t="n">
        <v>1669.81</v>
      </c>
      <c r="I17" s="120" t="n"/>
      <c r="J17" s="121" t="n"/>
    </row>
    <row r="18">
      <c r="A18" s="148" t="inlineStr">
        <is>
          <t>Balliu</t>
        </is>
      </c>
      <c r="B18" s="148" t="inlineStr">
        <is>
          <t>Aura Cama Balinesa</t>
        </is>
      </c>
      <c r="C18" s="148" t="inlineStr">
        <is>
          <t>Tela Nautica</t>
        </is>
      </c>
      <c r="D18" s="149" t="inlineStr">
        <is>
          <t>G2</t>
        </is>
      </c>
      <c r="E18" s="150" t="inlineStr">
        <is>
          <t>COSTE</t>
        </is>
      </c>
      <c r="F18" s="151" t="inlineStr">
        <is>
          <t>2026-03-30</t>
        </is>
      </c>
      <c r="G18" s="152" t="n">
        <v>1073.61</v>
      </c>
      <c r="H18" s="152" t="n">
        <v>1299.07</v>
      </c>
      <c r="I18" s="153" t="n"/>
      <c r="J18" s="154" t="n"/>
    </row>
    <row r="19">
      <c r="A19" s="122" t="inlineStr">
        <is>
          <t>Balliu</t>
        </is>
      </c>
      <c r="B19" s="122" t="inlineStr">
        <is>
          <t>Aura Cama Balinesa</t>
        </is>
      </c>
      <c r="C19" s="122" t="inlineStr">
        <is>
          <t>Tela Nautica</t>
        </is>
      </c>
      <c r="D19" s="123" t="inlineStr">
        <is>
          <t>G2</t>
        </is>
      </c>
      <c r="E19" s="155" t="inlineStr">
        <is>
          <t>PVP_RECOMENDADO</t>
        </is>
      </c>
      <c r="F19" s="123" t="inlineStr">
        <is>
          <t>2026-05-07</t>
        </is>
      </c>
      <c r="G19" s="124" t="n">
        <v>1651.71</v>
      </c>
      <c r="H19" s="124" t="n">
        <v>1998.57</v>
      </c>
      <c r="I19" s="126" t="n"/>
      <c r="J19" s="127" t="n"/>
    </row>
    <row r="20">
      <c r="A20" s="156" t="inlineStr">
        <is>
          <t>Balliu</t>
        </is>
      </c>
      <c r="B20" s="156" t="inlineStr">
        <is>
          <t>Base Hormigón</t>
        </is>
      </c>
      <c r="C20" s="156" t="inlineStr">
        <is>
          <t>25 Kg</t>
        </is>
      </c>
      <c r="D20" s="157" t="inlineStr">
        <is>
          <t>G2</t>
        </is>
      </c>
      <c r="E20" s="158" t="inlineStr">
        <is>
          <t>COSTE</t>
        </is>
      </c>
      <c r="F20" s="159" t="inlineStr">
        <is>
          <t>2026-03-30</t>
        </is>
      </c>
      <c r="G20" s="160" t="n">
        <v>54.88</v>
      </c>
      <c r="H20" s="160" t="n">
        <v>66.40000000000001</v>
      </c>
      <c r="I20" s="161" t="n"/>
      <c r="J20" s="162" t="n"/>
    </row>
    <row r="21">
      <c r="A21" s="116" t="inlineStr">
        <is>
          <t>Balliu</t>
        </is>
      </c>
      <c r="B21" s="116" t="inlineStr">
        <is>
          <t>Base Hormigón</t>
        </is>
      </c>
      <c r="C21" s="116" t="inlineStr">
        <is>
          <t>25 Kg</t>
        </is>
      </c>
      <c r="D21" s="117" t="inlineStr">
        <is>
          <t>G2</t>
        </is>
      </c>
      <c r="E21" s="163" t="inlineStr">
        <is>
          <t>PVP_RECOMENDADO</t>
        </is>
      </c>
      <c r="F21" s="117" t="inlineStr">
        <is>
          <t>2026-05-07</t>
        </is>
      </c>
      <c r="G21" s="118" t="n">
        <v>84.43000000000001</v>
      </c>
      <c r="H21" s="118" t="n">
        <v>102.16</v>
      </c>
      <c r="I21" s="120" t="n"/>
      <c r="J21" s="121" t="n"/>
    </row>
    <row r="22">
      <c r="A22" s="148" t="inlineStr">
        <is>
          <t>Balliu</t>
        </is>
      </c>
      <c r="B22" s="148" t="inlineStr">
        <is>
          <t>Base Hormigón</t>
        </is>
      </c>
      <c r="C22" s="148" t="inlineStr">
        <is>
          <t>30 Kg</t>
        </is>
      </c>
      <c r="D22" s="149" t="inlineStr">
        <is>
          <t>G2</t>
        </is>
      </c>
      <c r="E22" s="150" t="inlineStr">
        <is>
          <t>COSTE</t>
        </is>
      </c>
      <c r="F22" s="151" t="inlineStr">
        <is>
          <t>2026-03-30</t>
        </is>
      </c>
      <c r="G22" s="152" t="n">
        <v>27.52</v>
      </c>
      <c r="H22" s="152" t="n">
        <v>33.3</v>
      </c>
      <c r="I22" s="153" t="n"/>
      <c r="J22" s="154" t="n"/>
    </row>
    <row r="23">
      <c r="A23" s="122" t="inlineStr">
        <is>
          <t>Balliu</t>
        </is>
      </c>
      <c r="B23" s="122" t="inlineStr">
        <is>
          <t>Base Hormigón</t>
        </is>
      </c>
      <c r="C23" s="122" t="inlineStr">
        <is>
          <t>30 Kg</t>
        </is>
      </c>
      <c r="D23" s="123" t="inlineStr">
        <is>
          <t>G2</t>
        </is>
      </c>
      <c r="E23" s="155" t="inlineStr">
        <is>
          <t>PVP_RECOMENDADO</t>
        </is>
      </c>
      <c r="F23" s="123" t="inlineStr">
        <is>
          <t>2026-05-07</t>
        </is>
      </c>
      <c r="G23" s="124" t="n">
        <v>42.34</v>
      </c>
      <c r="H23" s="124" t="n">
        <v>51.23</v>
      </c>
      <c r="I23" s="126" t="n"/>
      <c r="J23" s="127" t="n"/>
    </row>
    <row r="24">
      <c r="A24" s="156" t="inlineStr">
        <is>
          <t>Balliu</t>
        </is>
      </c>
      <c r="B24" s="156" t="inlineStr">
        <is>
          <t>Bcn Mesa</t>
        </is>
      </c>
      <c r="C24" s="156" t="inlineStr">
        <is>
          <t>Color Blanco</t>
        </is>
      </c>
      <c r="D24" s="157" t="inlineStr">
        <is>
          <t>G1</t>
        </is>
      </c>
      <c r="E24" s="158" t="inlineStr">
        <is>
          <t>COSTE</t>
        </is>
      </c>
      <c r="F24" s="159" t="inlineStr">
        <is>
          <t>2026-03-30</t>
        </is>
      </c>
      <c r="G24" s="160" t="n">
        <v>18.44</v>
      </c>
      <c r="H24" s="160" t="n">
        <v>22.31</v>
      </c>
      <c r="I24" s="161" t="n"/>
      <c r="J24" s="162" t="n"/>
    </row>
    <row r="25">
      <c r="A25" s="116" t="inlineStr">
        <is>
          <t>Balliu</t>
        </is>
      </c>
      <c r="B25" s="116" t="inlineStr">
        <is>
          <t>Bcn Mesa</t>
        </is>
      </c>
      <c r="C25" s="116" t="inlineStr">
        <is>
          <t>Color Blanco</t>
        </is>
      </c>
      <c r="D25" s="117" t="inlineStr">
        <is>
          <t>G1</t>
        </is>
      </c>
      <c r="E25" s="163" t="inlineStr">
        <is>
          <t>PVP_RECOMENDADO</t>
        </is>
      </c>
      <c r="F25" s="117" t="inlineStr">
        <is>
          <t>2026-05-07</t>
        </is>
      </c>
      <c r="G25" s="118" t="n">
        <v>29.74</v>
      </c>
      <c r="H25" s="118" t="n">
        <v>35.99</v>
      </c>
      <c r="I25" s="120" t="n"/>
      <c r="J25" s="121" t="n"/>
    </row>
    <row r="26">
      <c r="A26" s="148" t="inlineStr">
        <is>
          <t>Balliu</t>
        </is>
      </c>
      <c r="B26" s="148" t="inlineStr">
        <is>
          <t>Bcn Mesa</t>
        </is>
      </c>
      <c r="C26" s="148" t="inlineStr">
        <is>
          <t>Color Natural/Prestige</t>
        </is>
      </c>
      <c r="D26" s="149" t="inlineStr">
        <is>
          <t>G1</t>
        </is>
      </c>
      <c r="E26" s="150" t="inlineStr">
        <is>
          <t>COSTE</t>
        </is>
      </c>
      <c r="F26" s="151" t="inlineStr">
        <is>
          <t>2026-03-30</t>
        </is>
      </c>
      <c r="G26" s="152" t="n">
        <v>19.36</v>
      </c>
      <c r="H26" s="152" t="n">
        <v>23.43</v>
      </c>
      <c r="I26" s="153" t="n"/>
      <c r="J26" s="154" t="n"/>
    </row>
    <row r="27">
      <c r="A27" s="122" t="inlineStr">
        <is>
          <t>Balliu</t>
        </is>
      </c>
      <c r="B27" s="122" t="inlineStr">
        <is>
          <t>Bcn Mesa</t>
        </is>
      </c>
      <c r="C27" s="122" t="inlineStr">
        <is>
          <t>Color Natural/Prestige</t>
        </is>
      </c>
      <c r="D27" s="123" t="inlineStr">
        <is>
          <t>G1</t>
        </is>
      </c>
      <c r="E27" s="155" t="inlineStr">
        <is>
          <t>PVP_RECOMENDADO</t>
        </is>
      </c>
      <c r="F27" s="123" t="inlineStr">
        <is>
          <t>2026-05-07</t>
        </is>
      </c>
      <c r="G27" s="124" t="n">
        <v>31.23</v>
      </c>
      <c r="H27" s="124" t="n">
        <v>37.79</v>
      </c>
      <c r="I27" s="126" t="n"/>
      <c r="J27" s="127" t="n"/>
    </row>
    <row r="28">
      <c r="A28" s="156" t="inlineStr">
        <is>
          <t>Balliu</t>
        </is>
      </c>
      <c r="B28" s="156" t="inlineStr">
        <is>
          <t>Bimba Silla</t>
        </is>
      </c>
      <c r="C28" s="156" t="inlineStr">
        <is>
          <t>Blanca (#1)</t>
        </is>
      </c>
      <c r="D28" s="157" t="inlineStr">
        <is>
          <t>G2</t>
        </is>
      </c>
      <c r="E28" s="158" t="inlineStr">
        <is>
          <t>COSTE</t>
        </is>
      </c>
      <c r="F28" s="159" t="inlineStr">
        <is>
          <t>2026-03-30</t>
        </is>
      </c>
      <c r="G28" s="160" t="n">
        <v>41.58</v>
      </c>
      <c r="H28" s="160" t="n">
        <v>50.31</v>
      </c>
      <c r="I28" s="161" t="n"/>
      <c r="J28" s="162" t="n"/>
    </row>
    <row r="29">
      <c r="A29" s="116" t="inlineStr">
        <is>
          <t>Balliu</t>
        </is>
      </c>
      <c r="B29" s="116" t="inlineStr">
        <is>
          <t>Bimba Silla</t>
        </is>
      </c>
      <c r="C29" s="116" t="inlineStr">
        <is>
          <t>Blanca (#1)</t>
        </is>
      </c>
      <c r="D29" s="117" t="inlineStr">
        <is>
          <t>G2</t>
        </is>
      </c>
      <c r="E29" s="163" t="inlineStr">
        <is>
          <t>PVP_RECOMENDADO</t>
        </is>
      </c>
      <c r="F29" s="117" t="inlineStr">
        <is>
          <t>2026-05-07</t>
        </is>
      </c>
      <c r="G29" s="118" t="n">
        <v>63.96</v>
      </c>
      <c r="H29" s="118" t="n">
        <v>77.39</v>
      </c>
      <c r="I29" s="120" t="n"/>
      <c r="J29" s="121" t="n"/>
    </row>
    <row r="30">
      <c r="A30" s="148" t="inlineStr">
        <is>
          <t>Balliu</t>
        </is>
      </c>
      <c r="B30" s="148" t="inlineStr">
        <is>
          <t>Bimba Silla</t>
        </is>
      </c>
      <c r="C30" s="148" t="inlineStr">
        <is>
          <t>Blanca (#2)</t>
        </is>
      </c>
      <c r="D30" s="149" t="inlineStr">
        <is>
          <t>G2</t>
        </is>
      </c>
      <c r="E30" s="150" t="inlineStr">
        <is>
          <t>COSTE</t>
        </is>
      </c>
      <c r="F30" s="151" t="inlineStr">
        <is>
          <t>2026-03-30</t>
        </is>
      </c>
      <c r="G30" s="152" t="n">
        <v>54.81</v>
      </c>
      <c r="H30" s="152" t="n">
        <v>66.31999999999999</v>
      </c>
      <c r="I30" s="153" t="n"/>
      <c r="J30" s="154" t="n"/>
    </row>
    <row r="31">
      <c r="A31" s="122" t="inlineStr">
        <is>
          <t>Balliu</t>
        </is>
      </c>
      <c r="B31" s="122" t="inlineStr">
        <is>
          <t>Bimba Silla</t>
        </is>
      </c>
      <c r="C31" s="122" t="inlineStr">
        <is>
          <t>Blanca (#2)</t>
        </is>
      </c>
      <c r="D31" s="123" t="inlineStr">
        <is>
          <t>G2</t>
        </is>
      </c>
      <c r="E31" s="155" t="inlineStr">
        <is>
          <t>PVP_RECOMENDADO</t>
        </is>
      </c>
      <c r="F31" s="123" t="inlineStr">
        <is>
          <t>2026-05-07</t>
        </is>
      </c>
      <c r="G31" s="124" t="n">
        <v>84.31999999999999</v>
      </c>
      <c r="H31" s="124" t="n">
        <v>102.03</v>
      </c>
      <c r="I31" s="126" t="n"/>
      <c r="J31" s="127" t="n"/>
    </row>
    <row r="32">
      <c r="A32" s="156" t="inlineStr">
        <is>
          <t>Balliu</t>
        </is>
      </c>
      <c r="B32" s="156" t="inlineStr">
        <is>
          <t>Bimba Silla</t>
        </is>
      </c>
      <c r="C32" s="156" t="inlineStr">
        <is>
          <t>Color negro / Tortora</t>
        </is>
      </c>
      <c r="D32" s="157" t="inlineStr">
        <is>
          <t>G2</t>
        </is>
      </c>
      <c r="E32" s="158" t="inlineStr">
        <is>
          <t>COSTE</t>
        </is>
      </c>
      <c r="F32" s="159" t="inlineStr">
        <is>
          <t>2026-03-30</t>
        </is>
      </c>
      <c r="G32" s="160" t="n">
        <v>43.92</v>
      </c>
      <c r="H32" s="160" t="n">
        <v>53.14</v>
      </c>
      <c r="I32" s="161" t="n"/>
      <c r="J32" s="162" t="n"/>
    </row>
    <row r="33">
      <c r="A33" s="116" t="inlineStr">
        <is>
          <t>Balliu</t>
        </is>
      </c>
      <c r="B33" s="116" t="inlineStr">
        <is>
          <t>Bimba Silla</t>
        </is>
      </c>
      <c r="C33" s="116" t="inlineStr">
        <is>
          <t>Color negro / Tortora</t>
        </is>
      </c>
      <c r="D33" s="117" t="inlineStr">
        <is>
          <t>G2</t>
        </is>
      </c>
      <c r="E33" s="163" t="inlineStr">
        <is>
          <t>PVP_RECOMENDADO</t>
        </is>
      </c>
      <c r="F33" s="117" t="inlineStr">
        <is>
          <t>2026-05-07</t>
        </is>
      </c>
      <c r="G33" s="118" t="n">
        <v>67.56999999999999</v>
      </c>
      <c r="H33" s="118" t="n">
        <v>81.76000000000001</v>
      </c>
      <c r="I33" s="120" t="n"/>
      <c r="J33" s="121" t="n"/>
    </row>
    <row r="34">
      <c r="A34" s="148" t="inlineStr">
        <is>
          <t>Balliu</t>
        </is>
      </c>
      <c r="B34" s="148" t="inlineStr">
        <is>
          <t>Bimba Silla</t>
        </is>
      </c>
      <c r="C34" s="148" t="inlineStr">
        <is>
          <t>Negra</t>
        </is>
      </c>
      <c r="D34" s="149" t="inlineStr">
        <is>
          <t>G2</t>
        </is>
      </c>
      <c r="E34" s="150" t="inlineStr">
        <is>
          <t>COSTE</t>
        </is>
      </c>
      <c r="F34" s="151" t="inlineStr">
        <is>
          <t>2026-03-30</t>
        </is>
      </c>
      <c r="G34" s="152" t="n">
        <v>55.63</v>
      </c>
      <c r="H34" s="152" t="n">
        <v>67.31</v>
      </c>
      <c r="I34" s="153" t="n"/>
      <c r="J34" s="154" t="n"/>
    </row>
    <row r="35">
      <c r="A35" s="122" t="inlineStr">
        <is>
          <t>Balliu</t>
        </is>
      </c>
      <c r="B35" s="122" t="inlineStr">
        <is>
          <t>Bimba Silla</t>
        </is>
      </c>
      <c r="C35" s="122" t="inlineStr">
        <is>
          <t>Negra</t>
        </is>
      </c>
      <c r="D35" s="123" t="inlineStr">
        <is>
          <t>G2</t>
        </is>
      </c>
      <c r="E35" s="155" t="inlineStr">
        <is>
          <t>PVP_RECOMENDADO</t>
        </is>
      </c>
      <c r="F35" s="123" t="inlineStr">
        <is>
          <t>2026-05-07</t>
        </is>
      </c>
      <c r="G35" s="124" t="n">
        <v>85.59</v>
      </c>
      <c r="H35" s="124" t="n">
        <v>103.56</v>
      </c>
      <c r="I35" s="126" t="n"/>
      <c r="J35" s="127" t="n"/>
    </row>
    <row r="36">
      <c r="A36" s="156" t="inlineStr">
        <is>
          <t>Balliu</t>
        </is>
      </c>
      <c r="B36" s="156" t="inlineStr">
        <is>
          <t>Bristol Mini Tumbona</t>
        </is>
      </c>
      <c r="C36" s="156" t="inlineStr">
        <is>
          <t>Mini Tumbona Bristol (Con cojín)</t>
        </is>
      </c>
      <c r="D36" s="157" t="inlineStr">
        <is>
          <t>G2</t>
        </is>
      </c>
      <c r="E36" s="158" t="inlineStr">
        <is>
          <t>COSTE</t>
        </is>
      </c>
      <c r="F36" s="159" t="inlineStr">
        <is>
          <t>2026-03-30</t>
        </is>
      </c>
      <c r="G36" s="160" t="n">
        <v>139.67</v>
      </c>
      <c r="H36" s="160" t="n">
        <v>169</v>
      </c>
      <c r="I36" s="161" t="n"/>
      <c r="J36" s="162" t="n"/>
    </row>
    <row r="37">
      <c r="A37" s="116" t="inlineStr">
        <is>
          <t>Balliu</t>
        </is>
      </c>
      <c r="B37" s="116" t="inlineStr">
        <is>
          <t>Bristol Mini Tumbona</t>
        </is>
      </c>
      <c r="C37" s="116" t="inlineStr">
        <is>
          <t>Mini Tumbona Bristol (Con cojín)</t>
        </is>
      </c>
      <c r="D37" s="117" t="inlineStr">
        <is>
          <t>G2</t>
        </is>
      </c>
      <c r="E37" s="163" t="inlineStr">
        <is>
          <t>PVP_RECOMENDADO</t>
        </is>
      </c>
      <c r="F37" s="117" t="inlineStr">
        <is>
          <t>2026-05-07</t>
        </is>
      </c>
      <c r="G37" s="118" t="n">
        <v>251.66</v>
      </c>
      <c r="H37" s="118" t="n">
        <v>304.51</v>
      </c>
      <c r="I37" s="120" t="n"/>
      <c r="J37" s="121" t="n"/>
    </row>
    <row r="38">
      <c r="A38" s="148" t="inlineStr">
        <is>
          <t>Balliu</t>
        </is>
      </c>
      <c r="B38" s="148" t="inlineStr">
        <is>
          <t>Bruna Silla</t>
        </is>
      </c>
      <c r="C38" s="148" t="inlineStr">
        <is>
          <t>Con Brazos</t>
        </is>
      </c>
      <c r="D38" s="149" t="inlineStr">
        <is>
          <t>G3</t>
        </is>
      </c>
      <c r="E38" s="150" t="inlineStr">
        <is>
          <t>COSTE</t>
        </is>
      </c>
      <c r="F38" s="151" t="inlineStr">
        <is>
          <t>2026-03-30</t>
        </is>
      </c>
      <c r="G38" s="152" t="n">
        <v>52.19</v>
      </c>
      <c r="H38" s="152" t="n">
        <v>63.15</v>
      </c>
      <c r="I38" s="153" t="n"/>
      <c r="J38" s="154" t="n"/>
    </row>
    <row r="39">
      <c r="A39" s="122" t="inlineStr">
        <is>
          <t>Balliu</t>
        </is>
      </c>
      <c r="B39" s="122" t="inlineStr">
        <is>
          <t>Bruna Silla</t>
        </is>
      </c>
      <c r="C39" s="122" t="inlineStr">
        <is>
          <t>Con Brazos</t>
        </is>
      </c>
      <c r="D39" s="123" t="inlineStr">
        <is>
          <t>G3</t>
        </is>
      </c>
      <c r="E39" s="155" t="inlineStr">
        <is>
          <t>PVP_RECOMENDADO</t>
        </is>
      </c>
      <c r="F39" s="123" t="inlineStr">
        <is>
          <t>2026-05-07</t>
        </is>
      </c>
      <c r="G39" s="124" t="n">
        <v>69.58</v>
      </c>
      <c r="H39" s="124" t="n">
        <v>84.19</v>
      </c>
      <c r="I39" s="126" t="n"/>
      <c r="J39" s="127" t="n"/>
    </row>
    <row r="40">
      <c r="A40" s="156" t="inlineStr">
        <is>
          <t>Balliu</t>
        </is>
      </c>
      <c r="B40" s="156" t="inlineStr">
        <is>
          <t>Bruna Silla</t>
        </is>
      </c>
      <c r="C40" s="156" t="inlineStr">
        <is>
          <t>Sin Brazos</t>
        </is>
      </c>
      <c r="D40" s="157" t="inlineStr">
        <is>
          <t>G3</t>
        </is>
      </c>
      <c r="E40" s="158" t="inlineStr">
        <is>
          <t>COSTE</t>
        </is>
      </c>
      <c r="F40" s="159" t="inlineStr">
        <is>
          <t>2026-03-30</t>
        </is>
      </c>
      <c r="G40" s="160" t="n">
        <v>43.89</v>
      </c>
      <c r="H40" s="160" t="n">
        <v>53.11</v>
      </c>
      <c r="I40" s="161" t="n"/>
      <c r="J40" s="162" t="n"/>
    </row>
    <row r="41">
      <c r="A41" s="116" t="inlineStr">
        <is>
          <t>Balliu</t>
        </is>
      </c>
      <c r="B41" s="116" t="inlineStr">
        <is>
          <t>Bruna Silla</t>
        </is>
      </c>
      <c r="C41" s="116" t="inlineStr">
        <is>
          <t>Sin Brazos</t>
        </is>
      </c>
      <c r="D41" s="117" t="inlineStr">
        <is>
          <t>G3</t>
        </is>
      </c>
      <c r="E41" s="163" t="inlineStr">
        <is>
          <t>PVP_RECOMENDADO</t>
        </is>
      </c>
      <c r="F41" s="117" t="inlineStr">
        <is>
          <t>2026-05-07</t>
        </is>
      </c>
      <c r="G41" s="118" t="n">
        <v>58.52</v>
      </c>
      <c r="H41" s="118" t="n">
        <v>70.81</v>
      </c>
      <c r="I41" s="120" t="n"/>
      <c r="J41" s="121" t="n"/>
    </row>
    <row r="42">
      <c r="A42" s="148" t="inlineStr">
        <is>
          <t>Balliu</t>
        </is>
      </c>
      <c r="B42" s="148" t="inlineStr">
        <is>
          <t>Brunei Mesa</t>
        </is>
      </c>
      <c r="C42" s="148" t="inlineStr">
        <is>
          <t>130X80 Tablero Hpl</t>
        </is>
      </c>
      <c r="D42" s="149" t="inlineStr">
        <is>
          <t>G2</t>
        </is>
      </c>
      <c r="E42" s="150" t="inlineStr">
        <is>
          <t>COSTE</t>
        </is>
      </c>
      <c r="F42" s="151" t="inlineStr">
        <is>
          <t>2026-03-30</t>
        </is>
      </c>
      <c r="G42" s="152" t="n">
        <v>342.68</v>
      </c>
      <c r="H42" s="152" t="n">
        <v>414.64</v>
      </c>
      <c r="I42" s="153" t="n"/>
      <c r="J42" s="154" t="n"/>
    </row>
    <row r="43">
      <c r="A43" s="122" t="inlineStr">
        <is>
          <t>Balliu</t>
        </is>
      </c>
      <c r="B43" s="122" t="inlineStr">
        <is>
          <t>Brunei Mesa</t>
        </is>
      </c>
      <c r="C43" s="122" t="inlineStr">
        <is>
          <t>130X80 Tablero Hpl</t>
        </is>
      </c>
      <c r="D43" s="123" t="inlineStr">
        <is>
          <t>G2</t>
        </is>
      </c>
      <c r="E43" s="155" t="inlineStr">
        <is>
          <t>PVP_RECOMENDADO</t>
        </is>
      </c>
      <c r="F43" s="123" t="inlineStr">
        <is>
          <t>2026-05-07</t>
        </is>
      </c>
      <c r="G43" s="124" t="n">
        <v>527.21</v>
      </c>
      <c r="H43" s="124" t="n">
        <v>637.92</v>
      </c>
      <c r="I43" s="126" t="n"/>
      <c r="J43" s="127" t="n"/>
    </row>
    <row r="44">
      <c r="A44" s="156" t="inlineStr">
        <is>
          <t>Balliu</t>
        </is>
      </c>
      <c r="B44" s="156" t="inlineStr">
        <is>
          <t>Brunei Mesa</t>
        </is>
      </c>
      <c r="C44" s="156" t="inlineStr">
        <is>
          <t>130X80 Tablero Hpl Gd</t>
        </is>
      </c>
      <c r="D44" s="157" t="inlineStr">
        <is>
          <t>G2</t>
        </is>
      </c>
      <c r="E44" s="158" t="inlineStr">
        <is>
          <t>COSTE</t>
        </is>
      </c>
      <c r="F44" s="159" t="inlineStr">
        <is>
          <t>2026-03-30</t>
        </is>
      </c>
      <c r="G44" s="160" t="n">
        <v>396.09</v>
      </c>
      <c r="H44" s="160" t="n">
        <v>479.27</v>
      </c>
      <c r="I44" s="161" t="n"/>
      <c r="J44" s="162" t="n"/>
    </row>
    <row r="45">
      <c r="A45" s="116" t="inlineStr">
        <is>
          <t>Balliu</t>
        </is>
      </c>
      <c r="B45" s="116" t="inlineStr">
        <is>
          <t>Brunei Mesa</t>
        </is>
      </c>
      <c r="C45" s="116" t="inlineStr">
        <is>
          <t>130X80 Tablero Hpl Gd</t>
        </is>
      </c>
      <c r="D45" s="117" t="inlineStr">
        <is>
          <t>G2</t>
        </is>
      </c>
      <c r="E45" s="163" t="inlineStr">
        <is>
          <t>PVP_RECOMENDADO</t>
        </is>
      </c>
      <c r="F45" s="117" t="inlineStr">
        <is>
          <t>2026-05-07</t>
        </is>
      </c>
      <c r="G45" s="118" t="n">
        <v>609.37</v>
      </c>
      <c r="H45" s="118" t="n">
        <v>737.34</v>
      </c>
      <c r="I45" s="120" t="n"/>
      <c r="J45" s="121" t="n"/>
    </row>
    <row r="46">
      <c r="A46" s="148" t="inlineStr">
        <is>
          <t>Balliu</t>
        </is>
      </c>
      <c r="B46" s="148" t="inlineStr">
        <is>
          <t>Brunei Mesa</t>
        </is>
      </c>
      <c r="C46" s="148" t="inlineStr">
        <is>
          <t>160X90 Tablero Hpl</t>
        </is>
      </c>
      <c r="D46" s="149" t="inlineStr">
        <is>
          <t>G2</t>
        </is>
      </c>
      <c r="E46" s="150" t="inlineStr">
        <is>
          <t>COSTE</t>
        </is>
      </c>
      <c r="F46" s="151" t="inlineStr">
        <is>
          <t>2026-03-30</t>
        </is>
      </c>
      <c r="G46" s="152" t="n">
        <v>412.95</v>
      </c>
      <c r="H46" s="152" t="n">
        <v>499.67</v>
      </c>
      <c r="I46" s="153" t="n"/>
      <c r="J46" s="154" t="n"/>
    </row>
    <row r="47">
      <c r="A47" s="122" t="inlineStr">
        <is>
          <t>Balliu</t>
        </is>
      </c>
      <c r="B47" s="122" t="inlineStr">
        <is>
          <t>Brunei Mesa</t>
        </is>
      </c>
      <c r="C47" s="122" t="inlineStr">
        <is>
          <t>160X90 Tablero Hpl</t>
        </is>
      </c>
      <c r="D47" s="123" t="inlineStr">
        <is>
          <t>G2</t>
        </is>
      </c>
      <c r="E47" s="155" t="inlineStr">
        <is>
          <t>PVP_RECOMENDADO</t>
        </is>
      </c>
      <c r="F47" s="123" t="inlineStr">
        <is>
          <t>2026-05-07</t>
        </is>
      </c>
      <c r="G47" s="124" t="n">
        <v>635.3200000000001</v>
      </c>
      <c r="H47" s="124" t="n">
        <v>768.74</v>
      </c>
      <c r="I47" s="126" t="n"/>
      <c r="J47" s="127" t="n"/>
    </row>
    <row r="48">
      <c r="A48" s="156" t="inlineStr">
        <is>
          <t>Balliu</t>
        </is>
      </c>
      <c r="B48" s="156" t="inlineStr">
        <is>
          <t>Brunei Mesa</t>
        </is>
      </c>
      <c r="C48" s="156" t="inlineStr">
        <is>
          <t>160X90 Tablero Hpl Gd</t>
        </is>
      </c>
      <c r="D48" s="157" t="inlineStr">
        <is>
          <t>G2</t>
        </is>
      </c>
      <c r="E48" s="158" t="inlineStr">
        <is>
          <t>COSTE</t>
        </is>
      </c>
      <c r="F48" s="159" t="inlineStr">
        <is>
          <t>2026-03-30</t>
        </is>
      </c>
      <c r="G48" s="160" t="n">
        <v>479.59</v>
      </c>
      <c r="H48" s="160" t="n">
        <v>580.3</v>
      </c>
      <c r="I48" s="161" t="n"/>
      <c r="J48" s="162" t="n"/>
    </row>
    <row r="49">
      <c r="A49" s="116" t="inlineStr">
        <is>
          <t>Balliu</t>
        </is>
      </c>
      <c r="B49" s="116" t="inlineStr">
        <is>
          <t>Brunei Mesa</t>
        </is>
      </c>
      <c r="C49" s="116" t="inlineStr">
        <is>
          <t>160X90 Tablero Hpl Gd</t>
        </is>
      </c>
      <c r="D49" s="117" t="inlineStr">
        <is>
          <t>G2</t>
        </is>
      </c>
      <c r="E49" s="163" t="inlineStr">
        <is>
          <t>PVP_RECOMENDADO</t>
        </is>
      </c>
      <c r="F49" s="117" t="inlineStr">
        <is>
          <t>2026-05-07</t>
        </is>
      </c>
      <c r="G49" s="118" t="n">
        <v>737.84</v>
      </c>
      <c r="H49" s="118" t="n">
        <v>892.79</v>
      </c>
      <c r="I49" s="120" t="n"/>
      <c r="J49" s="121" t="n"/>
    </row>
    <row r="50">
      <c r="A50" s="148" t="inlineStr">
        <is>
          <t>Balliu</t>
        </is>
      </c>
      <c r="B50" s="148" t="inlineStr">
        <is>
          <t>Brunei Mesa</t>
        </is>
      </c>
      <c r="C50" s="148" t="inlineStr">
        <is>
          <t>190X90 Tablero Hpl</t>
        </is>
      </c>
      <c r="D50" s="149" t="inlineStr">
        <is>
          <t>G2</t>
        </is>
      </c>
      <c r="E50" s="150" t="inlineStr">
        <is>
          <t>COSTE</t>
        </is>
      </c>
      <c r="F50" s="151" t="inlineStr">
        <is>
          <t>2026-03-30</t>
        </is>
      </c>
      <c r="G50" s="152" t="n">
        <v>506.65</v>
      </c>
      <c r="H50" s="152" t="n">
        <v>613.05</v>
      </c>
      <c r="I50" s="153" t="n"/>
      <c r="J50" s="154" t="n"/>
    </row>
    <row r="51">
      <c r="A51" s="122" t="inlineStr">
        <is>
          <t>Balliu</t>
        </is>
      </c>
      <c r="B51" s="122" t="inlineStr">
        <is>
          <t>Brunei Mesa</t>
        </is>
      </c>
      <c r="C51" s="122" t="inlineStr">
        <is>
          <t>190X90 Tablero Hpl</t>
        </is>
      </c>
      <c r="D51" s="123" t="inlineStr">
        <is>
          <t>G2</t>
        </is>
      </c>
      <c r="E51" s="155" t="inlineStr">
        <is>
          <t>PVP_RECOMENDADO</t>
        </is>
      </c>
      <c r="F51" s="123" t="inlineStr">
        <is>
          <t>2026-05-07</t>
        </is>
      </c>
      <c r="G51" s="124" t="n">
        <v>779.46</v>
      </c>
      <c r="H51" s="124" t="n">
        <v>943.15</v>
      </c>
      <c r="I51" s="126" t="n"/>
      <c r="J51" s="127" t="n"/>
    </row>
    <row r="52">
      <c r="A52" s="156" t="inlineStr">
        <is>
          <t>Balliu</t>
        </is>
      </c>
      <c r="B52" s="156" t="inlineStr">
        <is>
          <t>Brunei Mesa</t>
        </is>
      </c>
      <c r="C52" s="156" t="inlineStr">
        <is>
          <t>190X90 Tablero Hpl Gd</t>
        </is>
      </c>
      <c r="D52" s="157" t="inlineStr">
        <is>
          <t>G2</t>
        </is>
      </c>
      <c r="E52" s="158" t="inlineStr">
        <is>
          <t>COSTE</t>
        </is>
      </c>
      <c r="F52" s="159" t="inlineStr">
        <is>
          <t>2026-03-30</t>
        </is>
      </c>
      <c r="G52" s="160" t="n">
        <v>603.5</v>
      </c>
      <c r="H52" s="160" t="n">
        <v>730.24</v>
      </c>
      <c r="I52" s="161" t="n"/>
      <c r="J52" s="162" t="n"/>
    </row>
    <row r="53">
      <c r="A53" s="116" t="inlineStr">
        <is>
          <t>Balliu</t>
        </is>
      </c>
      <c r="B53" s="116" t="inlineStr">
        <is>
          <t>Brunei Mesa</t>
        </is>
      </c>
      <c r="C53" s="116" t="inlineStr">
        <is>
          <t>190X90 Tablero Hpl Gd</t>
        </is>
      </c>
      <c r="D53" s="117" t="inlineStr">
        <is>
          <t>G2</t>
        </is>
      </c>
      <c r="E53" s="163" t="inlineStr">
        <is>
          <t>PVP_RECOMENDADO</t>
        </is>
      </c>
      <c r="F53" s="117" t="inlineStr">
        <is>
          <t>2026-05-07</t>
        </is>
      </c>
      <c r="G53" s="118" t="n">
        <v>928.47</v>
      </c>
      <c r="H53" s="118" t="n">
        <v>1123.45</v>
      </c>
      <c r="I53" s="120" t="n"/>
      <c r="J53" s="121" t="n"/>
    </row>
    <row r="54">
      <c r="A54" s="148" t="inlineStr">
        <is>
          <t>Balliu</t>
        </is>
      </c>
      <c r="B54" s="148" t="inlineStr">
        <is>
          <t>Brunei Mesa</t>
        </is>
      </c>
      <c r="C54" s="148" t="inlineStr">
        <is>
          <t>240X90 Tablero Hpl</t>
        </is>
      </c>
      <c r="D54" s="149" t="inlineStr">
        <is>
          <t>G2</t>
        </is>
      </c>
      <c r="E54" s="150" t="inlineStr">
        <is>
          <t>COSTE</t>
        </is>
      </c>
      <c r="F54" s="151" t="inlineStr">
        <is>
          <t>2026-03-30</t>
        </is>
      </c>
      <c r="G54" s="152" t="n">
        <v>689</v>
      </c>
      <c r="H54" s="152" t="n">
        <v>833.6900000000001</v>
      </c>
      <c r="I54" s="153" t="n"/>
      <c r="J54" s="154" t="n"/>
    </row>
    <row r="55">
      <c r="A55" s="122" t="inlineStr">
        <is>
          <t>Balliu</t>
        </is>
      </c>
      <c r="B55" s="122" t="inlineStr">
        <is>
          <t>Brunei Mesa</t>
        </is>
      </c>
      <c r="C55" s="122" t="inlineStr">
        <is>
          <t>240X90 Tablero Hpl</t>
        </is>
      </c>
      <c r="D55" s="123" t="inlineStr">
        <is>
          <t>G2</t>
        </is>
      </c>
      <c r="E55" s="155" t="inlineStr">
        <is>
          <t>PVP_RECOMENDADO</t>
        </is>
      </c>
      <c r="F55" s="123" t="inlineStr">
        <is>
          <t>2026-05-07</t>
        </is>
      </c>
      <c r="G55" s="124" t="n">
        <v>1060</v>
      </c>
      <c r="H55" s="124" t="n">
        <v>1282.6</v>
      </c>
      <c r="I55" s="126" t="n"/>
      <c r="J55" s="127" t="n"/>
    </row>
    <row r="56">
      <c r="A56" s="156" t="inlineStr">
        <is>
          <t>Balliu</t>
        </is>
      </c>
      <c r="B56" s="156" t="inlineStr">
        <is>
          <t>Brunei Mesa</t>
        </is>
      </c>
      <c r="C56" s="156" t="inlineStr">
        <is>
          <t>240X90 Tablero Hpl Gd</t>
        </is>
      </c>
      <c r="D56" s="157" t="inlineStr">
        <is>
          <t>G2</t>
        </is>
      </c>
      <c r="E56" s="158" t="inlineStr">
        <is>
          <t>COSTE</t>
        </is>
      </c>
      <c r="F56" s="159" t="inlineStr">
        <is>
          <t>2026-03-30</t>
        </is>
      </c>
      <c r="G56" s="160" t="n">
        <v>694.04</v>
      </c>
      <c r="H56" s="160" t="n">
        <v>839.79</v>
      </c>
      <c r="I56" s="161" t="n"/>
      <c r="J56" s="162" t="n"/>
    </row>
    <row r="57">
      <c r="A57" s="116" t="inlineStr">
        <is>
          <t>Balliu</t>
        </is>
      </c>
      <c r="B57" s="116" t="inlineStr">
        <is>
          <t>Brunei Mesa</t>
        </is>
      </c>
      <c r="C57" s="116" t="inlineStr">
        <is>
          <t>240X90 Tablero Hpl Gd</t>
        </is>
      </c>
      <c r="D57" s="117" t="inlineStr">
        <is>
          <t>G2</t>
        </is>
      </c>
      <c r="E57" s="163" t="inlineStr">
        <is>
          <t>PVP_RECOMENDADO</t>
        </is>
      </c>
      <c r="F57" s="117" t="inlineStr">
        <is>
          <t>2026-05-07</t>
        </is>
      </c>
      <c r="G57" s="118" t="n">
        <v>1067.75</v>
      </c>
      <c r="H57" s="118" t="n">
        <v>1291.98</v>
      </c>
      <c r="I57" s="120" t="n"/>
      <c r="J57" s="121" t="n"/>
    </row>
    <row r="58">
      <c r="A58" s="148" t="inlineStr">
        <is>
          <t>Balliu</t>
        </is>
      </c>
      <c r="B58" s="148" t="inlineStr">
        <is>
          <t>Brunei Mesa</t>
        </is>
      </c>
      <c r="C58" s="148" t="inlineStr">
        <is>
          <t>80X80 Tablero Hpl</t>
        </is>
      </c>
      <c r="D58" s="149" t="inlineStr">
        <is>
          <t>G2</t>
        </is>
      </c>
      <c r="E58" s="150" t="inlineStr">
        <is>
          <t>COSTE</t>
        </is>
      </c>
      <c r="F58" s="151" t="inlineStr">
        <is>
          <t>2026-03-30</t>
        </is>
      </c>
      <c r="G58" s="152" t="n">
        <v>257.19</v>
      </c>
      <c r="H58" s="152" t="n">
        <v>311.2</v>
      </c>
      <c r="I58" s="153" t="n"/>
      <c r="J58" s="154" t="n"/>
    </row>
    <row r="59">
      <c r="A59" s="122" t="inlineStr">
        <is>
          <t>Balliu</t>
        </is>
      </c>
      <c r="B59" s="122" t="inlineStr">
        <is>
          <t>Brunei Mesa</t>
        </is>
      </c>
      <c r="C59" s="122" t="inlineStr">
        <is>
          <t>80X80 Tablero Hpl</t>
        </is>
      </c>
      <c r="D59" s="123" t="inlineStr">
        <is>
          <t>G2</t>
        </is>
      </c>
      <c r="E59" s="155" t="inlineStr">
        <is>
          <t>PVP_RECOMENDADO</t>
        </is>
      </c>
      <c r="F59" s="123" t="inlineStr">
        <is>
          <t>2026-05-07</t>
        </is>
      </c>
      <c r="G59" s="124" t="n">
        <v>395.68</v>
      </c>
      <c r="H59" s="124" t="n">
        <v>478.77</v>
      </c>
      <c r="I59" s="126" t="n"/>
      <c r="J59" s="127" t="n"/>
    </row>
    <row r="60">
      <c r="A60" s="156" t="inlineStr">
        <is>
          <t>Balliu</t>
        </is>
      </c>
      <c r="B60" s="156" t="inlineStr">
        <is>
          <t>Brunei Mesa</t>
        </is>
      </c>
      <c r="C60" s="156" t="inlineStr">
        <is>
          <t>80X80 Tablero Hpl Gd</t>
        </is>
      </c>
      <c r="D60" s="157" t="inlineStr">
        <is>
          <t>G2</t>
        </is>
      </c>
      <c r="E60" s="158" t="inlineStr">
        <is>
          <t>COSTE</t>
        </is>
      </c>
      <c r="F60" s="159" t="inlineStr">
        <is>
          <t>2026-03-30</t>
        </is>
      </c>
      <c r="G60" s="160" t="n">
        <v>290.22</v>
      </c>
      <c r="H60" s="160" t="n">
        <v>351.17</v>
      </c>
      <c r="I60" s="161" t="n"/>
      <c r="J60" s="162" t="n"/>
    </row>
    <row r="61">
      <c r="A61" s="116" t="inlineStr">
        <is>
          <t>Balliu</t>
        </is>
      </c>
      <c r="B61" s="116" t="inlineStr">
        <is>
          <t>Brunei Mesa</t>
        </is>
      </c>
      <c r="C61" s="116" t="inlineStr">
        <is>
          <t>80X80 Tablero Hpl Gd</t>
        </is>
      </c>
      <c r="D61" s="117" t="inlineStr">
        <is>
          <t>G2</t>
        </is>
      </c>
      <c r="E61" s="163" t="inlineStr">
        <is>
          <t>PVP_RECOMENDADO</t>
        </is>
      </c>
      <c r="F61" s="117" t="inlineStr">
        <is>
          <t>2026-05-07</t>
        </is>
      </c>
      <c r="G61" s="118" t="n">
        <v>446.49</v>
      </c>
      <c r="H61" s="118" t="n">
        <v>540.25</v>
      </c>
      <c r="I61" s="120" t="n"/>
      <c r="J61" s="121" t="n"/>
    </row>
    <row r="62">
      <c r="A62" s="148" t="inlineStr">
        <is>
          <t>Balliu</t>
        </is>
      </c>
      <c r="B62" s="148" t="inlineStr">
        <is>
          <t>Caja Seguridad</t>
        </is>
      </c>
      <c r="C62" s="148" t="inlineStr">
        <is>
          <t>Weguard</t>
        </is>
      </c>
      <c r="D62" s="149" t="inlineStr">
        <is>
          <t>G1</t>
        </is>
      </c>
      <c r="E62" s="150" t="inlineStr">
        <is>
          <t>COSTE</t>
        </is>
      </c>
      <c r="F62" s="151" t="inlineStr">
        <is>
          <t>2026-03-30</t>
        </is>
      </c>
      <c r="G62" s="152" t="n">
        <v>34.61</v>
      </c>
      <c r="H62" s="152" t="n">
        <v>41.88</v>
      </c>
      <c r="I62" s="153" t="n"/>
      <c r="J62" s="154" t="n"/>
    </row>
    <row r="63">
      <c r="A63" s="122" t="inlineStr">
        <is>
          <t>Balliu</t>
        </is>
      </c>
      <c r="B63" s="122" t="inlineStr">
        <is>
          <t>Caja Seguridad</t>
        </is>
      </c>
      <c r="C63" s="122" t="inlineStr">
        <is>
          <t>Weguard</t>
        </is>
      </c>
      <c r="D63" s="123" t="inlineStr">
        <is>
          <t>G1</t>
        </is>
      </c>
      <c r="E63" s="155" t="inlineStr">
        <is>
          <t>PVP_RECOMENDADO</t>
        </is>
      </c>
      <c r="F63" s="123" t="inlineStr">
        <is>
          <t>2026-05-07</t>
        </is>
      </c>
      <c r="G63" s="124" t="n">
        <v>55.82</v>
      </c>
      <c r="H63" s="124" t="n">
        <v>67.54000000000001</v>
      </c>
      <c r="I63" s="126" t="n"/>
      <c r="J63" s="127" t="n"/>
    </row>
    <row r="64">
      <c r="A64" s="156" t="inlineStr">
        <is>
          <t>Balliu</t>
        </is>
      </c>
      <c r="B64" s="156" t="inlineStr">
        <is>
          <t>Cannes Mini Tumbona</t>
        </is>
      </c>
      <c r="C64" s="156" t="inlineStr">
        <is>
          <t>Mini Tumbona Cannes (Con cojin)</t>
        </is>
      </c>
      <c r="D64" s="157" t="inlineStr">
        <is>
          <t>G2</t>
        </is>
      </c>
      <c r="E64" s="158" t="inlineStr">
        <is>
          <t>COSTE</t>
        </is>
      </c>
      <c r="F64" s="159" t="inlineStr">
        <is>
          <t>2026-03-30</t>
        </is>
      </c>
      <c r="G64" s="160" t="n">
        <v>140.89</v>
      </c>
      <c r="H64" s="160" t="n">
        <v>170.48</v>
      </c>
      <c r="I64" s="161" t="n"/>
      <c r="J64" s="162" t="n"/>
    </row>
    <row r="65">
      <c r="A65" s="116" t="inlineStr">
        <is>
          <t>Balliu</t>
        </is>
      </c>
      <c r="B65" s="116" t="inlineStr">
        <is>
          <t>Cannes Mini Tumbona</t>
        </is>
      </c>
      <c r="C65" s="116" t="inlineStr">
        <is>
          <t>Mini Tumbona Cannes (Con cojin)</t>
        </is>
      </c>
      <c r="D65" s="117" t="inlineStr">
        <is>
          <t>G2</t>
        </is>
      </c>
      <c r="E65" s="163" t="inlineStr">
        <is>
          <t>PVP_RECOMENDADO</t>
        </is>
      </c>
      <c r="F65" s="117" t="inlineStr">
        <is>
          <t>2026-05-07</t>
        </is>
      </c>
      <c r="G65" s="118" t="n">
        <v>216.76</v>
      </c>
      <c r="H65" s="118" t="n">
        <v>262.28</v>
      </c>
      <c r="I65" s="120" t="n"/>
      <c r="J65" s="121" t="n"/>
    </row>
    <row r="66">
      <c r="A66" s="148" t="inlineStr">
        <is>
          <t>Balliu</t>
        </is>
      </c>
      <c r="B66" s="148" t="inlineStr">
        <is>
          <t>Capri Mesa</t>
        </is>
      </c>
      <c r="C66" s="148" t="inlineStr">
        <is>
          <t>120X80 Pie Doble Tablero Hpl</t>
        </is>
      </c>
      <c r="D66" s="149" t="inlineStr">
        <is>
          <t>G2</t>
        </is>
      </c>
      <c r="E66" s="150" t="inlineStr">
        <is>
          <t>COSTE</t>
        </is>
      </c>
      <c r="F66" s="151" t="inlineStr">
        <is>
          <t>2026-03-30</t>
        </is>
      </c>
      <c r="G66" s="152" t="n">
        <v>285.53</v>
      </c>
      <c r="H66" s="152" t="n">
        <v>345.49</v>
      </c>
      <c r="I66" s="153" t="n"/>
      <c r="J66" s="154" t="n"/>
    </row>
    <row r="67">
      <c r="A67" s="122" t="inlineStr">
        <is>
          <t>Balliu</t>
        </is>
      </c>
      <c r="B67" s="122" t="inlineStr">
        <is>
          <t>Capri Mesa</t>
        </is>
      </c>
      <c r="C67" s="122" t="inlineStr">
        <is>
          <t>120X80 Pie Doble Tablero Hpl</t>
        </is>
      </c>
      <c r="D67" s="123" t="inlineStr">
        <is>
          <t>G2</t>
        </is>
      </c>
      <c r="E67" s="155" t="inlineStr">
        <is>
          <t>PVP_RECOMENDADO</t>
        </is>
      </c>
      <c r="F67" s="123" t="inlineStr">
        <is>
          <t>2026-05-07</t>
        </is>
      </c>
      <c r="G67" s="124" t="n">
        <v>439.28</v>
      </c>
      <c r="H67" s="124" t="n">
        <v>531.53</v>
      </c>
      <c r="I67" s="126" t="n"/>
      <c r="J67" s="127" t="n"/>
    </row>
    <row r="68">
      <c r="A68" s="156" t="inlineStr">
        <is>
          <t>Balliu</t>
        </is>
      </c>
      <c r="B68" s="156" t="inlineStr">
        <is>
          <t>Capri Mesa</t>
        </is>
      </c>
      <c r="C68" s="156" t="inlineStr">
        <is>
          <t>120X80 Pie Doble Tablero Hpl Gd</t>
        </is>
      </c>
      <c r="D68" s="157" t="inlineStr">
        <is>
          <t>G2</t>
        </is>
      </c>
      <c r="E68" s="158" t="inlineStr">
        <is>
          <t>COSTE</t>
        </is>
      </c>
      <c r="F68" s="159" t="inlineStr">
        <is>
          <t>2026-03-30</t>
        </is>
      </c>
      <c r="G68" s="160" t="n">
        <v>334.63</v>
      </c>
      <c r="H68" s="160" t="n">
        <v>404.9</v>
      </c>
      <c r="I68" s="161" t="n"/>
      <c r="J68" s="162" t="n"/>
    </row>
    <row r="69">
      <c r="A69" s="116" t="inlineStr">
        <is>
          <t>Balliu</t>
        </is>
      </c>
      <c r="B69" s="116" t="inlineStr">
        <is>
          <t>Capri Mesa</t>
        </is>
      </c>
      <c r="C69" s="116" t="inlineStr">
        <is>
          <t>120X80 Pie Doble Tablero Hpl Gd</t>
        </is>
      </c>
      <c r="D69" s="117" t="inlineStr">
        <is>
          <t>G2</t>
        </is>
      </c>
      <c r="E69" s="163" t="inlineStr">
        <is>
          <t>PVP_RECOMENDADO</t>
        </is>
      </c>
      <c r="F69" s="117" t="inlineStr">
        <is>
          <t>2026-05-07</t>
        </is>
      </c>
      <c r="G69" s="118" t="n">
        <v>514.8200000000001</v>
      </c>
      <c r="H69" s="118" t="n">
        <v>622.9299999999999</v>
      </c>
      <c r="I69" s="120" t="n"/>
      <c r="J69" s="121" t="n"/>
    </row>
    <row r="70">
      <c r="A70" s="148" t="inlineStr">
        <is>
          <t>Balliu</t>
        </is>
      </c>
      <c r="B70" s="148" t="inlineStr">
        <is>
          <t>Capri Mesa</t>
        </is>
      </c>
      <c r="C70" s="148" t="inlineStr">
        <is>
          <t>120X80 Pie Doble alto Tablero Hpl</t>
        </is>
      </c>
      <c r="D70" s="149" t="inlineStr">
        <is>
          <t>G2</t>
        </is>
      </c>
      <c r="E70" s="150" t="inlineStr">
        <is>
          <t>COSTE</t>
        </is>
      </c>
      <c r="F70" s="151" t="inlineStr">
        <is>
          <t>2026-03-30</t>
        </is>
      </c>
      <c r="G70" s="152" t="n">
        <v>325.1</v>
      </c>
      <c r="H70" s="152" t="n">
        <v>393.37</v>
      </c>
      <c r="I70" s="153" t="n"/>
      <c r="J70" s="154" t="n"/>
    </row>
    <row r="71">
      <c r="A71" s="122" t="inlineStr">
        <is>
          <t>Balliu</t>
        </is>
      </c>
      <c r="B71" s="122" t="inlineStr">
        <is>
          <t>Capri Mesa</t>
        </is>
      </c>
      <c r="C71" s="122" t="inlineStr">
        <is>
          <t>120X80 Pie Doble alto Tablero Hpl</t>
        </is>
      </c>
      <c r="D71" s="123" t="inlineStr">
        <is>
          <t>G2</t>
        </is>
      </c>
      <c r="E71" s="155" t="inlineStr">
        <is>
          <t>PVP_RECOMENDADO</t>
        </is>
      </c>
      <c r="F71" s="123" t="inlineStr">
        <is>
          <t>2026-05-07</t>
        </is>
      </c>
      <c r="G71" s="124" t="n">
        <v>500.15</v>
      </c>
      <c r="H71" s="124" t="n">
        <v>605.1799999999999</v>
      </c>
      <c r="I71" s="126" t="n"/>
      <c r="J71" s="127" t="n"/>
    </row>
    <row r="72">
      <c r="A72" s="156" t="inlineStr">
        <is>
          <t>Balliu</t>
        </is>
      </c>
      <c r="B72" s="156" t="inlineStr">
        <is>
          <t>Capri Mesa</t>
        </is>
      </c>
      <c r="C72" s="156" t="inlineStr">
        <is>
          <t>120X80 Pie Doble alto Tablero Hpl Gd</t>
        </is>
      </c>
      <c r="D72" s="157" t="inlineStr">
        <is>
          <t>G2</t>
        </is>
      </c>
      <c r="E72" s="158" t="inlineStr">
        <is>
          <t>COSTE</t>
        </is>
      </c>
      <c r="F72" s="159" t="inlineStr">
        <is>
          <t>2026-03-30</t>
        </is>
      </c>
      <c r="G72" s="160" t="n">
        <v>358.03</v>
      </c>
      <c r="H72" s="160" t="n">
        <v>433.22</v>
      </c>
      <c r="I72" s="161" t="n"/>
      <c r="J72" s="162" t="n"/>
    </row>
    <row r="73">
      <c r="A73" s="116" t="inlineStr">
        <is>
          <t>Balliu</t>
        </is>
      </c>
      <c r="B73" s="116" t="inlineStr">
        <is>
          <t>Capri Mesa</t>
        </is>
      </c>
      <c r="C73" s="116" t="inlineStr">
        <is>
          <t>120X80 Pie Doble alto Tablero Hpl Gd</t>
        </is>
      </c>
      <c r="D73" s="117" t="inlineStr">
        <is>
          <t>G2</t>
        </is>
      </c>
      <c r="E73" s="163" t="inlineStr">
        <is>
          <t>PVP_RECOMENDADO</t>
        </is>
      </c>
      <c r="F73" s="117" t="inlineStr">
        <is>
          <t>2026-05-07</t>
        </is>
      </c>
      <c r="G73" s="118" t="n">
        <v>550.8200000000001</v>
      </c>
      <c r="H73" s="118" t="n">
        <v>666.49</v>
      </c>
      <c r="I73" s="120" t="n"/>
      <c r="J73" s="121" t="n"/>
    </row>
    <row r="74">
      <c r="A74" s="148" t="inlineStr">
        <is>
          <t>Balliu</t>
        </is>
      </c>
      <c r="B74" s="148" t="inlineStr">
        <is>
          <t>Capri Mesa</t>
        </is>
      </c>
      <c r="C74" s="148" t="inlineStr">
        <is>
          <t>60X60 Mesa Alta Tablero Hpl Gd (#1)</t>
        </is>
      </c>
      <c r="D74" s="149" t="inlineStr">
        <is>
          <t>G2</t>
        </is>
      </c>
      <c r="E74" s="150" t="inlineStr">
        <is>
          <t>COSTE</t>
        </is>
      </c>
      <c r="F74" s="151" t="inlineStr">
        <is>
          <t>2026-03-30</t>
        </is>
      </c>
      <c r="G74" s="152" t="n">
        <v>245.33</v>
      </c>
      <c r="H74" s="152" t="n">
        <v>296.85</v>
      </c>
      <c r="I74" s="153" t="n"/>
      <c r="J74" s="154" t="n"/>
    </row>
    <row r="75">
      <c r="A75" s="122" t="inlineStr">
        <is>
          <t>Balliu</t>
        </is>
      </c>
      <c r="B75" s="122" t="inlineStr">
        <is>
          <t>Capri Mesa</t>
        </is>
      </c>
      <c r="C75" s="122" t="inlineStr">
        <is>
          <t>60X60 Mesa Alta Tablero Hpl Gd (#1)</t>
        </is>
      </c>
      <c r="D75" s="123" t="inlineStr">
        <is>
          <t>G2</t>
        </is>
      </c>
      <c r="E75" s="155" t="inlineStr">
        <is>
          <t>PVP_RECOMENDADO</t>
        </is>
      </c>
      <c r="F75" s="123" t="inlineStr">
        <is>
          <t>2026-05-07</t>
        </is>
      </c>
      <c r="G75" s="124" t="n">
        <v>377.43</v>
      </c>
      <c r="H75" s="124" t="n">
        <v>456.69</v>
      </c>
      <c r="I75" s="126" t="n"/>
      <c r="J75" s="127" t="n"/>
    </row>
    <row r="76">
      <c r="A76" s="156" t="inlineStr">
        <is>
          <t>Balliu</t>
        </is>
      </c>
      <c r="B76" s="156" t="inlineStr">
        <is>
          <t>Capri Mesa</t>
        </is>
      </c>
      <c r="C76" s="156" t="inlineStr">
        <is>
          <t>60X60 Mesa Alta Tablero Hpl Gd (#2)</t>
        </is>
      </c>
      <c r="D76" s="157" t="inlineStr">
        <is>
          <t>G2</t>
        </is>
      </c>
      <c r="E76" s="158" t="inlineStr">
        <is>
          <t>COSTE</t>
        </is>
      </c>
      <c r="F76" s="159" t="inlineStr">
        <is>
          <t>2026-03-30</t>
        </is>
      </c>
      <c r="G76" s="160" t="n">
        <v>263.01</v>
      </c>
      <c r="H76" s="160" t="n">
        <v>318.24</v>
      </c>
      <c r="I76" s="161" t="n"/>
      <c r="J76" s="162" t="n"/>
    </row>
    <row r="77">
      <c r="A77" s="116" t="inlineStr">
        <is>
          <t>Balliu</t>
        </is>
      </c>
      <c r="B77" s="116" t="inlineStr">
        <is>
          <t>Capri Mesa</t>
        </is>
      </c>
      <c r="C77" s="116" t="inlineStr">
        <is>
          <t>60X60 Mesa Alta Tablero Hpl Gd (#2)</t>
        </is>
      </c>
      <c r="D77" s="117" t="inlineStr">
        <is>
          <t>G2</t>
        </is>
      </c>
      <c r="E77" s="163" t="inlineStr">
        <is>
          <t>PVP_RECOMENDADO</t>
        </is>
      </c>
      <c r="F77" s="117" t="inlineStr">
        <is>
          <t>2026-05-07</t>
        </is>
      </c>
      <c r="G77" s="118" t="n">
        <v>404.63</v>
      </c>
      <c r="H77" s="118" t="n">
        <v>489.6</v>
      </c>
      <c r="I77" s="120" t="n"/>
      <c r="J77" s="121" t="n"/>
    </row>
    <row r="78">
      <c r="A78" s="148" t="inlineStr">
        <is>
          <t>Balliu</t>
        </is>
      </c>
      <c r="B78" s="148" t="inlineStr">
        <is>
          <t>Capri Mesa</t>
        </is>
      </c>
      <c r="C78" s="148" t="inlineStr">
        <is>
          <t>70X70 Mesa Alta Tablero Hpl</t>
        </is>
      </c>
      <c r="D78" s="149" t="inlineStr">
        <is>
          <t>G2</t>
        </is>
      </c>
      <c r="E78" s="150" t="inlineStr">
        <is>
          <t>COSTE</t>
        </is>
      </c>
      <c r="F78" s="151" t="inlineStr">
        <is>
          <t>2026-03-30</t>
        </is>
      </c>
      <c r="G78" s="152" t="n">
        <v>283.88</v>
      </c>
      <c r="H78" s="152" t="n">
        <v>343.49</v>
      </c>
      <c r="I78" s="153" t="n"/>
      <c r="J78" s="154" t="n"/>
    </row>
    <row r="79">
      <c r="A79" s="122" t="inlineStr">
        <is>
          <t>Balliu</t>
        </is>
      </c>
      <c r="B79" s="122" t="inlineStr">
        <is>
          <t>Capri Mesa</t>
        </is>
      </c>
      <c r="C79" s="122" t="inlineStr">
        <is>
          <t>70X70 Mesa Alta Tablero Hpl</t>
        </is>
      </c>
      <c r="D79" s="123" t="inlineStr">
        <is>
          <t>G2</t>
        </is>
      </c>
      <c r="E79" s="155" t="inlineStr">
        <is>
          <t>PVP_RECOMENDADO</t>
        </is>
      </c>
      <c r="F79" s="123" t="inlineStr">
        <is>
          <t>2026-05-07</t>
        </is>
      </c>
      <c r="G79" s="124" t="n">
        <v>436.74</v>
      </c>
      <c r="H79" s="124" t="n">
        <v>528.46</v>
      </c>
      <c r="I79" s="126" t="n"/>
      <c r="J79" s="127" t="n"/>
    </row>
    <row r="80">
      <c r="A80" s="156" t="inlineStr">
        <is>
          <t>Balliu</t>
        </is>
      </c>
      <c r="B80" s="156" t="inlineStr">
        <is>
          <t>Capri Mesa</t>
        </is>
      </c>
      <c r="C80" s="156" t="inlineStr">
        <is>
          <t>70X70 Mesa Alta Tablero Hpl Gd</t>
        </is>
      </c>
      <c r="D80" s="157" t="inlineStr">
        <is>
          <t>G2</t>
        </is>
      </c>
      <c r="E80" s="158" t="inlineStr">
        <is>
          <t>COSTE</t>
        </is>
      </c>
      <c r="F80" s="159" t="inlineStr">
        <is>
          <t>2026-03-30</t>
        </is>
      </c>
      <c r="G80" s="160" t="n">
        <v>317.28</v>
      </c>
      <c r="H80" s="160" t="n">
        <v>383.91</v>
      </c>
      <c r="I80" s="161" t="n"/>
      <c r="J80" s="162" t="n"/>
    </row>
    <row r="81">
      <c r="A81" s="116" t="inlineStr">
        <is>
          <t>Balliu</t>
        </is>
      </c>
      <c r="B81" s="116" t="inlineStr">
        <is>
          <t>Capri Mesa</t>
        </is>
      </c>
      <c r="C81" s="116" t="inlineStr">
        <is>
          <t>70X70 Mesa Alta Tablero Hpl Gd</t>
        </is>
      </c>
      <c r="D81" s="117" t="inlineStr">
        <is>
          <t>G2</t>
        </is>
      </c>
      <c r="E81" s="163" t="inlineStr">
        <is>
          <t>PVP_RECOMENDADO</t>
        </is>
      </c>
      <c r="F81" s="117" t="inlineStr">
        <is>
          <t>2026-05-07</t>
        </is>
      </c>
      <c r="G81" s="118" t="n">
        <v>488.12</v>
      </c>
      <c r="H81" s="118" t="n">
        <v>590.63</v>
      </c>
      <c r="I81" s="120" t="n"/>
      <c r="J81" s="121" t="n"/>
    </row>
    <row r="82">
      <c r="A82" s="148" t="inlineStr">
        <is>
          <t>Balliu</t>
        </is>
      </c>
      <c r="B82" s="148" t="inlineStr">
        <is>
          <t>Capri Mesa</t>
        </is>
      </c>
      <c r="C82" s="148" t="inlineStr">
        <is>
          <t>70X70 Pie Simple Tablero Hpl</t>
        </is>
      </c>
      <c r="D82" s="149" t="inlineStr">
        <is>
          <t>G2</t>
        </is>
      </c>
      <c r="E82" s="150" t="inlineStr">
        <is>
          <t>COSTE</t>
        </is>
      </c>
      <c r="F82" s="151" t="inlineStr">
        <is>
          <t>2026-03-30</t>
        </is>
      </c>
      <c r="G82" s="152" t="n">
        <v>203.29</v>
      </c>
      <c r="H82" s="152" t="n">
        <v>245.98</v>
      </c>
      <c r="I82" s="153" t="n"/>
      <c r="J82" s="154" t="n"/>
    </row>
    <row r="83">
      <c r="A83" s="122" t="inlineStr">
        <is>
          <t>Balliu</t>
        </is>
      </c>
      <c r="B83" s="122" t="inlineStr">
        <is>
          <t>Capri Mesa</t>
        </is>
      </c>
      <c r="C83" s="122" t="inlineStr">
        <is>
          <t>70X70 Pie Simple Tablero Hpl</t>
        </is>
      </c>
      <c r="D83" s="123" t="inlineStr">
        <is>
          <t>G2</t>
        </is>
      </c>
      <c r="E83" s="155" t="inlineStr">
        <is>
          <t>PVP_RECOMENDADO</t>
        </is>
      </c>
      <c r="F83" s="123" t="inlineStr">
        <is>
          <t>2026-05-07</t>
        </is>
      </c>
      <c r="G83" s="124" t="n">
        <v>312.75</v>
      </c>
      <c r="H83" s="124" t="n">
        <v>378.43</v>
      </c>
      <c r="I83" s="126" t="n"/>
      <c r="J83" s="127" t="n"/>
    </row>
    <row r="84">
      <c r="A84" s="156" t="inlineStr">
        <is>
          <t>Balliu</t>
        </is>
      </c>
      <c r="B84" s="156" t="inlineStr">
        <is>
          <t>Capri Mesa</t>
        </is>
      </c>
      <c r="C84" s="156" t="inlineStr">
        <is>
          <t>70X70 Pie Simple Tablero Hpl Gd</t>
        </is>
      </c>
      <c r="D84" s="157" t="inlineStr">
        <is>
          <t>G2</t>
        </is>
      </c>
      <c r="E84" s="158" t="inlineStr">
        <is>
          <t>COSTE</t>
        </is>
      </c>
      <c r="F84" s="159" t="inlineStr">
        <is>
          <t>2026-03-30</t>
        </is>
      </c>
      <c r="G84" s="160" t="n">
        <v>232.21</v>
      </c>
      <c r="H84" s="160" t="n">
        <v>280.97</v>
      </c>
      <c r="I84" s="161" t="n"/>
      <c r="J84" s="162" t="n"/>
    </row>
    <row r="85">
      <c r="A85" s="116" t="inlineStr">
        <is>
          <t>Balliu</t>
        </is>
      </c>
      <c r="B85" s="116" t="inlineStr">
        <is>
          <t>Capri Mesa</t>
        </is>
      </c>
      <c r="C85" s="116" t="inlineStr">
        <is>
          <t>70X70 Pie Simple Tablero Hpl Gd</t>
        </is>
      </c>
      <c r="D85" s="117" t="inlineStr">
        <is>
          <t>G2</t>
        </is>
      </c>
      <c r="E85" s="163" t="inlineStr">
        <is>
          <t>PVP_RECOMENDADO</t>
        </is>
      </c>
      <c r="F85" s="117" t="inlineStr">
        <is>
          <t>2026-05-07</t>
        </is>
      </c>
      <c r="G85" s="118" t="n">
        <v>357.25</v>
      </c>
      <c r="H85" s="118" t="n">
        <v>432.27</v>
      </c>
      <c r="I85" s="120" t="n"/>
      <c r="J85" s="121" t="n"/>
    </row>
    <row r="86">
      <c r="A86" s="148" t="inlineStr">
        <is>
          <t>Balliu</t>
        </is>
      </c>
      <c r="B86" s="148" t="inlineStr">
        <is>
          <t>Capri Mesa</t>
        </is>
      </c>
      <c r="C86" s="148" t="inlineStr">
        <is>
          <t>80X80 Pie Simple Tablero Hpl</t>
        </is>
      </c>
      <c r="D86" s="149" t="inlineStr">
        <is>
          <t>G2</t>
        </is>
      </c>
      <c r="E86" s="150" t="inlineStr">
        <is>
          <t>COSTE</t>
        </is>
      </c>
      <c r="F86" s="151" t="inlineStr">
        <is>
          <t>2026-03-30</t>
        </is>
      </c>
      <c r="G86" s="152" t="n">
        <v>218.28</v>
      </c>
      <c r="H86" s="152" t="n">
        <v>264.12</v>
      </c>
      <c r="I86" s="153" t="n"/>
      <c r="J86" s="154" t="n"/>
    </row>
    <row r="87">
      <c r="A87" s="122" t="inlineStr">
        <is>
          <t>Balliu</t>
        </is>
      </c>
      <c r="B87" s="122" t="inlineStr">
        <is>
          <t>Capri Mesa</t>
        </is>
      </c>
      <c r="C87" s="122" t="inlineStr">
        <is>
          <t>80X80 Pie Simple Tablero Hpl</t>
        </is>
      </c>
      <c r="D87" s="123" t="inlineStr">
        <is>
          <t>G2</t>
        </is>
      </c>
      <c r="E87" s="155" t="inlineStr">
        <is>
          <t>PVP_RECOMENDADO</t>
        </is>
      </c>
      <c r="F87" s="123" t="inlineStr">
        <is>
          <t>2026-05-07</t>
        </is>
      </c>
      <c r="G87" s="124" t="n">
        <v>335.82</v>
      </c>
      <c r="H87" s="124" t="n">
        <v>406.34</v>
      </c>
      <c r="I87" s="126" t="n"/>
      <c r="J87" s="127" t="n"/>
    </row>
    <row r="88">
      <c r="A88" s="156" t="inlineStr">
        <is>
          <t>Balliu</t>
        </is>
      </c>
      <c r="B88" s="156" t="inlineStr">
        <is>
          <t>Capri Mesa</t>
        </is>
      </c>
      <c r="C88" s="156" t="inlineStr">
        <is>
          <t>80X80 Pie Simple Tablero Hpl Gd</t>
        </is>
      </c>
      <c r="D88" s="157" t="inlineStr">
        <is>
          <t>G2</t>
        </is>
      </c>
      <c r="E88" s="158" t="inlineStr">
        <is>
          <t>COSTE</t>
        </is>
      </c>
      <c r="F88" s="159" t="inlineStr">
        <is>
          <t>2026-03-30</t>
        </is>
      </c>
      <c r="G88" s="160" t="n">
        <v>228.9</v>
      </c>
      <c r="H88" s="160" t="n">
        <v>276.97</v>
      </c>
      <c r="I88" s="161" t="n"/>
      <c r="J88" s="162" t="n"/>
    </row>
    <row r="89">
      <c r="A89" s="116" t="inlineStr">
        <is>
          <t>Balliu</t>
        </is>
      </c>
      <c r="B89" s="116" t="inlineStr">
        <is>
          <t>Capri Mesa</t>
        </is>
      </c>
      <c r="C89" s="116" t="inlineStr">
        <is>
          <t>80X80 Pie Simple Tablero Hpl Gd</t>
        </is>
      </c>
      <c r="D89" s="117" t="inlineStr">
        <is>
          <t>G2</t>
        </is>
      </c>
      <c r="E89" s="163" t="inlineStr">
        <is>
          <t>PVP_RECOMENDADO</t>
        </is>
      </c>
      <c r="F89" s="117" t="inlineStr">
        <is>
          <t>2026-05-07</t>
        </is>
      </c>
      <c r="G89" s="118" t="n">
        <v>352.15</v>
      </c>
      <c r="H89" s="118" t="n">
        <v>426.1</v>
      </c>
      <c r="I89" s="120" t="n"/>
      <c r="J89" s="121" t="n"/>
    </row>
    <row r="90">
      <c r="A90" s="148" t="inlineStr">
        <is>
          <t>Balliu</t>
        </is>
      </c>
      <c r="B90" s="148" t="inlineStr">
        <is>
          <t>Capri Mesa</t>
        </is>
      </c>
      <c r="C90" s="148" t="inlineStr">
        <is>
          <t>Diam. 70 Mesa Alta Tablero Hpl</t>
        </is>
      </c>
      <c r="D90" s="149" t="inlineStr">
        <is>
          <t>G2</t>
        </is>
      </c>
      <c r="E90" s="150" t="inlineStr">
        <is>
          <t>COSTE</t>
        </is>
      </c>
      <c r="F90" s="151" t="inlineStr">
        <is>
          <t>2026-03-30</t>
        </is>
      </c>
      <c r="G90" s="152" t="n">
        <v>273.99</v>
      </c>
      <c r="H90" s="152" t="n">
        <v>331.53</v>
      </c>
      <c r="I90" s="153" t="n"/>
      <c r="J90" s="154" t="n"/>
    </row>
    <row r="91">
      <c r="A91" s="122" t="inlineStr">
        <is>
          <t>Balliu</t>
        </is>
      </c>
      <c r="B91" s="122" t="inlineStr">
        <is>
          <t>Capri Mesa</t>
        </is>
      </c>
      <c r="C91" s="122" t="inlineStr">
        <is>
          <t>Diam. 70 Mesa Alta Tablero Hpl</t>
        </is>
      </c>
      <c r="D91" s="123" t="inlineStr">
        <is>
          <t>G2</t>
        </is>
      </c>
      <c r="E91" s="155" t="inlineStr">
        <is>
          <t>PVP_RECOMENDADO</t>
        </is>
      </c>
      <c r="F91" s="123" t="inlineStr">
        <is>
          <t>2026-05-07</t>
        </is>
      </c>
      <c r="G91" s="124" t="n">
        <v>421.53</v>
      </c>
      <c r="H91" s="124" t="n">
        <v>510.05</v>
      </c>
      <c r="I91" s="126" t="n"/>
      <c r="J91" s="127" t="n"/>
    </row>
    <row r="92">
      <c r="A92" s="156" t="inlineStr">
        <is>
          <t>Balliu</t>
        </is>
      </c>
      <c r="B92" s="156" t="inlineStr">
        <is>
          <t>Capri Mesa</t>
        </is>
      </c>
      <c r="C92" s="156" t="inlineStr">
        <is>
          <t>Diam. 70 Mesa Alta Tablero Hpl Gd</t>
        </is>
      </c>
      <c r="D92" s="157" t="inlineStr">
        <is>
          <t>G2</t>
        </is>
      </c>
      <c r="E92" s="158" t="inlineStr">
        <is>
          <t>COSTE</t>
        </is>
      </c>
      <c r="F92" s="159" t="inlineStr">
        <is>
          <t>2026-03-30</t>
        </is>
      </c>
      <c r="G92" s="160" t="n">
        <v>279.99</v>
      </c>
      <c r="H92" s="160" t="n">
        <v>338.79</v>
      </c>
      <c r="I92" s="161" t="n"/>
      <c r="J92" s="162" t="n"/>
    </row>
    <row r="93">
      <c r="A93" s="116" t="inlineStr">
        <is>
          <t>Balliu</t>
        </is>
      </c>
      <c r="B93" s="116" t="inlineStr">
        <is>
          <t>Capri Mesa</t>
        </is>
      </c>
      <c r="C93" s="116" t="inlineStr">
        <is>
          <t>Diam. 70 Mesa Alta Tablero Hpl Gd</t>
        </is>
      </c>
      <c r="D93" s="117" t="inlineStr">
        <is>
          <t>G2</t>
        </is>
      </c>
      <c r="E93" s="163" t="inlineStr">
        <is>
          <t>PVP_RECOMENDADO</t>
        </is>
      </c>
      <c r="F93" s="117" t="inlineStr">
        <is>
          <t>2026-05-07</t>
        </is>
      </c>
      <c r="G93" s="118" t="n">
        <v>430.75</v>
      </c>
      <c r="H93" s="118" t="n">
        <v>521.21</v>
      </c>
      <c r="I93" s="120" t="n"/>
      <c r="J93" s="121" t="n"/>
    </row>
    <row r="94">
      <c r="A94" s="148" t="inlineStr">
        <is>
          <t>Balliu</t>
        </is>
      </c>
      <c r="B94" s="148" t="inlineStr">
        <is>
          <t>Capri Mesa</t>
        </is>
      </c>
      <c r="C94" s="148" t="inlineStr">
        <is>
          <t>Diam. 70 Mesa Tablero Hpl</t>
        </is>
      </c>
      <c r="D94" s="149" t="inlineStr">
        <is>
          <t>G2</t>
        </is>
      </c>
      <c r="E94" s="150" t="inlineStr">
        <is>
          <t>COSTE</t>
        </is>
      </c>
      <c r="F94" s="151" t="inlineStr">
        <is>
          <t>2026-03-30</t>
        </is>
      </c>
      <c r="G94" s="152" t="n">
        <v>187.58</v>
      </c>
      <c r="H94" s="152" t="n">
        <v>226.97</v>
      </c>
      <c r="I94" s="153" t="n"/>
      <c r="J94" s="154" t="n"/>
    </row>
    <row r="95">
      <c r="A95" s="122" t="inlineStr">
        <is>
          <t>Balliu</t>
        </is>
      </c>
      <c r="B95" s="122" t="inlineStr">
        <is>
          <t>Capri Mesa</t>
        </is>
      </c>
      <c r="C95" s="122" t="inlineStr">
        <is>
          <t>Diam. 70 Mesa Tablero Hpl</t>
        </is>
      </c>
      <c r="D95" s="123" t="inlineStr">
        <is>
          <t>G2</t>
        </is>
      </c>
      <c r="E95" s="155" t="inlineStr">
        <is>
          <t>PVP_RECOMENDADO</t>
        </is>
      </c>
      <c r="F95" s="123" t="inlineStr">
        <is>
          <t>2026-05-07</t>
        </is>
      </c>
      <c r="G95" s="124" t="n">
        <v>288.59</v>
      </c>
      <c r="H95" s="124" t="n">
        <v>349.19</v>
      </c>
      <c r="I95" s="126" t="n"/>
      <c r="J95" s="127" t="n"/>
    </row>
    <row r="96">
      <c r="A96" s="156" t="inlineStr">
        <is>
          <t>Balliu</t>
        </is>
      </c>
      <c r="B96" s="156" t="inlineStr">
        <is>
          <t>Capri Mesa</t>
        </is>
      </c>
      <c r="C96" s="156" t="inlineStr">
        <is>
          <t>Diam. 70 Mesa Tablero Hpl Gd</t>
        </is>
      </c>
      <c r="D96" s="157" t="inlineStr">
        <is>
          <t>G2</t>
        </is>
      </c>
      <c r="E96" s="158" t="inlineStr">
        <is>
          <t>COSTE</t>
        </is>
      </c>
      <c r="F96" s="159" t="inlineStr">
        <is>
          <t>2026-03-30</t>
        </is>
      </c>
      <c r="G96" s="160" t="n">
        <v>208.21</v>
      </c>
      <c r="H96" s="160" t="n">
        <v>251.93</v>
      </c>
      <c r="I96" s="161" t="n"/>
      <c r="J96" s="162" t="n"/>
    </row>
    <row r="97">
      <c r="A97" s="116" t="inlineStr">
        <is>
          <t>Balliu</t>
        </is>
      </c>
      <c r="B97" s="116" t="inlineStr">
        <is>
          <t>Capri Mesa</t>
        </is>
      </c>
      <c r="C97" s="116" t="inlineStr">
        <is>
          <t>Diam. 70 Mesa Tablero Hpl Gd</t>
        </is>
      </c>
      <c r="D97" s="117" t="inlineStr">
        <is>
          <t>G2</t>
        </is>
      </c>
      <c r="E97" s="163" t="inlineStr">
        <is>
          <t>PVP_RECOMENDADO</t>
        </is>
      </c>
      <c r="F97" s="117" t="inlineStr">
        <is>
          <t>2026-05-07</t>
        </is>
      </c>
      <c r="G97" s="118" t="n">
        <v>320.32</v>
      </c>
      <c r="H97" s="118" t="n">
        <v>387.59</v>
      </c>
      <c r="I97" s="120" t="n"/>
      <c r="J97" s="121" t="n"/>
    </row>
    <row r="98">
      <c r="A98" s="148" t="inlineStr">
        <is>
          <t>Balliu</t>
        </is>
      </c>
      <c r="B98" s="148" t="inlineStr">
        <is>
          <t>Capri Mesa</t>
        </is>
      </c>
      <c r="C98" s="148" t="inlineStr">
        <is>
          <t>Diam. 80 Mesa Tablero Hpl</t>
        </is>
      </c>
      <c r="D98" s="149" t="inlineStr">
        <is>
          <t>G2</t>
        </is>
      </c>
      <c r="E98" s="150" t="inlineStr">
        <is>
          <t>COSTE</t>
        </is>
      </c>
      <c r="F98" s="151" t="inlineStr">
        <is>
          <t>2026-03-30</t>
        </is>
      </c>
      <c r="G98" s="152" t="n">
        <v>207.97</v>
      </c>
      <c r="H98" s="152" t="n">
        <v>251.64</v>
      </c>
      <c r="I98" s="153" t="n"/>
      <c r="J98" s="154" t="n"/>
    </row>
    <row r="99">
      <c r="A99" s="122" t="inlineStr">
        <is>
          <t>Balliu</t>
        </is>
      </c>
      <c r="B99" s="122" t="inlineStr">
        <is>
          <t>Capri Mesa</t>
        </is>
      </c>
      <c r="C99" s="122" t="inlineStr">
        <is>
          <t>Diam. 80 Mesa Tablero Hpl</t>
        </is>
      </c>
      <c r="D99" s="123" t="inlineStr">
        <is>
          <t>G2</t>
        </is>
      </c>
      <c r="E99" s="155" t="inlineStr">
        <is>
          <t>PVP_RECOMENDADO</t>
        </is>
      </c>
      <c r="F99" s="123" t="inlineStr">
        <is>
          <t>2026-05-07</t>
        </is>
      </c>
      <c r="G99" s="124" t="n">
        <v>319.95</v>
      </c>
      <c r="H99" s="124" t="n">
        <v>387.14</v>
      </c>
      <c r="I99" s="126" t="n"/>
      <c r="J99" s="127" t="n"/>
    </row>
    <row r="100">
      <c r="A100" s="156" t="inlineStr">
        <is>
          <t>Balliu</t>
        </is>
      </c>
      <c r="B100" s="156" t="inlineStr">
        <is>
          <t>Capri Mesa</t>
        </is>
      </c>
      <c r="C100" s="156" t="inlineStr">
        <is>
          <t>Diam. 80 Mesa Tablero Hpl Gd</t>
        </is>
      </c>
      <c r="D100" s="157" t="inlineStr">
        <is>
          <t>G2</t>
        </is>
      </c>
      <c r="E100" s="158" t="inlineStr">
        <is>
          <t>COSTE</t>
        </is>
      </c>
      <c r="F100" s="159" t="inlineStr">
        <is>
          <t>2026-03-30</t>
        </is>
      </c>
      <c r="G100" s="160" t="n">
        <v>235.95</v>
      </c>
      <c r="H100" s="160" t="n">
        <v>285.5</v>
      </c>
      <c r="I100" s="161" t="n"/>
      <c r="J100" s="162" t="n"/>
    </row>
    <row r="101">
      <c r="A101" s="116" t="inlineStr">
        <is>
          <t>Balliu</t>
        </is>
      </c>
      <c r="B101" s="116" t="inlineStr">
        <is>
          <t>Capri Mesa</t>
        </is>
      </c>
      <c r="C101" s="116" t="inlineStr">
        <is>
          <t>Diam. 80 Mesa Tablero Hpl Gd</t>
        </is>
      </c>
      <c r="D101" s="117" t="inlineStr">
        <is>
          <t>G2</t>
        </is>
      </c>
      <c r="E101" s="163" t="inlineStr">
        <is>
          <t>PVP_RECOMENDADO</t>
        </is>
      </c>
      <c r="F101" s="117" t="inlineStr">
        <is>
          <t>2026-05-07</t>
        </is>
      </c>
      <c r="G101" s="118" t="n">
        <v>363.01</v>
      </c>
      <c r="H101" s="118" t="n">
        <v>439.24</v>
      </c>
      <c r="I101" s="120" t="n"/>
      <c r="J101" s="121" t="n"/>
    </row>
    <row r="102">
      <c r="A102" s="148" t="inlineStr">
        <is>
          <t>Balliu</t>
        </is>
      </c>
      <c r="B102" s="148" t="inlineStr">
        <is>
          <t>Capri Mesa</t>
        </is>
      </c>
      <c r="C102" s="148" t="inlineStr">
        <is>
          <t>Diam. 90 Table Hpl Table Top</t>
        </is>
      </c>
      <c r="D102" s="149" t="inlineStr">
        <is>
          <t>G2</t>
        </is>
      </c>
      <c r="E102" s="150" t="inlineStr">
        <is>
          <t>COSTE</t>
        </is>
      </c>
      <c r="F102" s="151" t="inlineStr">
        <is>
          <t>2026-03-30</t>
        </is>
      </c>
      <c r="G102" s="152" t="n">
        <v>209.41</v>
      </c>
      <c r="H102" s="152" t="n">
        <v>253.39</v>
      </c>
      <c r="I102" s="153" t="n"/>
      <c r="J102" s="154" t="n"/>
    </row>
    <row r="103">
      <c r="A103" s="122" t="inlineStr">
        <is>
          <t>Balliu</t>
        </is>
      </c>
      <c r="B103" s="122" t="inlineStr">
        <is>
          <t>Capri Mesa</t>
        </is>
      </c>
      <c r="C103" s="122" t="inlineStr">
        <is>
          <t>Diam. 90 Table Hpl Table Top</t>
        </is>
      </c>
      <c r="D103" s="123" t="inlineStr">
        <is>
          <t>G2</t>
        </is>
      </c>
      <c r="E103" s="155" t="inlineStr">
        <is>
          <t>PVP_RECOMENDADO</t>
        </is>
      </c>
      <c r="F103" s="123" t="inlineStr">
        <is>
          <t>2026-05-07</t>
        </is>
      </c>
      <c r="G103" s="124" t="n">
        <v>322.18</v>
      </c>
      <c r="H103" s="124" t="n">
        <v>389.84</v>
      </c>
      <c r="I103" s="126" t="n"/>
      <c r="J103" s="127" t="n"/>
    </row>
    <row r="104">
      <c r="A104" s="156" t="inlineStr">
        <is>
          <t>Balliu</t>
        </is>
      </c>
      <c r="B104" s="156" t="inlineStr">
        <is>
          <t>Capri Mesa</t>
        </is>
      </c>
      <c r="C104" s="156" t="inlineStr">
        <is>
          <t>Diam. 90 Table Hpl Table Top Gd</t>
        </is>
      </c>
      <c r="D104" s="157" t="inlineStr">
        <is>
          <t>G2</t>
        </is>
      </c>
      <c r="E104" s="158" t="inlineStr">
        <is>
          <t>COSTE</t>
        </is>
      </c>
      <c r="F104" s="159" t="inlineStr">
        <is>
          <t>2026-03-30</t>
        </is>
      </c>
      <c r="G104" s="160" t="n">
        <v>237.88</v>
      </c>
      <c r="H104" s="160" t="n">
        <v>287.83</v>
      </c>
      <c r="I104" s="161" t="n"/>
      <c r="J104" s="162" t="n"/>
    </row>
    <row r="105">
      <c r="A105" s="116" t="inlineStr">
        <is>
          <t>Balliu</t>
        </is>
      </c>
      <c r="B105" s="116" t="inlineStr">
        <is>
          <t>Capri Mesa</t>
        </is>
      </c>
      <c r="C105" s="116" t="inlineStr">
        <is>
          <t>Diam. 90 Table Hpl Table Top Gd</t>
        </is>
      </c>
      <c r="D105" s="117" t="inlineStr">
        <is>
          <t>G2</t>
        </is>
      </c>
      <c r="E105" s="163" t="inlineStr">
        <is>
          <t>PVP_RECOMENDADO</t>
        </is>
      </c>
      <c r="F105" s="117" t="inlineStr">
        <is>
          <t>2026-05-07</t>
        </is>
      </c>
      <c r="G105" s="118" t="n">
        <v>365.97</v>
      </c>
      <c r="H105" s="118" t="n">
        <v>442.82</v>
      </c>
      <c r="I105" s="120" t="n"/>
      <c r="J105" s="121" t="n"/>
    </row>
    <row r="106">
      <c r="A106" s="148" t="inlineStr">
        <is>
          <t>Balliu</t>
        </is>
      </c>
      <c r="B106" s="148" t="inlineStr">
        <is>
          <t>Carmen Tumbona</t>
        </is>
      </c>
      <c r="C106" s="148" t="inlineStr">
        <is>
          <t>Chasis Blanco/Tablillas</t>
        </is>
      </c>
      <c r="D106" s="149" t="inlineStr">
        <is>
          <t>G1</t>
        </is>
      </c>
      <c r="E106" s="150" t="inlineStr">
        <is>
          <t>COSTE</t>
        </is>
      </c>
      <c r="F106" s="151" t="inlineStr">
        <is>
          <t>2026-03-30</t>
        </is>
      </c>
      <c r="G106" s="152" t="n">
        <v>107.1</v>
      </c>
      <c r="H106" s="152" t="n">
        <v>129.59</v>
      </c>
      <c r="I106" s="153" t="n"/>
      <c r="J106" s="154" t="n"/>
    </row>
    <row r="107">
      <c r="A107" s="122" t="inlineStr">
        <is>
          <t>Balliu</t>
        </is>
      </c>
      <c r="B107" s="122" t="inlineStr">
        <is>
          <t>Carmen Tumbona</t>
        </is>
      </c>
      <c r="C107" s="122" t="inlineStr">
        <is>
          <t>Chasis Blanco/Tablillas</t>
        </is>
      </c>
      <c r="D107" s="123" t="inlineStr">
        <is>
          <t>G1</t>
        </is>
      </c>
      <c r="E107" s="155" t="inlineStr">
        <is>
          <t>PVP_RECOMENDADO</t>
        </is>
      </c>
      <c r="F107" s="123" t="inlineStr">
        <is>
          <t>2026-05-07</t>
        </is>
      </c>
      <c r="G107" s="124" t="n">
        <v>172.75</v>
      </c>
      <c r="H107" s="124" t="n">
        <v>209.03</v>
      </c>
      <c r="I107" s="126" t="n"/>
      <c r="J107" s="127" t="n"/>
    </row>
    <row r="108">
      <c r="A108" s="156" t="inlineStr">
        <is>
          <t>Balliu</t>
        </is>
      </c>
      <c r="B108" s="156" t="inlineStr">
        <is>
          <t>Carmen Tumbona</t>
        </is>
      </c>
      <c r="C108" s="156" t="inlineStr">
        <is>
          <t>Chasis Blanco/Tela Balliu</t>
        </is>
      </c>
      <c r="D108" s="157" t="inlineStr">
        <is>
          <t>G1</t>
        </is>
      </c>
      <c r="E108" s="158" t="inlineStr">
        <is>
          <t>COSTE</t>
        </is>
      </c>
      <c r="F108" s="159" t="inlineStr">
        <is>
          <t>2026-03-30</t>
        </is>
      </c>
      <c r="G108" s="160" t="n">
        <v>93.89</v>
      </c>
      <c r="H108" s="160" t="n">
        <v>113.61</v>
      </c>
      <c r="I108" s="161" t="n"/>
      <c r="J108" s="162" t="n"/>
    </row>
    <row r="109">
      <c r="A109" s="116" t="inlineStr">
        <is>
          <t>Balliu</t>
        </is>
      </c>
      <c r="B109" s="116" t="inlineStr">
        <is>
          <t>Carmen Tumbona</t>
        </is>
      </c>
      <c r="C109" s="116" t="inlineStr">
        <is>
          <t>Chasis Blanco/Tela Balliu</t>
        </is>
      </c>
      <c r="D109" s="117" t="inlineStr">
        <is>
          <t>G1</t>
        </is>
      </c>
      <c r="E109" s="163" t="inlineStr">
        <is>
          <t>PVP_RECOMENDADO</t>
        </is>
      </c>
      <c r="F109" s="117" t="inlineStr">
        <is>
          <t>2026-05-07</t>
        </is>
      </c>
      <c r="G109" s="118" t="n">
        <v>151.43</v>
      </c>
      <c r="H109" s="118" t="n">
        <v>183.23</v>
      </c>
      <c r="I109" s="120" t="n"/>
      <c r="J109" s="121" t="n"/>
    </row>
    <row r="110">
      <c r="A110" s="148" t="inlineStr">
        <is>
          <t>Balliu</t>
        </is>
      </c>
      <c r="B110" s="148" t="inlineStr">
        <is>
          <t>Carmen Tumbona</t>
        </is>
      </c>
      <c r="C110" s="148" t="inlineStr">
        <is>
          <t>Chasis Prestige/Tablillas</t>
        </is>
      </c>
      <c r="D110" s="149" t="inlineStr">
        <is>
          <t>G1</t>
        </is>
      </c>
      <c r="E110" s="150" t="inlineStr">
        <is>
          <t>COSTE</t>
        </is>
      </c>
      <c r="F110" s="151" t="inlineStr">
        <is>
          <t>2026-03-30</t>
        </is>
      </c>
      <c r="G110" s="152" t="n">
        <v>112.55</v>
      </c>
      <c r="H110" s="152" t="n">
        <v>136.19</v>
      </c>
      <c r="I110" s="153" t="n"/>
      <c r="J110" s="154" t="n"/>
    </row>
    <row r="111">
      <c r="A111" s="122" t="inlineStr">
        <is>
          <t>Balliu</t>
        </is>
      </c>
      <c r="B111" s="122" t="inlineStr">
        <is>
          <t>Carmen Tumbona</t>
        </is>
      </c>
      <c r="C111" s="122" t="inlineStr">
        <is>
          <t>Chasis Prestige/Tablillas</t>
        </is>
      </c>
      <c r="D111" s="123" t="inlineStr">
        <is>
          <t>G1</t>
        </is>
      </c>
      <c r="E111" s="155" t="inlineStr">
        <is>
          <t>PVP_RECOMENDADO</t>
        </is>
      </c>
      <c r="F111" s="123" t="inlineStr">
        <is>
          <t>2026-05-07</t>
        </is>
      </c>
      <c r="G111" s="124" t="n">
        <v>181.54</v>
      </c>
      <c r="H111" s="124" t="n">
        <v>219.66</v>
      </c>
      <c r="I111" s="126" t="n"/>
      <c r="J111" s="127" t="n"/>
    </row>
    <row r="112">
      <c r="A112" s="156" t="inlineStr">
        <is>
          <t>Balliu</t>
        </is>
      </c>
      <c r="B112" s="156" t="inlineStr">
        <is>
          <t>Carmen Tumbona</t>
        </is>
      </c>
      <c r="C112" s="156" t="inlineStr">
        <is>
          <t>Chasis Prestige/Tela Balliu</t>
        </is>
      </c>
      <c r="D112" s="157" t="inlineStr">
        <is>
          <t>G1</t>
        </is>
      </c>
      <c r="E112" s="158" t="inlineStr">
        <is>
          <t>COSTE</t>
        </is>
      </c>
      <c r="F112" s="159" t="inlineStr">
        <is>
          <t>2026-03-30</t>
        </is>
      </c>
      <c r="G112" s="160" t="n">
        <v>96.47</v>
      </c>
      <c r="H112" s="160" t="n">
        <v>116.73</v>
      </c>
      <c r="I112" s="161" t="n"/>
      <c r="J112" s="162" t="n"/>
    </row>
    <row r="113">
      <c r="A113" s="116" t="inlineStr">
        <is>
          <t>Balliu</t>
        </is>
      </c>
      <c r="B113" s="116" t="inlineStr">
        <is>
          <t>Carmen Tumbona</t>
        </is>
      </c>
      <c r="C113" s="116" t="inlineStr">
        <is>
          <t>Chasis Prestige/Tela Balliu</t>
        </is>
      </c>
      <c r="D113" s="117" t="inlineStr">
        <is>
          <t>G1</t>
        </is>
      </c>
      <c r="E113" s="163" t="inlineStr">
        <is>
          <t>PVP_RECOMENDADO</t>
        </is>
      </c>
      <c r="F113" s="117" t="inlineStr">
        <is>
          <t>2026-05-07</t>
        </is>
      </c>
      <c r="G113" s="118" t="n">
        <v>155.6</v>
      </c>
      <c r="H113" s="118" t="n">
        <v>188.28</v>
      </c>
      <c r="I113" s="120" t="n"/>
      <c r="J113" s="121" t="n"/>
    </row>
    <row r="114">
      <c r="A114" s="148" t="inlineStr">
        <is>
          <t>Balliu</t>
        </is>
      </c>
      <c r="B114" s="148" t="inlineStr">
        <is>
          <t>Cojin</t>
        </is>
      </c>
      <c r="C114" s="148" t="inlineStr">
        <is>
          <t>40X40 Cojin cuadral</t>
        </is>
      </c>
      <c r="D114" s="149" t="inlineStr">
        <is>
          <t>G2</t>
        </is>
      </c>
      <c r="E114" s="150" t="inlineStr">
        <is>
          <t>COSTE</t>
        </is>
      </c>
      <c r="F114" s="151" t="inlineStr">
        <is>
          <t>2026-03-30</t>
        </is>
      </c>
      <c r="G114" s="152" t="n">
        <v>28.69</v>
      </c>
      <c r="H114" s="152" t="n">
        <v>34.71</v>
      </c>
      <c r="I114" s="153" t="n"/>
      <c r="J114" s="154" t="n"/>
    </row>
    <row r="115">
      <c r="A115" s="122" t="inlineStr">
        <is>
          <t>Balliu</t>
        </is>
      </c>
      <c r="B115" s="122" t="inlineStr">
        <is>
          <t>Cojin</t>
        </is>
      </c>
      <c r="C115" s="122" t="inlineStr">
        <is>
          <t>40X40 Cojin cuadral</t>
        </is>
      </c>
      <c r="D115" s="123" t="inlineStr">
        <is>
          <t>G2</t>
        </is>
      </c>
      <c r="E115" s="155" t="inlineStr">
        <is>
          <t>PVP_RECOMENDADO</t>
        </is>
      </c>
      <c r="F115" s="123" t="inlineStr">
        <is>
          <t>2026-05-07</t>
        </is>
      </c>
      <c r="G115" s="124" t="n">
        <v>44.14</v>
      </c>
      <c r="H115" s="124" t="n">
        <v>53.41</v>
      </c>
      <c r="I115" s="126" t="n"/>
      <c r="J115" s="127" t="n"/>
    </row>
    <row r="116">
      <c r="A116" s="156" t="inlineStr">
        <is>
          <t>Balliu</t>
        </is>
      </c>
      <c r="B116" s="156" t="inlineStr">
        <is>
          <t>Colchoneta Tumbona</t>
        </is>
      </c>
      <c r="C116" s="156" t="inlineStr">
        <is>
          <t>Tejido acrilico</t>
        </is>
      </c>
      <c r="D116" s="157" t="inlineStr">
        <is>
          <t>G2</t>
        </is>
      </c>
      <c r="E116" s="158" t="inlineStr">
        <is>
          <t>COSTE</t>
        </is>
      </c>
      <c r="F116" s="159" t="inlineStr">
        <is>
          <t>2026-03-30</t>
        </is>
      </c>
      <c r="G116" s="160" t="n">
        <v>70.56999999999999</v>
      </c>
      <c r="H116" s="160" t="n">
        <v>85.39</v>
      </c>
      <c r="I116" s="161" t="n"/>
      <c r="J116" s="162" t="n"/>
    </row>
    <row r="117">
      <c r="A117" s="116" t="inlineStr">
        <is>
          <t>Balliu</t>
        </is>
      </c>
      <c r="B117" s="116" t="inlineStr">
        <is>
          <t>Colchoneta Tumbona</t>
        </is>
      </c>
      <c r="C117" s="116" t="inlineStr">
        <is>
          <t>Tejido acrilico</t>
        </is>
      </c>
      <c r="D117" s="117" t="inlineStr">
        <is>
          <t>G2</t>
        </is>
      </c>
      <c r="E117" s="163" t="inlineStr">
        <is>
          <t>PVP_RECOMENDADO</t>
        </is>
      </c>
      <c r="F117" s="117" t="inlineStr">
        <is>
          <t>2026-05-07</t>
        </is>
      </c>
      <c r="G117" s="118" t="n">
        <v>108.57</v>
      </c>
      <c r="H117" s="118" t="n">
        <v>131.37</v>
      </c>
      <c r="I117" s="120" t="n"/>
      <c r="J117" s="121" t="n"/>
    </row>
    <row r="118">
      <c r="A118" s="148" t="inlineStr">
        <is>
          <t>Balliu</t>
        </is>
      </c>
      <c r="B118" s="148" t="inlineStr">
        <is>
          <t>Colchoneta Tumbona</t>
        </is>
      </c>
      <c r="C118" s="148" t="inlineStr">
        <is>
          <t>Tela Balliu / Dryfeel</t>
        </is>
      </c>
      <c r="D118" s="149" t="inlineStr">
        <is>
          <t>G2</t>
        </is>
      </c>
      <c r="E118" s="150" t="inlineStr">
        <is>
          <t>COSTE</t>
        </is>
      </c>
      <c r="F118" s="151" t="inlineStr">
        <is>
          <t>2026-03-30</t>
        </is>
      </c>
      <c r="G118" s="152" t="n">
        <v>102.54</v>
      </c>
      <c r="H118" s="152" t="n">
        <v>124.07</v>
      </c>
      <c r="I118" s="153" t="n"/>
      <c r="J118" s="154" t="n"/>
    </row>
    <row r="119">
      <c r="A119" s="122" t="inlineStr">
        <is>
          <t>Balliu</t>
        </is>
      </c>
      <c r="B119" s="122" t="inlineStr">
        <is>
          <t>Colchoneta Tumbona</t>
        </is>
      </c>
      <c r="C119" s="122" t="inlineStr">
        <is>
          <t>Tela Balliu / Dryfeel</t>
        </is>
      </c>
      <c r="D119" s="123" t="inlineStr">
        <is>
          <t>G2</t>
        </is>
      </c>
      <c r="E119" s="155" t="inlineStr">
        <is>
          <t>PVP_RECOMENDADO</t>
        </is>
      </c>
      <c r="F119" s="123" t="inlineStr">
        <is>
          <t>2026-05-07</t>
        </is>
      </c>
      <c r="G119" s="124" t="n">
        <v>157.75</v>
      </c>
      <c r="H119" s="124" t="n">
        <v>190.88</v>
      </c>
      <c r="I119" s="126" t="n"/>
      <c r="J119" s="127" t="n"/>
    </row>
    <row r="120">
      <c r="A120" s="156" t="inlineStr">
        <is>
          <t>Balliu</t>
        </is>
      </c>
      <c r="B120" s="156" t="inlineStr">
        <is>
          <t>Colchoneta Tumbona</t>
        </is>
      </c>
      <c r="C120" s="156" t="inlineStr">
        <is>
          <t>Tela Balliu / Guata</t>
        </is>
      </c>
      <c r="D120" s="157" t="inlineStr">
        <is>
          <t>G2</t>
        </is>
      </c>
      <c r="E120" s="158" t="inlineStr">
        <is>
          <t>COSTE</t>
        </is>
      </c>
      <c r="F120" s="159" t="inlineStr">
        <is>
          <t>2026-03-30</t>
        </is>
      </c>
      <c r="G120" s="160" t="n">
        <v>62.07</v>
      </c>
      <c r="H120" s="160" t="n">
        <v>75.09999999999999</v>
      </c>
      <c r="I120" s="161" t="n"/>
      <c r="J120" s="162" t="n"/>
    </row>
    <row r="121">
      <c r="A121" s="116" t="inlineStr">
        <is>
          <t>Balliu</t>
        </is>
      </c>
      <c r="B121" s="116" t="inlineStr">
        <is>
          <t>Colchoneta Tumbona</t>
        </is>
      </c>
      <c r="C121" s="116" t="inlineStr">
        <is>
          <t>Tela Balliu / Guata</t>
        </is>
      </c>
      <c r="D121" s="117" t="inlineStr">
        <is>
          <t>G2</t>
        </is>
      </c>
      <c r="E121" s="163" t="inlineStr">
        <is>
          <t>PVP_RECOMENDADO</t>
        </is>
      </c>
      <c r="F121" s="117" t="inlineStr">
        <is>
          <t>2026-05-07</t>
        </is>
      </c>
      <c r="G121" s="118" t="n">
        <v>95.5</v>
      </c>
      <c r="H121" s="118" t="n">
        <v>115.55</v>
      </c>
      <c r="I121" s="120" t="n"/>
      <c r="J121" s="121" t="n"/>
    </row>
    <row r="122">
      <c r="A122" s="148" t="inlineStr">
        <is>
          <t>Balliu</t>
        </is>
      </c>
      <c r="B122" s="148" t="inlineStr">
        <is>
          <t>Dalia Silla</t>
        </is>
      </c>
      <c r="C122" s="148" t="inlineStr">
        <is>
          <t>Con Brazos</t>
        </is>
      </c>
      <c r="D122" s="149" t="inlineStr">
        <is>
          <t>G3</t>
        </is>
      </c>
      <c r="E122" s="150" t="inlineStr">
        <is>
          <t>COSTE</t>
        </is>
      </c>
      <c r="F122" s="151" t="inlineStr">
        <is>
          <t>2026-03-30</t>
        </is>
      </c>
      <c r="G122" s="152" t="n">
        <v>122.56</v>
      </c>
      <c r="H122" s="152" t="n">
        <v>148.3</v>
      </c>
      <c r="I122" s="153" t="n"/>
      <c r="J122" s="154" t="n"/>
    </row>
    <row r="123">
      <c r="A123" s="122" t="inlineStr">
        <is>
          <t>Balliu</t>
        </is>
      </c>
      <c r="B123" s="122" t="inlineStr">
        <is>
          <t>Dalia Silla</t>
        </is>
      </c>
      <c r="C123" s="122" t="inlineStr">
        <is>
          <t>Con Brazos</t>
        </is>
      </c>
      <c r="D123" s="123" t="inlineStr">
        <is>
          <t>G3</t>
        </is>
      </c>
      <c r="E123" s="155" t="inlineStr">
        <is>
          <t>PVP_RECOMENDADO</t>
        </is>
      </c>
      <c r="F123" s="123" t="inlineStr">
        <is>
          <t>2026-05-07</t>
        </is>
      </c>
      <c r="G123" s="124" t="n">
        <v>163.41</v>
      </c>
      <c r="H123" s="124" t="n">
        <v>197.73</v>
      </c>
      <c r="I123" s="126" t="n"/>
      <c r="J123" s="127" t="n"/>
    </row>
    <row r="124">
      <c r="A124" s="156" t="inlineStr">
        <is>
          <t>Balliu</t>
        </is>
      </c>
      <c r="B124" s="156" t="inlineStr">
        <is>
          <t>Etna Mesa central</t>
        </is>
      </c>
      <c r="C124" s="156" t="inlineStr">
        <is>
          <t>Tablero Hpl</t>
        </is>
      </c>
      <c r="D124" s="157" t="inlineStr">
        <is>
          <t>G2</t>
        </is>
      </c>
      <c r="E124" s="158" t="inlineStr">
        <is>
          <t>COSTE</t>
        </is>
      </c>
      <c r="F124" s="159" t="inlineStr">
        <is>
          <t>2026-03-30</t>
        </is>
      </c>
      <c r="G124" s="160" t="n">
        <v>194.7</v>
      </c>
      <c r="H124" s="160" t="n">
        <v>235.59</v>
      </c>
      <c r="I124" s="161" t="n"/>
      <c r="J124" s="162" t="n"/>
    </row>
    <row r="125">
      <c r="A125" s="116" t="inlineStr">
        <is>
          <t>Balliu</t>
        </is>
      </c>
      <c r="B125" s="116" t="inlineStr">
        <is>
          <t>Etna Mesa central</t>
        </is>
      </c>
      <c r="C125" s="116" t="inlineStr">
        <is>
          <t>Tablero Hpl</t>
        </is>
      </c>
      <c r="D125" s="117" t="inlineStr">
        <is>
          <t>G2</t>
        </is>
      </c>
      <c r="E125" s="163" t="inlineStr">
        <is>
          <t>PVP_RECOMENDADO</t>
        </is>
      </c>
      <c r="F125" s="117" t="inlineStr">
        <is>
          <t>2026-05-07</t>
        </is>
      </c>
      <c r="G125" s="118" t="n">
        <v>299.54</v>
      </c>
      <c r="H125" s="118" t="n">
        <v>362.44</v>
      </c>
      <c r="I125" s="120" t="n"/>
      <c r="J125" s="121" t="n"/>
    </row>
    <row r="126">
      <c r="A126" s="148" t="inlineStr">
        <is>
          <t>Balliu</t>
        </is>
      </c>
      <c r="B126" s="148" t="inlineStr">
        <is>
          <t>Etna Mesa central</t>
        </is>
      </c>
      <c r="C126" s="148" t="inlineStr">
        <is>
          <t>Tablero Hpl Gd</t>
        </is>
      </c>
      <c r="D126" s="149" t="inlineStr">
        <is>
          <t>G2</t>
        </is>
      </c>
      <c r="E126" s="150" t="inlineStr">
        <is>
          <t>COSTE</t>
        </is>
      </c>
      <c r="F126" s="151" t="inlineStr">
        <is>
          <t>2026-03-30</t>
        </is>
      </c>
      <c r="G126" s="152" t="n">
        <v>226.66</v>
      </c>
      <c r="H126" s="152" t="n">
        <v>274.26</v>
      </c>
      <c r="I126" s="153" t="n"/>
      <c r="J126" s="154" t="n"/>
    </row>
    <row r="127">
      <c r="A127" s="122" t="inlineStr">
        <is>
          <t>Balliu</t>
        </is>
      </c>
      <c r="B127" s="122" t="inlineStr">
        <is>
          <t>Etna Mesa central</t>
        </is>
      </c>
      <c r="C127" s="122" t="inlineStr">
        <is>
          <t>Tablero Hpl Gd</t>
        </is>
      </c>
      <c r="D127" s="123" t="inlineStr">
        <is>
          <t>G2</t>
        </is>
      </c>
      <c r="E127" s="155" t="inlineStr">
        <is>
          <t>PVP_RECOMENDADO</t>
        </is>
      </c>
      <c r="F127" s="123" t="inlineStr">
        <is>
          <t>2026-05-07</t>
        </is>
      </c>
      <c r="G127" s="124" t="n">
        <v>348.72</v>
      </c>
      <c r="H127" s="124" t="n">
        <v>421.95</v>
      </c>
      <c r="I127" s="126" t="n"/>
      <c r="J127" s="127" t="n"/>
    </row>
    <row r="128">
      <c r="A128" s="156" t="inlineStr">
        <is>
          <t>Balliu</t>
        </is>
      </c>
      <c r="B128" s="156" t="inlineStr">
        <is>
          <t>Etna Silla</t>
        </is>
      </c>
      <c r="C128" s="156" t="inlineStr">
        <is>
          <t>Alta Con Brazos</t>
        </is>
      </c>
      <c r="D128" s="157" t="inlineStr">
        <is>
          <t>G2</t>
        </is>
      </c>
      <c r="E128" s="158" t="inlineStr">
        <is>
          <t>COSTE</t>
        </is>
      </c>
      <c r="F128" s="159" t="inlineStr">
        <is>
          <t>2026-03-30</t>
        </is>
      </c>
      <c r="G128" s="160" t="n">
        <v>102.17</v>
      </c>
      <c r="H128" s="160" t="n">
        <v>123.63</v>
      </c>
      <c r="I128" s="161" t="n"/>
      <c r="J128" s="162" t="n"/>
    </row>
    <row r="129">
      <c r="A129" s="116" t="inlineStr">
        <is>
          <t>Balliu</t>
        </is>
      </c>
      <c r="B129" s="116" t="inlineStr">
        <is>
          <t>Etna Silla</t>
        </is>
      </c>
      <c r="C129" s="116" t="inlineStr">
        <is>
          <t>Alta Con Brazos</t>
        </is>
      </c>
      <c r="D129" s="117" t="inlineStr">
        <is>
          <t>G2</t>
        </is>
      </c>
      <c r="E129" s="163" t="inlineStr">
        <is>
          <t>PVP_RECOMENDADO</t>
        </is>
      </c>
      <c r="F129" s="117" t="inlineStr">
        <is>
          <t>2026-05-07</t>
        </is>
      </c>
      <c r="G129" s="118" t="n">
        <v>157.19</v>
      </c>
      <c r="H129" s="118" t="n">
        <v>190.2</v>
      </c>
      <c r="I129" s="120" t="n"/>
      <c r="J129" s="121" t="n"/>
    </row>
    <row r="130">
      <c r="A130" s="148" t="inlineStr">
        <is>
          <t>Balliu</t>
        </is>
      </c>
      <c r="B130" s="148" t="inlineStr">
        <is>
          <t>Etna Silla</t>
        </is>
      </c>
      <c r="C130" s="148" t="inlineStr">
        <is>
          <t>Con Brazos</t>
        </is>
      </c>
      <c r="D130" s="149" t="inlineStr">
        <is>
          <t>G2</t>
        </is>
      </c>
      <c r="E130" s="150" t="inlineStr">
        <is>
          <t>COSTE</t>
        </is>
      </c>
      <c r="F130" s="151" t="inlineStr">
        <is>
          <t>2026-03-30</t>
        </is>
      </c>
      <c r="G130" s="152" t="n">
        <v>97.70999999999999</v>
      </c>
      <c r="H130" s="152" t="n">
        <v>118.23</v>
      </c>
      <c r="I130" s="153" t="n"/>
      <c r="J130" s="154" t="n"/>
    </row>
    <row r="131">
      <c r="A131" s="122" t="inlineStr">
        <is>
          <t>Balliu</t>
        </is>
      </c>
      <c r="B131" s="122" t="inlineStr">
        <is>
          <t>Etna Silla</t>
        </is>
      </c>
      <c r="C131" s="122" t="inlineStr">
        <is>
          <t>Con Brazos</t>
        </is>
      </c>
      <c r="D131" s="123" t="inlineStr">
        <is>
          <t>G2</t>
        </is>
      </c>
      <c r="E131" s="155" t="inlineStr">
        <is>
          <t>PVP_RECOMENDADO</t>
        </is>
      </c>
      <c r="F131" s="123" t="inlineStr">
        <is>
          <t>2026-05-07</t>
        </is>
      </c>
      <c r="G131" s="124" t="n">
        <v>150.32</v>
      </c>
      <c r="H131" s="124" t="n">
        <v>181.89</v>
      </c>
      <c r="I131" s="126" t="n"/>
      <c r="J131" s="127" t="n"/>
    </row>
    <row r="132">
      <c r="A132" s="156" t="inlineStr">
        <is>
          <t>Balliu</t>
        </is>
      </c>
      <c r="B132" s="156" t="inlineStr">
        <is>
          <t>Etna Silla</t>
        </is>
      </c>
      <c r="C132" s="156" t="inlineStr">
        <is>
          <t>Taburete Etna aluminio</t>
        </is>
      </c>
      <c r="D132" s="157" t="inlineStr">
        <is>
          <t>G2</t>
        </is>
      </c>
      <c r="E132" s="158" t="inlineStr">
        <is>
          <t>COSTE</t>
        </is>
      </c>
      <c r="F132" s="159" t="inlineStr">
        <is>
          <t>2026-03-30</t>
        </is>
      </c>
      <c r="G132" s="160" t="n">
        <v>100.25</v>
      </c>
      <c r="H132" s="160" t="n">
        <v>121.3</v>
      </c>
      <c r="I132" s="161" t="n"/>
      <c r="J132" s="162" t="n"/>
    </row>
    <row r="133">
      <c r="A133" s="116" t="inlineStr">
        <is>
          <t>Balliu</t>
        </is>
      </c>
      <c r="B133" s="116" t="inlineStr">
        <is>
          <t>Etna Silla</t>
        </is>
      </c>
      <c r="C133" s="116" t="inlineStr">
        <is>
          <t>Taburete Etna aluminio</t>
        </is>
      </c>
      <c r="D133" s="117" t="inlineStr">
        <is>
          <t>G2</t>
        </is>
      </c>
      <c r="E133" s="163" t="inlineStr">
        <is>
          <t>PVP_RECOMENDADO</t>
        </is>
      </c>
      <c r="F133" s="117" t="inlineStr">
        <is>
          <t>2026-05-07</t>
        </is>
      </c>
      <c r="G133" s="118" t="n">
        <v>154.23</v>
      </c>
      <c r="H133" s="118" t="n">
        <v>186.62</v>
      </c>
      <c r="I133" s="120" t="n"/>
      <c r="J133" s="121" t="n"/>
    </row>
    <row r="134">
      <c r="A134" s="148" t="inlineStr">
        <is>
          <t>Balliu</t>
        </is>
      </c>
      <c r="B134" s="148" t="inlineStr">
        <is>
          <t>Etna Tumbona</t>
        </is>
      </c>
      <c r="C134" s="148" t="inlineStr">
        <is>
          <t>Tela Balliu</t>
        </is>
      </c>
      <c r="D134" s="149" t="inlineStr">
        <is>
          <t>G2</t>
        </is>
      </c>
      <c r="E134" s="150" t="inlineStr">
        <is>
          <t>COSTE</t>
        </is>
      </c>
      <c r="F134" s="151" t="inlineStr">
        <is>
          <t>2026-03-30</t>
        </is>
      </c>
      <c r="G134" s="152" t="n">
        <v>229.08</v>
      </c>
      <c r="H134" s="152" t="n">
        <v>277.19</v>
      </c>
      <c r="I134" s="153" t="n"/>
      <c r="J134" s="154" t="n"/>
    </row>
    <row r="135">
      <c r="A135" s="122" t="inlineStr">
        <is>
          <t>Balliu</t>
        </is>
      </c>
      <c r="B135" s="122" t="inlineStr">
        <is>
          <t>Etna Tumbona</t>
        </is>
      </c>
      <c r="C135" s="122" t="inlineStr">
        <is>
          <t>Tela Balliu</t>
        </is>
      </c>
      <c r="D135" s="123" t="inlineStr">
        <is>
          <t>G2</t>
        </is>
      </c>
      <c r="E135" s="155" t="inlineStr">
        <is>
          <t>PVP_RECOMENDADO</t>
        </is>
      </c>
      <c r="F135" s="123" t="inlineStr">
        <is>
          <t>2026-05-07</t>
        </is>
      </c>
      <c r="G135" s="124" t="n">
        <v>352.43</v>
      </c>
      <c r="H135" s="124" t="n">
        <v>426.44</v>
      </c>
      <c r="I135" s="126" t="n"/>
      <c r="J135" s="127" t="n"/>
    </row>
    <row r="136">
      <c r="A136" s="156" t="inlineStr">
        <is>
          <t>Balliu</t>
        </is>
      </c>
      <c r="B136" s="156" t="inlineStr">
        <is>
          <t>Etna Tumbona</t>
        </is>
      </c>
      <c r="C136" s="156" t="inlineStr">
        <is>
          <t>Tela Balliu con ruedas</t>
        </is>
      </c>
      <c r="D136" s="157" t="inlineStr">
        <is>
          <t>G2</t>
        </is>
      </c>
      <c r="E136" s="158" t="inlineStr">
        <is>
          <t>COSTE</t>
        </is>
      </c>
      <c r="F136" s="159" t="inlineStr">
        <is>
          <t>2026-03-30</t>
        </is>
      </c>
      <c r="G136" s="160" t="n">
        <v>252.74</v>
      </c>
      <c r="H136" s="160" t="n">
        <v>305.82</v>
      </c>
      <c r="I136" s="161" t="n"/>
      <c r="J136" s="162" t="n"/>
    </row>
    <row r="137">
      <c r="A137" s="116" t="inlineStr">
        <is>
          <t>Balliu</t>
        </is>
      </c>
      <c r="B137" s="116" t="inlineStr">
        <is>
          <t>Etna Tumbona</t>
        </is>
      </c>
      <c r="C137" s="116" t="inlineStr">
        <is>
          <t>Tela Balliu con ruedas</t>
        </is>
      </c>
      <c r="D137" s="117" t="inlineStr">
        <is>
          <t>G2</t>
        </is>
      </c>
      <c r="E137" s="163" t="inlineStr">
        <is>
          <t>PVP_RECOMENDADO</t>
        </is>
      </c>
      <c r="F137" s="117" t="inlineStr">
        <is>
          <t>2026-05-07</t>
        </is>
      </c>
      <c r="G137" s="118" t="n">
        <v>388.83</v>
      </c>
      <c r="H137" s="118" t="n">
        <v>470.48</v>
      </c>
      <c r="I137" s="120" t="n"/>
      <c r="J137" s="121" t="n"/>
    </row>
    <row r="138">
      <c r="A138" s="148" t="inlineStr">
        <is>
          <t>Balliu</t>
        </is>
      </c>
      <c r="B138" s="148" t="inlineStr">
        <is>
          <t>Etna Tumbona alta</t>
        </is>
      </c>
      <c r="C138" s="148" t="inlineStr">
        <is>
          <t>Tela Balliu</t>
        </is>
      </c>
      <c r="D138" s="149" t="inlineStr">
        <is>
          <t>G2</t>
        </is>
      </c>
      <c r="E138" s="150" t="inlineStr">
        <is>
          <t>COSTE</t>
        </is>
      </c>
      <c r="F138" s="151" t="inlineStr">
        <is>
          <t>2026-03-30</t>
        </is>
      </c>
      <c r="G138" s="152" t="n">
        <v>248.76</v>
      </c>
      <c r="H138" s="152" t="n">
        <v>301</v>
      </c>
      <c r="I138" s="153" t="n"/>
      <c r="J138" s="154" t="n"/>
    </row>
    <row r="139">
      <c r="A139" s="122" t="inlineStr">
        <is>
          <t>Balliu</t>
        </is>
      </c>
      <c r="B139" s="122" t="inlineStr">
        <is>
          <t>Etna Tumbona alta</t>
        </is>
      </c>
      <c r="C139" s="122" t="inlineStr">
        <is>
          <t>Tela Balliu</t>
        </is>
      </c>
      <c r="D139" s="123" t="inlineStr">
        <is>
          <t>G2</t>
        </is>
      </c>
      <c r="E139" s="155" t="inlineStr">
        <is>
          <t>PVP_RECOMENDADO</t>
        </is>
      </c>
      <c r="F139" s="123" t="inlineStr">
        <is>
          <t>2026-05-07</t>
        </is>
      </c>
      <c r="G139" s="124" t="n">
        <v>382.7</v>
      </c>
      <c r="H139" s="124" t="n">
        <v>463.07</v>
      </c>
      <c r="I139" s="126" t="n"/>
      <c r="J139" s="127" t="n"/>
    </row>
    <row r="140">
      <c r="A140" s="156" t="inlineStr">
        <is>
          <t>Balliu</t>
        </is>
      </c>
      <c r="B140" s="156" t="inlineStr">
        <is>
          <t>Etna Tumbona alta</t>
        </is>
      </c>
      <c r="C140" s="156" t="inlineStr">
        <is>
          <t>Tela Balliu con ruedas</t>
        </is>
      </c>
      <c r="D140" s="157" t="inlineStr">
        <is>
          <t>G2</t>
        </is>
      </c>
      <c r="E140" s="158" t="inlineStr">
        <is>
          <t>COSTE</t>
        </is>
      </c>
      <c r="F140" s="159" t="inlineStr">
        <is>
          <t>2026-03-30</t>
        </is>
      </c>
      <c r="G140" s="160" t="n">
        <v>266.56</v>
      </c>
      <c r="H140" s="160" t="n">
        <v>322.54</v>
      </c>
      <c r="I140" s="161" t="n"/>
      <c r="J140" s="162" t="n"/>
    </row>
    <row r="141">
      <c r="A141" s="116" t="inlineStr">
        <is>
          <t>Balliu</t>
        </is>
      </c>
      <c r="B141" s="116" t="inlineStr">
        <is>
          <t>Etna Tumbona alta</t>
        </is>
      </c>
      <c r="C141" s="116" t="inlineStr">
        <is>
          <t>Tela Balliu con ruedas</t>
        </is>
      </c>
      <c r="D141" s="117" t="inlineStr">
        <is>
          <t>G2</t>
        </is>
      </c>
      <c r="E141" s="163" t="inlineStr">
        <is>
          <t>PVP_RECOMENDADO</t>
        </is>
      </c>
      <c r="F141" s="117" t="inlineStr">
        <is>
          <t>2026-05-07</t>
        </is>
      </c>
      <c r="G141" s="118" t="n">
        <v>410.09</v>
      </c>
      <c r="H141" s="118" t="n">
        <v>496.21</v>
      </c>
      <c r="I141" s="120" t="n"/>
      <c r="J141" s="121" t="n"/>
    </row>
    <row r="142">
      <c r="A142" s="148" t="inlineStr">
        <is>
          <t>Balliu</t>
        </is>
      </c>
      <c r="B142" s="148" t="inlineStr">
        <is>
          <t>Eva Pro Tumbona</t>
        </is>
      </c>
      <c r="C142" s="148" t="inlineStr">
        <is>
          <t>Chasis Blanco/Tablillas Mario Eskenazi</t>
        </is>
      </c>
      <c r="D142" s="149" t="inlineStr">
        <is>
          <t>G1</t>
        </is>
      </c>
      <c r="E142" s="150" t="inlineStr">
        <is>
          <t>COSTE</t>
        </is>
      </c>
      <c r="F142" s="151" t="inlineStr">
        <is>
          <t>2026-03-30</t>
        </is>
      </c>
      <c r="G142" s="152" t="n">
        <v>112.55</v>
      </c>
      <c r="H142" s="152" t="n">
        <v>136.19</v>
      </c>
      <c r="I142" s="153" t="n"/>
      <c r="J142" s="154" t="n"/>
    </row>
    <row r="143">
      <c r="A143" s="122" t="inlineStr">
        <is>
          <t>Balliu</t>
        </is>
      </c>
      <c r="B143" s="122" t="inlineStr">
        <is>
          <t>Eva Pro Tumbona</t>
        </is>
      </c>
      <c r="C143" s="122" t="inlineStr">
        <is>
          <t>Chasis Blanco/Tablillas Mario Eskenazi</t>
        </is>
      </c>
      <c r="D143" s="123" t="inlineStr">
        <is>
          <t>G1</t>
        </is>
      </c>
      <c r="E143" s="155" t="inlineStr">
        <is>
          <t>PVP_RECOMENDADO</t>
        </is>
      </c>
      <c r="F143" s="123" t="inlineStr">
        <is>
          <t>2026-05-07</t>
        </is>
      </c>
      <c r="G143" s="124" t="n">
        <v>181.54</v>
      </c>
      <c r="H143" s="124" t="n">
        <v>219.66</v>
      </c>
      <c r="I143" s="126" t="n"/>
      <c r="J143" s="127" t="n"/>
    </row>
    <row r="144">
      <c r="A144" s="156" t="inlineStr">
        <is>
          <t>Balliu</t>
        </is>
      </c>
      <c r="B144" s="156" t="inlineStr">
        <is>
          <t>Eva Pro Tumbona</t>
        </is>
      </c>
      <c r="C144" s="156" t="inlineStr">
        <is>
          <t>Chasis Blanco/Tela Balliu</t>
        </is>
      </c>
      <c r="D144" s="157" t="inlineStr">
        <is>
          <t>G1</t>
        </is>
      </c>
      <c r="E144" s="158" t="inlineStr">
        <is>
          <t>COSTE</t>
        </is>
      </c>
      <c r="F144" s="159" t="inlineStr">
        <is>
          <t>2026-03-30</t>
        </is>
      </c>
      <c r="G144" s="160" t="n">
        <v>117.05</v>
      </c>
      <c r="H144" s="160" t="n">
        <v>141.63</v>
      </c>
      <c r="I144" s="161" t="n"/>
      <c r="J144" s="162" t="n"/>
    </row>
    <row r="145">
      <c r="A145" s="116" t="inlineStr">
        <is>
          <t>Balliu</t>
        </is>
      </c>
      <c r="B145" s="116" t="inlineStr">
        <is>
          <t>Eva Pro Tumbona</t>
        </is>
      </c>
      <c r="C145" s="116" t="inlineStr">
        <is>
          <t>Chasis Blanco/Tela Balliu</t>
        </is>
      </c>
      <c r="D145" s="117" t="inlineStr">
        <is>
          <t>G1</t>
        </is>
      </c>
      <c r="E145" s="163" t="inlineStr">
        <is>
          <t>PVP_RECOMENDADO</t>
        </is>
      </c>
      <c r="F145" s="117" t="inlineStr">
        <is>
          <t>2026-05-07</t>
        </is>
      </c>
      <c r="G145" s="118" t="n">
        <v>188.79</v>
      </c>
      <c r="H145" s="118" t="n">
        <v>228.44</v>
      </c>
      <c r="I145" s="120" t="n"/>
      <c r="J145" s="121" t="n"/>
    </row>
    <row r="146">
      <c r="A146" s="148" t="inlineStr">
        <is>
          <t>Balliu</t>
        </is>
      </c>
      <c r="B146" s="148" t="inlineStr">
        <is>
          <t>Eva Pro Tumbona</t>
        </is>
      </c>
      <c r="C146" s="148" t="inlineStr">
        <is>
          <t>Chasis Prestige/Tela Balliu</t>
        </is>
      </c>
      <c r="D146" s="149" t="inlineStr">
        <is>
          <t>G1</t>
        </is>
      </c>
      <c r="E146" s="150" t="inlineStr">
        <is>
          <t>COSTE</t>
        </is>
      </c>
      <c r="F146" s="151" t="inlineStr">
        <is>
          <t>2026-03-30</t>
        </is>
      </c>
      <c r="G146" s="152" t="n">
        <v>124.07</v>
      </c>
      <c r="H146" s="152" t="n">
        <v>150.12</v>
      </c>
      <c r="I146" s="153" t="n"/>
      <c r="J146" s="154" t="n"/>
    </row>
    <row r="147">
      <c r="A147" s="122" t="inlineStr">
        <is>
          <t>Balliu</t>
        </is>
      </c>
      <c r="B147" s="122" t="inlineStr">
        <is>
          <t>Eva Pro Tumbona</t>
        </is>
      </c>
      <c r="C147" s="122" t="inlineStr">
        <is>
          <t>Chasis Prestige/Tela Balliu</t>
        </is>
      </c>
      <c r="D147" s="123" t="inlineStr">
        <is>
          <t>G1</t>
        </is>
      </c>
      <c r="E147" s="155" t="inlineStr">
        <is>
          <t>PVP_RECOMENDADO</t>
        </is>
      </c>
      <c r="F147" s="123" t="inlineStr">
        <is>
          <t>2026-05-07</t>
        </is>
      </c>
      <c r="G147" s="124" t="n">
        <v>200.11</v>
      </c>
      <c r="H147" s="124" t="n">
        <v>242.13</v>
      </c>
      <c r="I147" s="126" t="n"/>
      <c r="J147" s="127" t="n"/>
    </row>
    <row r="148">
      <c r="A148" s="156" t="inlineStr">
        <is>
          <t>Balliu</t>
        </is>
      </c>
      <c r="B148" s="156" t="inlineStr">
        <is>
          <t>Eva R Tumbona</t>
        </is>
      </c>
      <c r="C148" s="156" t="inlineStr">
        <is>
          <t>Chasis Blanco/Tela Balliu</t>
        </is>
      </c>
      <c r="D148" s="157" t="inlineStr">
        <is>
          <t>G1</t>
        </is>
      </c>
      <c r="E148" s="158" t="inlineStr">
        <is>
          <t>COSTE</t>
        </is>
      </c>
      <c r="F148" s="159" t="inlineStr">
        <is>
          <t>2026-03-30</t>
        </is>
      </c>
      <c r="G148" s="160" t="n">
        <v>82.84999999999999</v>
      </c>
      <c r="H148" s="160" t="n">
        <v>100.25</v>
      </c>
      <c r="I148" s="161" t="n"/>
      <c r="J148" s="162" t="n"/>
    </row>
    <row r="149">
      <c r="A149" s="116" t="inlineStr">
        <is>
          <t>Balliu</t>
        </is>
      </c>
      <c r="B149" s="116" t="inlineStr">
        <is>
          <t>Eva R Tumbona</t>
        </is>
      </c>
      <c r="C149" s="116" t="inlineStr">
        <is>
          <t>Chasis Blanco/Tela Balliu</t>
        </is>
      </c>
      <c r="D149" s="117" t="inlineStr">
        <is>
          <t>G1</t>
        </is>
      </c>
      <c r="E149" s="163" t="inlineStr">
        <is>
          <t>PVP_RECOMENDADO</t>
        </is>
      </c>
      <c r="F149" s="117" t="inlineStr">
        <is>
          <t>2026-05-07</t>
        </is>
      </c>
      <c r="G149" s="118" t="n">
        <v>133.63</v>
      </c>
      <c r="H149" s="118" t="n">
        <v>161.69</v>
      </c>
      <c r="I149" s="120" t="n"/>
      <c r="J149" s="121" t="n"/>
    </row>
    <row r="150">
      <c r="A150" s="148" t="inlineStr">
        <is>
          <t>Balliu</t>
        </is>
      </c>
      <c r="B150" s="148" t="inlineStr">
        <is>
          <t>Eva RG Tumbona</t>
        </is>
      </c>
      <c r="C150" s="148" t="inlineStr">
        <is>
          <t>Chasis Arena/Tela Balliu</t>
        </is>
      </c>
      <c r="D150" s="149" t="inlineStr">
        <is>
          <t>G1</t>
        </is>
      </c>
      <c r="E150" s="150" t="inlineStr">
        <is>
          <t>COSTE</t>
        </is>
      </c>
      <c r="F150" s="151" t="inlineStr">
        <is>
          <t>2026-03-30</t>
        </is>
      </c>
      <c r="G150" s="152" t="n">
        <v>98.52</v>
      </c>
      <c r="H150" s="152" t="n">
        <v>119.21</v>
      </c>
      <c r="I150" s="153" t="n"/>
      <c r="J150" s="154" t="n"/>
    </row>
    <row r="151">
      <c r="A151" s="122" t="inlineStr">
        <is>
          <t>Balliu</t>
        </is>
      </c>
      <c r="B151" s="122" t="inlineStr">
        <is>
          <t>Eva RG Tumbona</t>
        </is>
      </c>
      <c r="C151" s="122" t="inlineStr">
        <is>
          <t>Chasis Arena/Tela Balliu</t>
        </is>
      </c>
      <c r="D151" s="123" t="inlineStr">
        <is>
          <t>G1</t>
        </is>
      </c>
      <c r="E151" s="155" t="inlineStr">
        <is>
          <t>PVP_RECOMENDADO</t>
        </is>
      </c>
      <c r="F151" s="123" t="inlineStr">
        <is>
          <t>2026-05-07</t>
        </is>
      </c>
      <c r="G151" s="124" t="n">
        <v>158.9</v>
      </c>
      <c r="H151" s="124" t="n">
        <v>192.27</v>
      </c>
      <c r="I151" s="126" t="n"/>
      <c r="J151" s="127" t="n"/>
    </row>
    <row r="152">
      <c r="A152" s="156" t="inlineStr">
        <is>
          <t>Balliu</t>
        </is>
      </c>
      <c r="B152" s="156" t="inlineStr">
        <is>
          <t>Eva RG Tumbona</t>
        </is>
      </c>
      <c r="C152" s="156" t="inlineStr">
        <is>
          <t>Chasis Blanco/Tela Balliu</t>
        </is>
      </c>
      <c r="D152" s="157" t="inlineStr">
        <is>
          <t>G1</t>
        </is>
      </c>
      <c r="E152" s="158" t="inlineStr">
        <is>
          <t>COSTE</t>
        </is>
      </c>
      <c r="F152" s="159" t="inlineStr">
        <is>
          <t>2026-03-30</t>
        </is>
      </c>
      <c r="G152" s="160" t="n">
        <v>94.7</v>
      </c>
      <c r="H152" s="160" t="n">
        <v>114.59</v>
      </c>
      <c r="I152" s="161" t="n"/>
      <c r="J152" s="162" t="n"/>
    </row>
    <row r="153">
      <c r="A153" s="116" t="inlineStr">
        <is>
          <t>Balliu</t>
        </is>
      </c>
      <c r="B153" s="116" t="inlineStr">
        <is>
          <t>Eva RG Tumbona</t>
        </is>
      </c>
      <c r="C153" s="116" t="inlineStr">
        <is>
          <t>Chasis Blanco/Tela Balliu</t>
        </is>
      </c>
      <c r="D153" s="117" t="inlineStr">
        <is>
          <t>G1</t>
        </is>
      </c>
      <c r="E153" s="163" t="inlineStr">
        <is>
          <t>PVP_RECOMENDADO</t>
        </is>
      </c>
      <c r="F153" s="117" t="inlineStr">
        <is>
          <t>2026-05-07</t>
        </is>
      </c>
      <c r="G153" s="118" t="n">
        <v>152.75</v>
      </c>
      <c r="H153" s="118" t="n">
        <v>184.83</v>
      </c>
      <c r="I153" s="120" t="n"/>
      <c r="J153" s="121" t="n"/>
    </row>
    <row r="154">
      <c r="A154" s="148" t="inlineStr">
        <is>
          <t>Balliu</t>
        </is>
      </c>
      <c r="B154" s="148" t="inlineStr">
        <is>
          <t>Eva Rt Tumbona</t>
        </is>
      </c>
      <c r="C154" s="148" t="inlineStr">
        <is>
          <t>Chasis Blanco/Tablillas</t>
        </is>
      </c>
      <c r="D154" s="149" t="inlineStr">
        <is>
          <t>G1</t>
        </is>
      </c>
      <c r="E154" s="150" t="inlineStr">
        <is>
          <t>COSTE</t>
        </is>
      </c>
      <c r="F154" s="151" t="inlineStr">
        <is>
          <t>2026-03-30</t>
        </is>
      </c>
      <c r="G154" s="152" t="n">
        <v>89.39</v>
      </c>
      <c r="H154" s="152" t="n">
        <v>108.16</v>
      </c>
      <c r="I154" s="153" t="n"/>
      <c r="J154" s="154" t="n"/>
    </row>
    <row r="155">
      <c r="A155" s="122" t="inlineStr">
        <is>
          <t>Balliu</t>
        </is>
      </c>
      <c r="B155" s="122" t="inlineStr">
        <is>
          <t>Eva Rt Tumbona</t>
        </is>
      </c>
      <c r="C155" s="122" t="inlineStr">
        <is>
          <t>Chasis Blanco/Tablillas</t>
        </is>
      </c>
      <c r="D155" s="123" t="inlineStr">
        <is>
          <t>G1</t>
        </is>
      </c>
      <c r="E155" s="155" t="inlineStr">
        <is>
          <t>PVP_RECOMENDADO</t>
        </is>
      </c>
      <c r="F155" s="123" t="inlineStr">
        <is>
          <t>2026-05-07</t>
        </is>
      </c>
      <c r="G155" s="124" t="n">
        <v>144.18</v>
      </c>
      <c r="H155" s="124" t="n">
        <v>174.46</v>
      </c>
      <c r="I155" s="126" t="n"/>
      <c r="J155" s="127" t="n"/>
    </row>
    <row r="156">
      <c r="A156" s="156" t="inlineStr">
        <is>
          <t>Balliu</t>
        </is>
      </c>
      <c r="B156" s="156" t="inlineStr">
        <is>
          <t>Eva Rtg Tumbona</t>
        </is>
      </c>
      <c r="C156" s="156" t="inlineStr">
        <is>
          <t>Chasis Blanco/Tablillas</t>
        </is>
      </c>
      <c r="D156" s="157" t="inlineStr">
        <is>
          <t>G1</t>
        </is>
      </c>
      <c r="E156" s="158" t="inlineStr">
        <is>
          <t>COSTE</t>
        </is>
      </c>
      <c r="F156" s="159" t="inlineStr">
        <is>
          <t>2026-03-30</t>
        </is>
      </c>
      <c r="G156" s="160" t="n">
        <v>97.43000000000001</v>
      </c>
      <c r="H156" s="160" t="n">
        <v>117.89</v>
      </c>
      <c r="I156" s="161" t="n"/>
      <c r="J156" s="162" t="n"/>
    </row>
    <row r="157">
      <c r="A157" s="116" t="inlineStr">
        <is>
          <t>Balliu</t>
        </is>
      </c>
      <c r="B157" s="116" t="inlineStr">
        <is>
          <t>Eva Rtg Tumbona</t>
        </is>
      </c>
      <c r="C157" s="116" t="inlineStr">
        <is>
          <t>Chasis Blanco/Tablillas</t>
        </is>
      </c>
      <c r="D157" s="117" t="inlineStr">
        <is>
          <t>G1</t>
        </is>
      </c>
      <c r="E157" s="163" t="inlineStr">
        <is>
          <t>PVP_RECOMENDADO</t>
        </is>
      </c>
      <c r="F157" s="117" t="inlineStr">
        <is>
          <t>2026-05-07</t>
        </is>
      </c>
      <c r="G157" s="118" t="n">
        <v>157.14</v>
      </c>
      <c r="H157" s="118" t="n">
        <v>190.14</v>
      </c>
      <c r="I157" s="120" t="n"/>
      <c r="J157" s="121" t="n"/>
    </row>
    <row r="158">
      <c r="A158" s="148" t="inlineStr">
        <is>
          <t>Balliu</t>
        </is>
      </c>
      <c r="B158" s="148" t="inlineStr">
        <is>
          <t>Funda Parasol</t>
        </is>
      </c>
      <c r="C158" s="148" t="inlineStr">
        <is>
          <t>1 Unidades acrilico</t>
        </is>
      </c>
      <c r="D158" s="149" t="inlineStr">
        <is>
          <t>G2</t>
        </is>
      </c>
      <c r="E158" s="150" t="inlineStr">
        <is>
          <t>COSTE</t>
        </is>
      </c>
      <c r="F158" s="151" t="inlineStr">
        <is>
          <t>2026-03-30</t>
        </is>
      </c>
      <c r="G158" s="152" t="n">
        <v>19.68</v>
      </c>
      <c r="H158" s="152" t="n">
        <v>23.81</v>
      </c>
      <c r="I158" s="153" t="n"/>
      <c r="J158" s="154" t="n"/>
    </row>
    <row r="159">
      <c r="A159" s="122" t="inlineStr">
        <is>
          <t>Balliu</t>
        </is>
      </c>
      <c r="B159" s="122" t="inlineStr">
        <is>
          <t>Funda Parasol</t>
        </is>
      </c>
      <c r="C159" s="122" t="inlineStr">
        <is>
          <t>1 Unidades acrilico</t>
        </is>
      </c>
      <c r="D159" s="123" t="inlineStr">
        <is>
          <t>G2</t>
        </is>
      </c>
      <c r="E159" s="155" t="inlineStr">
        <is>
          <t>PVP_RECOMENDADO</t>
        </is>
      </c>
      <c r="F159" s="123" t="inlineStr">
        <is>
          <t>2026-05-07</t>
        </is>
      </c>
      <c r="G159" s="124" t="n">
        <v>30.27</v>
      </c>
      <c r="H159" s="124" t="n">
        <v>36.63</v>
      </c>
      <c r="I159" s="126" t="n"/>
      <c r="J159" s="127" t="n"/>
    </row>
    <row r="160">
      <c r="A160" s="156" t="inlineStr">
        <is>
          <t>Balliu</t>
        </is>
      </c>
      <c r="B160" s="156" t="inlineStr">
        <is>
          <t>Funda Silla</t>
        </is>
      </c>
      <c r="C160" s="156" t="inlineStr">
        <is>
          <t>6 Unidades</t>
        </is>
      </c>
      <c r="D160" s="157" t="inlineStr">
        <is>
          <t>G2</t>
        </is>
      </c>
      <c r="E160" s="158" t="inlineStr">
        <is>
          <t>COSTE</t>
        </is>
      </c>
      <c r="F160" s="159" t="inlineStr">
        <is>
          <t>2026-03-30</t>
        </is>
      </c>
      <c r="G160" s="160" t="n">
        <v>45.21</v>
      </c>
      <c r="H160" s="160" t="n">
        <v>54.7</v>
      </c>
      <c r="I160" s="161" t="n"/>
      <c r="J160" s="162" t="n"/>
    </row>
    <row r="161">
      <c r="A161" s="116" t="inlineStr">
        <is>
          <t>Balliu</t>
        </is>
      </c>
      <c r="B161" s="116" t="inlineStr">
        <is>
          <t>Funda Silla</t>
        </is>
      </c>
      <c r="C161" s="116" t="inlineStr">
        <is>
          <t>6 Unidades</t>
        </is>
      </c>
      <c r="D161" s="117" t="inlineStr">
        <is>
          <t>G2</t>
        </is>
      </c>
      <c r="E161" s="163" t="inlineStr">
        <is>
          <t>PVP_RECOMENDADO</t>
        </is>
      </c>
      <c r="F161" s="117" t="inlineStr">
        <is>
          <t>2026-05-07</t>
        </is>
      </c>
      <c r="G161" s="118" t="n">
        <v>69.55</v>
      </c>
      <c r="H161" s="118" t="n">
        <v>84.16</v>
      </c>
      <c r="I161" s="120" t="n"/>
      <c r="J161" s="121" t="n"/>
    </row>
    <row r="162">
      <c r="A162" s="148" t="inlineStr">
        <is>
          <t>Balliu</t>
        </is>
      </c>
      <c r="B162" s="148" t="inlineStr">
        <is>
          <t>Funda Tumbona</t>
        </is>
      </c>
      <c r="C162" s="148" t="inlineStr">
        <is>
          <t>12 Unidades</t>
        </is>
      </c>
      <c r="D162" s="149" t="inlineStr">
        <is>
          <t>G2</t>
        </is>
      </c>
      <c r="E162" s="150" t="inlineStr">
        <is>
          <t>COSTE</t>
        </is>
      </c>
      <c r="F162" s="151" t="inlineStr">
        <is>
          <t>2026-03-30</t>
        </is>
      </c>
      <c r="G162" s="152" t="n">
        <v>137.94</v>
      </c>
      <c r="H162" s="152" t="n">
        <v>166.91</v>
      </c>
      <c r="I162" s="153" t="n"/>
      <c r="J162" s="154" t="n"/>
    </row>
    <row r="163">
      <c r="A163" s="122" t="inlineStr">
        <is>
          <t>Balliu</t>
        </is>
      </c>
      <c r="B163" s="122" t="inlineStr">
        <is>
          <t>Funda Tumbona</t>
        </is>
      </c>
      <c r="C163" s="122" t="inlineStr">
        <is>
          <t>12 Unidades</t>
        </is>
      </c>
      <c r="D163" s="123" t="inlineStr">
        <is>
          <t>G2</t>
        </is>
      </c>
      <c r="E163" s="155" t="inlineStr">
        <is>
          <t>PVP_RECOMENDADO</t>
        </is>
      </c>
      <c r="F163" s="123" t="inlineStr">
        <is>
          <t>2026-05-07</t>
        </is>
      </c>
      <c r="G163" s="124" t="n">
        <v>212.22</v>
      </c>
      <c r="H163" s="124" t="n">
        <v>256.79</v>
      </c>
      <c r="I163" s="126" t="n"/>
      <c r="J163" s="127" t="n"/>
    </row>
    <row r="164">
      <c r="A164" s="156" t="inlineStr">
        <is>
          <t>Balliu</t>
        </is>
      </c>
      <c r="B164" s="156" t="inlineStr">
        <is>
          <t>Funda Tumbona</t>
        </is>
      </c>
      <c r="C164" s="156" t="inlineStr">
        <is>
          <t>2 Unidades</t>
        </is>
      </c>
      <c r="D164" s="157" t="inlineStr">
        <is>
          <t>G2</t>
        </is>
      </c>
      <c r="E164" s="158" t="inlineStr">
        <is>
          <t>COSTE</t>
        </is>
      </c>
      <c r="F164" s="159" t="inlineStr">
        <is>
          <t>2026-03-30</t>
        </is>
      </c>
      <c r="G164" s="160" t="n">
        <v>42.82</v>
      </c>
      <c r="H164" s="160" t="n">
        <v>51.81</v>
      </c>
      <c r="I164" s="161" t="n"/>
      <c r="J164" s="162" t="n"/>
    </row>
    <row r="165">
      <c r="A165" s="116" t="inlineStr">
        <is>
          <t>Balliu</t>
        </is>
      </c>
      <c r="B165" s="116" t="inlineStr">
        <is>
          <t>Funda Tumbona</t>
        </is>
      </c>
      <c r="C165" s="116" t="inlineStr">
        <is>
          <t>2 Unidades</t>
        </is>
      </c>
      <c r="D165" s="117" t="inlineStr">
        <is>
          <t>G2</t>
        </is>
      </c>
      <c r="E165" s="163" t="inlineStr">
        <is>
          <t>PVP_RECOMENDADO</t>
        </is>
      </c>
      <c r="F165" s="117" t="inlineStr">
        <is>
          <t>2026-05-07</t>
        </is>
      </c>
      <c r="G165" s="118" t="n">
        <v>65.88</v>
      </c>
      <c r="H165" s="118" t="n">
        <v>79.70999999999999</v>
      </c>
      <c r="I165" s="120" t="n"/>
      <c r="J165" s="121" t="n"/>
    </row>
    <row r="166">
      <c r="A166" s="148" t="inlineStr">
        <is>
          <t>Balliu</t>
        </is>
      </c>
      <c r="B166" s="148" t="inlineStr">
        <is>
          <t>Funda Tumbona</t>
        </is>
      </c>
      <c r="C166" s="148" t="inlineStr">
        <is>
          <t>24 Unidades</t>
        </is>
      </c>
      <c r="D166" s="149" t="inlineStr">
        <is>
          <t>G2</t>
        </is>
      </c>
      <c r="E166" s="150" t="inlineStr">
        <is>
          <t>COSTE</t>
        </is>
      </c>
      <c r="F166" s="151" t="inlineStr">
        <is>
          <t>2026-03-30</t>
        </is>
      </c>
      <c r="G166" s="152" t="n">
        <v>176.97</v>
      </c>
      <c r="H166" s="152" t="n">
        <v>214.13</v>
      </c>
      <c r="I166" s="153" t="n"/>
      <c r="J166" s="154" t="n"/>
    </row>
    <row r="167">
      <c r="A167" s="122" t="inlineStr">
        <is>
          <t>Balliu</t>
        </is>
      </c>
      <c r="B167" s="122" t="inlineStr">
        <is>
          <t>Funda Tumbona</t>
        </is>
      </c>
      <c r="C167" s="122" t="inlineStr">
        <is>
          <t>24 Unidades</t>
        </is>
      </c>
      <c r="D167" s="123" t="inlineStr">
        <is>
          <t>G2</t>
        </is>
      </c>
      <c r="E167" s="155" t="inlineStr">
        <is>
          <t>PVP_RECOMENDADO</t>
        </is>
      </c>
      <c r="F167" s="123" t="inlineStr">
        <is>
          <t>2026-05-07</t>
        </is>
      </c>
      <c r="G167" s="124" t="n">
        <v>272.25</v>
      </c>
      <c r="H167" s="124" t="n">
        <v>329.42</v>
      </c>
      <c r="I167" s="126" t="n"/>
      <c r="J167" s="127" t="n"/>
    </row>
    <row r="168">
      <c r="A168" s="156" t="inlineStr">
        <is>
          <t>Balliu</t>
        </is>
      </c>
      <c r="B168" s="156" t="inlineStr">
        <is>
          <t>Funda sofá</t>
        </is>
      </c>
      <c r="C168" s="156" t="inlineStr">
        <is>
          <t>Sofá doble</t>
        </is>
      </c>
      <c r="D168" s="157" t="inlineStr">
        <is>
          <t>G2</t>
        </is>
      </c>
      <c r="E168" s="158" t="inlineStr">
        <is>
          <t>COSTE</t>
        </is>
      </c>
      <c r="F168" s="159" t="inlineStr">
        <is>
          <t>2026-03-30</t>
        </is>
      </c>
      <c r="G168" s="160" t="n">
        <v>99.95</v>
      </c>
      <c r="H168" s="160" t="n">
        <v>120.94</v>
      </c>
      <c r="I168" s="161" t="n"/>
      <c r="J168" s="162" t="n"/>
    </row>
    <row r="169">
      <c r="A169" s="116" t="inlineStr">
        <is>
          <t>Balliu</t>
        </is>
      </c>
      <c r="B169" s="116" t="inlineStr">
        <is>
          <t>Funda sofá</t>
        </is>
      </c>
      <c r="C169" s="116" t="inlineStr">
        <is>
          <t>Sofá doble</t>
        </is>
      </c>
      <c r="D169" s="117" t="inlineStr">
        <is>
          <t>G2</t>
        </is>
      </c>
      <c r="E169" s="163" t="inlineStr">
        <is>
          <t>PVP_RECOMENDADO</t>
        </is>
      </c>
      <c r="F169" s="117" t="inlineStr">
        <is>
          <t>2026-05-07</t>
        </is>
      </c>
      <c r="G169" s="118" t="n">
        <v>153.77</v>
      </c>
      <c r="H169" s="118" t="n">
        <v>186.06</v>
      </c>
      <c r="I169" s="120" t="n"/>
      <c r="J169" s="121" t="n"/>
    </row>
    <row r="170">
      <c r="A170" s="148" t="inlineStr">
        <is>
          <t>Balliu</t>
        </is>
      </c>
      <c r="B170" s="148" t="inlineStr">
        <is>
          <t>Funda sofá</t>
        </is>
      </c>
      <c r="C170" s="148" t="inlineStr">
        <is>
          <t>Sofá individual</t>
        </is>
      </c>
      <c r="D170" s="149" t="inlineStr">
        <is>
          <t>G2</t>
        </is>
      </c>
      <c r="E170" s="150" t="inlineStr">
        <is>
          <t>COSTE</t>
        </is>
      </c>
      <c r="F170" s="151" t="inlineStr">
        <is>
          <t>2026-03-30</t>
        </is>
      </c>
      <c r="G170" s="152" t="n">
        <v>69.70999999999999</v>
      </c>
      <c r="H170" s="152" t="n">
        <v>84.34999999999999</v>
      </c>
      <c r="I170" s="153" t="n"/>
      <c r="J170" s="154" t="n"/>
    </row>
    <row r="171">
      <c r="A171" s="122" t="inlineStr">
        <is>
          <t>Balliu</t>
        </is>
      </c>
      <c r="B171" s="122" t="inlineStr">
        <is>
          <t>Funda sofá</t>
        </is>
      </c>
      <c r="C171" s="122" t="inlineStr">
        <is>
          <t>Sofá individual</t>
        </is>
      </c>
      <c r="D171" s="123" t="inlineStr">
        <is>
          <t>G2</t>
        </is>
      </c>
      <c r="E171" s="155" t="inlineStr">
        <is>
          <t>PVP_RECOMENDADO</t>
        </is>
      </c>
      <c r="F171" s="123" t="inlineStr">
        <is>
          <t>2026-05-07</t>
        </is>
      </c>
      <c r="G171" s="124" t="n">
        <v>107.24</v>
      </c>
      <c r="H171" s="124" t="n">
        <v>129.76</v>
      </c>
      <c r="I171" s="126" t="n"/>
      <c r="J171" s="127" t="n"/>
    </row>
    <row r="172">
      <c r="A172" s="156" t="inlineStr">
        <is>
          <t>Balliu</t>
        </is>
      </c>
      <c r="B172" s="156" t="inlineStr">
        <is>
          <t>Funda sofá</t>
        </is>
      </c>
      <c r="C172" s="156" t="inlineStr">
        <is>
          <t>sofá triple</t>
        </is>
      </c>
      <c r="D172" s="157" t="inlineStr">
        <is>
          <t>G2</t>
        </is>
      </c>
      <c r="E172" s="158" t="inlineStr">
        <is>
          <t>COSTE</t>
        </is>
      </c>
      <c r="F172" s="159" t="inlineStr">
        <is>
          <t>2026-03-30</t>
        </is>
      </c>
      <c r="G172" s="160" t="n">
        <v>122.35</v>
      </c>
      <c r="H172" s="160" t="n">
        <v>148.04</v>
      </c>
      <c r="I172" s="161" t="n"/>
      <c r="J172" s="162" t="n"/>
    </row>
    <row r="173">
      <c r="A173" s="116" t="inlineStr">
        <is>
          <t>Balliu</t>
        </is>
      </c>
      <c r="B173" s="116" t="inlineStr">
        <is>
          <t>Funda sofá</t>
        </is>
      </c>
      <c r="C173" s="116" t="inlineStr">
        <is>
          <t>sofá triple</t>
        </is>
      </c>
      <c r="D173" s="117" t="inlineStr">
        <is>
          <t>G2</t>
        </is>
      </c>
      <c r="E173" s="163" t="inlineStr">
        <is>
          <t>PVP_RECOMENDADO</t>
        </is>
      </c>
      <c r="F173" s="117" t="inlineStr">
        <is>
          <t>2026-05-07</t>
        </is>
      </c>
      <c r="G173" s="118" t="n">
        <v>188.24</v>
      </c>
      <c r="H173" s="118" t="n">
        <v>227.77</v>
      </c>
      <c r="I173" s="120" t="n"/>
      <c r="J173" s="121" t="n"/>
    </row>
    <row r="174">
      <c r="A174" s="148" t="inlineStr">
        <is>
          <t>Balliu</t>
        </is>
      </c>
      <c r="B174" s="148" t="inlineStr">
        <is>
          <t>Greta Mesa</t>
        </is>
      </c>
      <c r="C174" s="148" t="inlineStr">
        <is>
          <t>Tablero Aluminio</t>
        </is>
      </c>
      <c r="D174" s="149" t="inlineStr">
        <is>
          <t>G3</t>
        </is>
      </c>
      <c r="E174" s="150" t="inlineStr">
        <is>
          <t>COSTE</t>
        </is>
      </c>
      <c r="F174" s="151" t="inlineStr">
        <is>
          <t>2026-03-30</t>
        </is>
      </c>
      <c r="G174" s="152" t="n">
        <v>67.33</v>
      </c>
      <c r="H174" s="152" t="n">
        <v>81.47</v>
      </c>
      <c r="I174" s="153" t="n"/>
      <c r="J174" s="154" t="n"/>
    </row>
    <row r="175">
      <c r="A175" s="122" t="inlineStr">
        <is>
          <t>Balliu</t>
        </is>
      </c>
      <c r="B175" s="122" t="inlineStr">
        <is>
          <t>Greta Mesa</t>
        </is>
      </c>
      <c r="C175" s="122" t="inlineStr">
        <is>
          <t>Tablero Aluminio</t>
        </is>
      </c>
      <c r="D175" s="123" t="inlineStr">
        <is>
          <t>G3</t>
        </is>
      </c>
      <c r="E175" s="155" t="inlineStr">
        <is>
          <t>PVP_RECOMENDADO</t>
        </is>
      </c>
      <c r="F175" s="123" t="inlineStr">
        <is>
          <t>2026-05-07</t>
        </is>
      </c>
      <c r="G175" s="124" t="n">
        <v>89.78</v>
      </c>
      <c r="H175" s="124" t="n">
        <v>108.63</v>
      </c>
      <c r="I175" s="126" t="n"/>
      <c r="J175" s="127" t="n"/>
    </row>
    <row r="176">
      <c r="A176" s="156" t="inlineStr">
        <is>
          <t>Balliu</t>
        </is>
      </c>
      <c r="B176" s="156" t="inlineStr">
        <is>
          <t>Greta Silla</t>
        </is>
      </c>
      <c r="C176" s="156" t="inlineStr">
        <is>
          <t>Aluminio</t>
        </is>
      </c>
      <c r="D176" s="157" t="inlineStr">
        <is>
          <t>G3</t>
        </is>
      </c>
      <c r="E176" s="158" t="inlineStr">
        <is>
          <t>COSTE</t>
        </is>
      </c>
      <c r="F176" s="159" t="inlineStr">
        <is>
          <t>2026-03-30</t>
        </is>
      </c>
      <c r="G176" s="160" t="n">
        <v>96.11</v>
      </c>
      <c r="H176" s="160" t="n">
        <v>116.29</v>
      </c>
      <c r="I176" s="161" t="n"/>
      <c r="J176" s="162" t="n"/>
    </row>
    <row r="177">
      <c r="A177" s="116" t="inlineStr">
        <is>
          <t>Balliu</t>
        </is>
      </c>
      <c r="B177" s="116" t="inlineStr">
        <is>
          <t>Greta Silla</t>
        </is>
      </c>
      <c r="C177" s="116" t="inlineStr">
        <is>
          <t>Aluminio</t>
        </is>
      </c>
      <c r="D177" s="117" t="inlineStr">
        <is>
          <t>G3</t>
        </is>
      </c>
      <c r="E177" s="163" t="inlineStr">
        <is>
          <t>PVP_RECOMENDADO</t>
        </is>
      </c>
      <c r="F177" s="117" t="inlineStr">
        <is>
          <t>2026-05-07</t>
        </is>
      </c>
      <c r="G177" s="118" t="n">
        <v>128.15</v>
      </c>
      <c r="H177" s="118" t="n">
        <v>155.06</v>
      </c>
      <c r="I177" s="120" t="n"/>
      <c r="J177" s="121" t="n"/>
    </row>
    <row r="178">
      <c r="A178" s="148" t="inlineStr">
        <is>
          <t>Balliu</t>
        </is>
      </c>
      <c r="B178" s="148" t="inlineStr">
        <is>
          <t>Iris Tumbona</t>
        </is>
      </c>
      <c r="C178" s="148" t="inlineStr">
        <is>
          <t>Con Ruedas</t>
        </is>
      </c>
      <c r="D178" s="149" t="inlineStr">
        <is>
          <t>G2</t>
        </is>
      </c>
      <c r="E178" s="150" t="inlineStr">
        <is>
          <t>COSTE</t>
        </is>
      </c>
      <c r="F178" s="151" t="inlineStr">
        <is>
          <t>2026-03-30</t>
        </is>
      </c>
      <c r="G178" s="152" t="n">
        <v>337.77</v>
      </c>
      <c r="H178" s="152" t="n">
        <v>408.7</v>
      </c>
      <c r="I178" s="153" t="n"/>
      <c r="J178" s="154" t="n"/>
    </row>
    <row r="179">
      <c r="A179" s="122" t="inlineStr">
        <is>
          <t>Balliu</t>
        </is>
      </c>
      <c r="B179" s="122" t="inlineStr">
        <is>
          <t>Iris Tumbona</t>
        </is>
      </c>
      <c r="C179" s="122" t="inlineStr">
        <is>
          <t>Con Ruedas</t>
        </is>
      </c>
      <c r="D179" s="123" t="inlineStr">
        <is>
          <t>G2</t>
        </is>
      </c>
      <c r="E179" s="155" t="inlineStr">
        <is>
          <t>PVP_RECOMENDADO</t>
        </is>
      </c>
      <c r="F179" s="123" t="inlineStr">
        <is>
          <t>2026-05-07</t>
        </is>
      </c>
      <c r="G179" s="124" t="n">
        <v>519.64</v>
      </c>
      <c r="H179" s="124" t="n">
        <v>628.76</v>
      </c>
      <c r="I179" s="126" t="n"/>
      <c r="J179" s="127" t="n"/>
    </row>
    <row r="180">
      <c r="A180" s="156" t="inlineStr">
        <is>
          <t>Balliu</t>
        </is>
      </c>
      <c r="B180" s="156" t="inlineStr">
        <is>
          <t>Lola Tumbona</t>
        </is>
      </c>
      <c r="C180" s="156" t="inlineStr">
        <is>
          <t>Chasis Blanco/Tablillas</t>
        </is>
      </c>
      <c r="D180" s="157" t="inlineStr">
        <is>
          <t>G1</t>
        </is>
      </c>
      <c r="E180" s="158" t="inlineStr">
        <is>
          <t>COSTE</t>
        </is>
      </c>
      <c r="F180" s="159" t="inlineStr">
        <is>
          <t>2026-03-30</t>
        </is>
      </c>
      <c r="G180" s="160" t="n">
        <v>106.97</v>
      </c>
      <c r="H180" s="160" t="n">
        <v>129.43</v>
      </c>
      <c r="I180" s="161" t="n"/>
      <c r="J180" s="162" t="n"/>
    </row>
    <row r="181">
      <c r="A181" s="116" t="inlineStr">
        <is>
          <t>Balliu</t>
        </is>
      </c>
      <c r="B181" s="116" t="inlineStr">
        <is>
          <t>Lola Tumbona</t>
        </is>
      </c>
      <c r="C181" s="116" t="inlineStr">
        <is>
          <t>Chasis Blanco/Tablillas</t>
        </is>
      </c>
      <c r="D181" s="117" t="inlineStr">
        <is>
          <t>G1</t>
        </is>
      </c>
      <c r="E181" s="163" t="inlineStr">
        <is>
          <t>PVP_RECOMENDADO</t>
        </is>
      </c>
      <c r="F181" s="117" t="inlineStr">
        <is>
          <t>2026-05-07</t>
        </is>
      </c>
      <c r="G181" s="118" t="n">
        <v>172.53</v>
      </c>
      <c r="H181" s="118" t="n">
        <v>208.76</v>
      </c>
      <c r="I181" s="120" t="n"/>
      <c r="J181" s="121" t="n"/>
    </row>
    <row r="182">
      <c r="A182" s="148" t="inlineStr">
        <is>
          <t>Balliu</t>
        </is>
      </c>
      <c r="B182" s="148" t="inlineStr">
        <is>
          <t>Lola Tumbona</t>
        </is>
      </c>
      <c r="C182" s="148" t="inlineStr">
        <is>
          <t>Chasis Blanco/Tela Balliu</t>
        </is>
      </c>
      <c r="D182" s="149" t="inlineStr">
        <is>
          <t>G1</t>
        </is>
      </c>
      <c r="E182" s="150" t="inlineStr">
        <is>
          <t>COSTE</t>
        </is>
      </c>
      <c r="F182" s="151" t="inlineStr">
        <is>
          <t>2026-03-30</t>
        </is>
      </c>
      <c r="G182" s="152" t="n">
        <v>93.34</v>
      </c>
      <c r="H182" s="152" t="n">
        <v>112.94</v>
      </c>
      <c r="I182" s="153" t="n"/>
      <c r="J182" s="154" t="n"/>
    </row>
    <row r="183">
      <c r="A183" s="122" t="inlineStr">
        <is>
          <t>Balliu</t>
        </is>
      </c>
      <c r="B183" s="122" t="inlineStr">
        <is>
          <t>Lola Tumbona</t>
        </is>
      </c>
      <c r="C183" s="122" t="inlineStr">
        <is>
          <t>Chasis Blanco/Tela Balliu</t>
        </is>
      </c>
      <c r="D183" s="123" t="inlineStr">
        <is>
          <t>G1</t>
        </is>
      </c>
      <c r="E183" s="155" t="inlineStr">
        <is>
          <t>PVP_RECOMENDADO</t>
        </is>
      </c>
      <c r="F183" s="123" t="inlineStr">
        <is>
          <t>2026-05-07</t>
        </is>
      </c>
      <c r="G183" s="124" t="n">
        <v>150.55</v>
      </c>
      <c r="H183" s="124" t="n">
        <v>182.17</v>
      </c>
      <c r="I183" s="126" t="n"/>
      <c r="J183" s="127" t="n"/>
    </row>
    <row r="184">
      <c r="A184" s="156" t="inlineStr">
        <is>
          <t>Balliu</t>
        </is>
      </c>
      <c r="B184" s="156" t="inlineStr">
        <is>
          <t>Lola Tumbona</t>
        </is>
      </c>
      <c r="C184" s="156" t="inlineStr">
        <is>
          <t>Chasis Prestige/Tablillas</t>
        </is>
      </c>
      <c r="D184" s="157" t="inlineStr">
        <is>
          <t>G1</t>
        </is>
      </c>
      <c r="E184" s="158" t="inlineStr">
        <is>
          <t>COSTE</t>
        </is>
      </c>
      <c r="F184" s="159" t="inlineStr">
        <is>
          <t>2026-03-30</t>
        </is>
      </c>
      <c r="G184" s="160" t="n">
        <v>108.81</v>
      </c>
      <c r="H184" s="160" t="n">
        <v>131.66</v>
      </c>
      <c r="I184" s="161" t="n"/>
      <c r="J184" s="162" t="n"/>
    </row>
    <row r="185">
      <c r="A185" s="116" t="inlineStr">
        <is>
          <t>Balliu</t>
        </is>
      </c>
      <c r="B185" s="116" t="inlineStr">
        <is>
          <t>Lola Tumbona</t>
        </is>
      </c>
      <c r="C185" s="116" t="inlineStr">
        <is>
          <t>Chasis Prestige/Tablillas</t>
        </is>
      </c>
      <c r="D185" s="117" t="inlineStr">
        <is>
          <t>G1</t>
        </is>
      </c>
      <c r="E185" s="163" t="inlineStr">
        <is>
          <t>PVP_RECOMENDADO</t>
        </is>
      </c>
      <c r="F185" s="117" t="inlineStr">
        <is>
          <t>2026-05-07</t>
        </is>
      </c>
      <c r="G185" s="118" t="n">
        <v>175.49</v>
      </c>
      <c r="H185" s="118" t="n">
        <v>212.34</v>
      </c>
      <c r="I185" s="120" t="n"/>
      <c r="J185" s="121" t="n"/>
    </row>
    <row r="186">
      <c r="A186" s="148" t="inlineStr">
        <is>
          <t>Balliu</t>
        </is>
      </c>
      <c r="B186" s="148" t="inlineStr">
        <is>
          <t>Lola Tumbona</t>
        </is>
      </c>
      <c r="C186" s="148" t="inlineStr">
        <is>
          <t>Chasis Prestige/Tela Balliu</t>
        </is>
      </c>
      <c r="D186" s="149" t="inlineStr">
        <is>
          <t>G1</t>
        </is>
      </c>
      <c r="E186" s="150" t="inlineStr">
        <is>
          <t>COSTE</t>
        </is>
      </c>
      <c r="F186" s="151" t="inlineStr">
        <is>
          <t>2026-03-30</t>
        </is>
      </c>
      <c r="G186" s="152" t="n">
        <v>96.2</v>
      </c>
      <c r="H186" s="152" t="n">
        <v>116.4</v>
      </c>
      <c r="I186" s="153" t="n"/>
      <c r="J186" s="154" t="n"/>
    </row>
    <row r="187">
      <c r="A187" s="122" t="inlineStr">
        <is>
          <t>Balliu</t>
        </is>
      </c>
      <c r="B187" s="122" t="inlineStr">
        <is>
          <t>Lola Tumbona</t>
        </is>
      </c>
      <c r="C187" s="122" t="inlineStr">
        <is>
          <t>Chasis Prestige/Tela Balliu</t>
        </is>
      </c>
      <c r="D187" s="123" t="inlineStr">
        <is>
          <t>G1</t>
        </is>
      </c>
      <c r="E187" s="155" t="inlineStr">
        <is>
          <t>PVP_RECOMENDADO</t>
        </is>
      </c>
      <c r="F187" s="123" t="inlineStr">
        <is>
          <t>2026-05-07</t>
        </is>
      </c>
      <c r="G187" s="124" t="n">
        <v>155.16</v>
      </c>
      <c r="H187" s="124" t="n">
        <v>187.74</v>
      </c>
      <c r="I187" s="126" t="n"/>
      <c r="J187" s="127" t="n"/>
    </row>
    <row r="188">
      <c r="A188" s="156" t="inlineStr">
        <is>
          <t>Balliu</t>
        </is>
      </c>
      <c r="B188" s="156" t="inlineStr">
        <is>
          <t>Marina Mini Tumbona</t>
        </is>
      </c>
      <c r="C188" s="156" t="inlineStr">
        <is>
          <t>Mini Tumbona Marina Fija</t>
        </is>
      </c>
      <c r="D188" s="157" t="inlineStr">
        <is>
          <t>G2</t>
        </is>
      </c>
      <c r="E188" s="158" t="inlineStr">
        <is>
          <t>COSTE</t>
        </is>
      </c>
      <c r="F188" s="159" t="inlineStr">
        <is>
          <t>2026-03-30</t>
        </is>
      </c>
      <c r="G188" s="160" t="n">
        <v>114.6</v>
      </c>
      <c r="H188" s="160" t="n">
        <v>138.67</v>
      </c>
      <c r="I188" s="161" t="n"/>
      <c r="J188" s="162" t="n"/>
    </row>
    <row r="189">
      <c r="A189" s="116" t="inlineStr">
        <is>
          <t>Balliu</t>
        </is>
      </c>
      <c r="B189" s="116" t="inlineStr">
        <is>
          <t>Marina Mini Tumbona</t>
        </is>
      </c>
      <c r="C189" s="116" t="inlineStr">
        <is>
          <t>Mini Tumbona Marina Fija</t>
        </is>
      </c>
      <c r="D189" s="117" t="inlineStr">
        <is>
          <t>G2</t>
        </is>
      </c>
      <c r="E189" s="163" t="inlineStr">
        <is>
          <t>PVP_RECOMENDADO</t>
        </is>
      </c>
      <c r="F189" s="117" t="inlineStr">
        <is>
          <t>2026-05-07</t>
        </is>
      </c>
      <c r="G189" s="118" t="n">
        <v>176.31</v>
      </c>
      <c r="H189" s="118" t="n">
        <v>213.34</v>
      </c>
      <c r="I189" s="120" t="n"/>
      <c r="J189" s="121" t="n"/>
    </row>
    <row r="190">
      <c r="A190" s="148" t="inlineStr">
        <is>
          <t>Balliu</t>
        </is>
      </c>
      <c r="B190" s="148" t="inlineStr">
        <is>
          <t>Marina Tumbona</t>
        </is>
      </c>
      <c r="C190" s="148" t="inlineStr">
        <is>
          <t>Tela Balliu</t>
        </is>
      </c>
      <c r="D190" s="149" t="inlineStr">
        <is>
          <t>G2</t>
        </is>
      </c>
      <c r="E190" s="150" t="inlineStr">
        <is>
          <t>COSTE</t>
        </is>
      </c>
      <c r="F190" s="151" t="inlineStr">
        <is>
          <t>2026-03-30</t>
        </is>
      </c>
      <c r="G190" s="152" t="n">
        <v>173.92</v>
      </c>
      <c r="H190" s="152" t="n">
        <v>210.44</v>
      </c>
      <c r="I190" s="153" t="n"/>
      <c r="J190" s="154" t="n"/>
    </row>
    <row r="191">
      <c r="A191" s="122" t="inlineStr">
        <is>
          <t>Balliu</t>
        </is>
      </c>
      <c r="B191" s="122" t="inlineStr">
        <is>
          <t>Marina Tumbona</t>
        </is>
      </c>
      <c r="C191" s="122" t="inlineStr">
        <is>
          <t>Tela Balliu</t>
        </is>
      </c>
      <c r="D191" s="123" t="inlineStr">
        <is>
          <t>G2</t>
        </is>
      </c>
      <c r="E191" s="155" t="inlineStr">
        <is>
          <t>PVP_RECOMENDADO</t>
        </is>
      </c>
      <c r="F191" s="123" t="inlineStr">
        <is>
          <t>2026-05-07</t>
        </is>
      </c>
      <c r="G191" s="124" t="n">
        <v>267.57</v>
      </c>
      <c r="H191" s="124" t="n">
        <v>323.76</v>
      </c>
      <c r="I191" s="126" t="n"/>
      <c r="J191" s="127" t="n"/>
    </row>
    <row r="192">
      <c r="A192" s="156" t="inlineStr">
        <is>
          <t>Balliu</t>
        </is>
      </c>
      <c r="B192" s="156" t="inlineStr">
        <is>
          <t>Mesa Altea</t>
        </is>
      </c>
      <c r="C192" s="156" t="inlineStr">
        <is>
          <t>120 X 80 Hpl</t>
        </is>
      </c>
      <c r="D192" s="157" t="inlineStr">
        <is>
          <t>G2</t>
        </is>
      </c>
      <c r="E192" s="158" t="inlineStr">
        <is>
          <t>COSTE</t>
        </is>
      </c>
      <c r="F192" s="159" t="inlineStr">
        <is>
          <t>2026-03-30</t>
        </is>
      </c>
      <c r="G192" s="160" t="n">
        <v>361.89</v>
      </c>
      <c r="H192" s="160" t="n">
        <v>437.89</v>
      </c>
      <c r="I192" s="161" t="n"/>
      <c r="J192" s="162" t="n"/>
    </row>
    <row r="193">
      <c r="A193" s="116" t="inlineStr">
        <is>
          <t>Balliu</t>
        </is>
      </c>
      <c r="B193" s="116" t="inlineStr">
        <is>
          <t>Mesa Altea</t>
        </is>
      </c>
      <c r="C193" s="116" t="inlineStr">
        <is>
          <t>120 X 80 Hpl</t>
        </is>
      </c>
      <c r="D193" s="117" t="inlineStr">
        <is>
          <t>G2</t>
        </is>
      </c>
      <c r="E193" s="163" t="inlineStr">
        <is>
          <t>PVP_RECOMENDADO</t>
        </is>
      </c>
      <c r="F193" s="117" t="inlineStr">
        <is>
          <t>2026-05-07</t>
        </is>
      </c>
      <c r="G193" s="118" t="n">
        <v>556.76</v>
      </c>
      <c r="H193" s="118" t="n">
        <v>673.6799999999999</v>
      </c>
      <c r="I193" s="120" t="n"/>
      <c r="J193" s="121" t="n"/>
    </row>
    <row r="194">
      <c r="A194" s="148" t="inlineStr">
        <is>
          <t>Balliu</t>
        </is>
      </c>
      <c r="B194" s="148" t="inlineStr">
        <is>
          <t>Mesa Altea</t>
        </is>
      </c>
      <c r="C194" s="148" t="inlineStr">
        <is>
          <t>120 X 80 Hpl Gd</t>
        </is>
      </c>
      <c r="D194" s="149" t="inlineStr">
        <is>
          <t>G2</t>
        </is>
      </c>
      <c r="E194" s="150" t="inlineStr">
        <is>
          <t>COSTE</t>
        </is>
      </c>
      <c r="F194" s="151" t="inlineStr">
        <is>
          <t>2026-03-30</t>
        </is>
      </c>
      <c r="G194" s="152" t="n">
        <v>368.6</v>
      </c>
      <c r="H194" s="152" t="n">
        <v>446.01</v>
      </c>
      <c r="I194" s="153" t="n"/>
      <c r="J194" s="154" t="n"/>
    </row>
    <row r="195">
      <c r="A195" s="122" t="inlineStr">
        <is>
          <t>Balliu</t>
        </is>
      </c>
      <c r="B195" s="122" t="inlineStr">
        <is>
          <t>Mesa Altea</t>
        </is>
      </c>
      <c r="C195" s="122" t="inlineStr">
        <is>
          <t>120 X 80 Hpl Gd</t>
        </is>
      </c>
      <c r="D195" s="123" t="inlineStr">
        <is>
          <t>G2</t>
        </is>
      </c>
      <c r="E195" s="155" t="inlineStr">
        <is>
          <t>PVP_RECOMENDADO</t>
        </is>
      </c>
      <c r="F195" s="123" t="inlineStr">
        <is>
          <t>2026-05-07</t>
        </is>
      </c>
      <c r="G195" s="124" t="n">
        <v>567.0700000000001</v>
      </c>
      <c r="H195" s="124" t="n">
        <v>686.15</v>
      </c>
      <c r="I195" s="126" t="n"/>
      <c r="J195" s="127" t="n"/>
    </row>
    <row r="196">
      <c r="A196" s="156" t="inlineStr">
        <is>
          <t>Balliu</t>
        </is>
      </c>
      <c r="B196" s="156" t="inlineStr">
        <is>
          <t>Mesa Altea</t>
        </is>
      </c>
      <c r="C196" s="156" t="inlineStr">
        <is>
          <t>70 X 70 Hpl Gd</t>
        </is>
      </c>
      <c r="D196" s="157" t="inlineStr">
        <is>
          <t>G2</t>
        </is>
      </c>
      <c r="E196" s="158" t="inlineStr">
        <is>
          <t>COSTE</t>
        </is>
      </c>
      <c r="F196" s="159" t="inlineStr">
        <is>
          <t>2026-03-30</t>
        </is>
      </c>
      <c r="G196" s="160" t="n">
        <v>258.36</v>
      </c>
      <c r="H196" s="160" t="n">
        <v>312.62</v>
      </c>
      <c r="I196" s="161" t="n"/>
      <c r="J196" s="162" t="n"/>
    </row>
    <row r="197">
      <c r="A197" s="116" t="inlineStr">
        <is>
          <t>Balliu</t>
        </is>
      </c>
      <c r="B197" s="116" t="inlineStr">
        <is>
          <t>Mesa Altea</t>
        </is>
      </c>
      <c r="C197" s="116" t="inlineStr">
        <is>
          <t>70 X 70 Hpl Gd</t>
        </is>
      </c>
      <c r="D197" s="117" t="inlineStr">
        <is>
          <t>G2</t>
        </is>
      </c>
      <c r="E197" s="163" t="inlineStr">
        <is>
          <t>PVP_RECOMENDADO</t>
        </is>
      </c>
      <c r="F197" s="117" t="inlineStr">
        <is>
          <t>2026-05-07</t>
        </is>
      </c>
      <c r="G197" s="118" t="n">
        <v>397.47</v>
      </c>
      <c r="H197" s="118" t="n">
        <v>480.94</v>
      </c>
      <c r="I197" s="120" t="n"/>
      <c r="J197" s="121" t="n"/>
    </row>
    <row r="198">
      <c r="A198" s="148" t="inlineStr">
        <is>
          <t>Balliu</t>
        </is>
      </c>
      <c r="B198" s="148" t="inlineStr">
        <is>
          <t>Mesa Altea</t>
        </is>
      </c>
      <c r="C198" s="148" t="inlineStr">
        <is>
          <t>70X70 Hpl</t>
        </is>
      </c>
      <c r="D198" s="149" t="inlineStr">
        <is>
          <t>G2</t>
        </is>
      </c>
      <c r="E198" s="150" t="inlineStr">
        <is>
          <t>COSTE</t>
        </is>
      </c>
      <c r="F198" s="151" t="inlineStr">
        <is>
          <t>2026-03-30</t>
        </is>
      </c>
      <c r="G198" s="152" t="n">
        <v>226.39</v>
      </c>
      <c r="H198" s="152" t="n">
        <v>273.93</v>
      </c>
      <c r="I198" s="153" t="n"/>
      <c r="J198" s="154" t="n"/>
    </row>
    <row r="199">
      <c r="A199" s="122" t="inlineStr">
        <is>
          <t>Balliu</t>
        </is>
      </c>
      <c r="B199" s="122" t="inlineStr">
        <is>
          <t>Mesa Altea</t>
        </is>
      </c>
      <c r="C199" s="122" t="inlineStr">
        <is>
          <t>70X70 Hpl</t>
        </is>
      </c>
      <c r="D199" s="123" t="inlineStr">
        <is>
          <t>G2</t>
        </is>
      </c>
      <c r="E199" s="155" t="inlineStr">
        <is>
          <t>PVP_RECOMENDADO</t>
        </is>
      </c>
      <c r="F199" s="123" t="inlineStr">
        <is>
          <t>2026-05-07</t>
        </is>
      </c>
      <c r="G199" s="124" t="n">
        <v>348.29</v>
      </c>
      <c r="H199" s="124" t="n">
        <v>421.43</v>
      </c>
      <c r="I199" s="126" t="n"/>
      <c r="J199" s="127" t="n"/>
    </row>
    <row r="200">
      <c r="A200" s="156" t="inlineStr">
        <is>
          <t>Balliu</t>
        </is>
      </c>
      <c r="B200" s="156" t="inlineStr">
        <is>
          <t>Mesa Altea</t>
        </is>
      </c>
      <c r="C200" s="156" t="inlineStr">
        <is>
          <t>80 X 80 Hpl</t>
        </is>
      </c>
      <c r="D200" s="157" t="inlineStr">
        <is>
          <t>G2</t>
        </is>
      </c>
      <c r="E200" s="158" t="inlineStr">
        <is>
          <t>COSTE</t>
        </is>
      </c>
      <c r="F200" s="159" t="inlineStr">
        <is>
          <t>2026-03-30</t>
        </is>
      </c>
      <c r="G200" s="160" t="n">
        <v>226.79</v>
      </c>
      <c r="H200" s="160" t="n">
        <v>274.42</v>
      </c>
      <c r="I200" s="161" t="n"/>
      <c r="J200" s="162" t="n"/>
    </row>
    <row r="201">
      <c r="A201" s="116" t="inlineStr">
        <is>
          <t>Balliu</t>
        </is>
      </c>
      <c r="B201" s="116" t="inlineStr">
        <is>
          <t>Mesa Altea</t>
        </is>
      </c>
      <c r="C201" s="116" t="inlineStr">
        <is>
          <t>80 X 80 Hpl</t>
        </is>
      </c>
      <c r="D201" s="117" t="inlineStr">
        <is>
          <t>G2</t>
        </is>
      </c>
      <c r="E201" s="163" t="inlineStr">
        <is>
          <t>PVP_RECOMENDADO</t>
        </is>
      </c>
      <c r="F201" s="117" t="inlineStr">
        <is>
          <t>2026-05-07</t>
        </is>
      </c>
      <c r="G201" s="118" t="n">
        <v>348.9</v>
      </c>
      <c r="H201" s="118" t="n">
        <v>422.17</v>
      </c>
      <c r="I201" s="120" t="n"/>
      <c r="J201" s="121" t="n"/>
    </row>
    <row r="202">
      <c r="A202" s="148" t="inlineStr">
        <is>
          <t>Balliu</t>
        </is>
      </c>
      <c r="B202" s="148" t="inlineStr">
        <is>
          <t>Mesa Altea</t>
        </is>
      </c>
      <c r="C202" s="148" t="inlineStr">
        <is>
          <t>80 X 80 Hpl Gd</t>
        </is>
      </c>
      <c r="D202" s="149" t="inlineStr">
        <is>
          <t>G2</t>
        </is>
      </c>
      <c r="E202" s="150" t="inlineStr">
        <is>
          <t>COSTE</t>
        </is>
      </c>
      <c r="F202" s="151" t="inlineStr">
        <is>
          <t>2026-03-30</t>
        </is>
      </c>
      <c r="G202" s="152" t="n">
        <v>258.75</v>
      </c>
      <c r="H202" s="152" t="n">
        <v>313.09</v>
      </c>
      <c r="I202" s="153" t="n"/>
      <c r="J202" s="154" t="n"/>
    </row>
    <row r="203">
      <c r="A203" s="122" t="inlineStr">
        <is>
          <t>Balliu</t>
        </is>
      </c>
      <c r="B203" s="122" t="inlineStr">
        <is>
          <t>Mesa Altea</t>
        </is>
      </c>
      <c r="C203" s="122" t="inlineStr">
        <is>
          <t>80 X 80 Hpl Gd</t>
        </is>
      </c>
      <c r="D203" s="123" t="inlineStr">
        <is>
          <t>G2</t>
        </is>
      </c>
      <c r="E203" s="155" t="inlineStr">
        <is>
          <t>PVP_RECOMENDADO</t>
        </is>
      </c>
      <c r="F203" s="123" t="inlineStr">
        <is>
          <t>2026-05-07</t>
        </is>
      </c>
      <c r="G203" s="124" t="n">
        <v>398.08</v>
      </c>
      <c r="H203" s="124" t="n">
        <v>481.68</v>
      </c>
      <c r="I203" s="126" t="n"/>
      <c r="J203" s="127" t="n"/>
    </row>
    <row r="204">
      <c r="A204" s="156" t="inlineStr">
        <is>
          <t>Balliu</t>
        </is>
      </c>
      <c r="B204" s="156" t="inlineStr">
        <is>
          <t>Mesa Altea</t>
        </is>
      </c>
      <c r="C204" s="156" t="inlineStr">
        <is>
          <t>Diam. 80 Hpl</t>
        </is>
      </c>
      <c r="D204" s="157" t="inlineStr">
        <is>
          <t>G2</t>
        </is>
      </c>
      <c r="E204" s="158" t="inlineStr">
        <is>
          <t>COSTE</t>
        </is>
      </c>
      <c r="F204" s="159" t="inlineStr">
        <is>
          <t>2026-03-30</t>
        </is>
      </c>
      <c r="G204" s="160" t="n">
        <v>205.19</v>
      </c>
      <c r="H204" s="160" t="n">
        <v>248.28</v>
      </c>
      <c r="I204" s="161" t="n"/>
      <c r="J204" s="162" t="n"/>
    </row>
    <row r="205">
      <c r="A205" s="116" t="inlineStr">
        <is>
          <t>Balliu</t>
        </is>
      </c>
      <c r="B205" s="116" t="inlineStr">
        <is>
          <t>Mesa Altea</t>
        </is>
      </c>
      <c r="C205" s="116" t="inlineStr">
        <is>
          <t>Diam. 80 Hpl</t>
        </is>
      </c>
      <c r="D205" s="117" t="inlineStr">
        <is>
          <t>G2</t>
        </is>
      </c>
      <c r="E205" s="163" t="inlineStr">
        <is>
          <t>PVP_RECOMENDADO</t>
        </is>
      </c>
      <c r="F205" s="117" t="inlineStr">
        <is>
          <t>2026-05-07</t>
        </is>
      </c>
      <c r="G205" s="118" t="n">
        <v>315.68</v>
      </c>
      <c r="H205" s="118" t="n">
        <v>381.97</v>
      </c>
      <c r="I205" s="120" t="n"/>
      <c r="J205" s="121" t="n"/>
    </row>
    <row r="206">
      <c r="A206" s="148" t="inlineStr">
        <is>
          <t>Balliu</t>
        </is>
      </c>
      <c r="B206" s="148" t="inlineStr">
        <is>
          <t>Mesa Altea</t>
        </is>
      </c>
      <c r="C206" s="148" t="inlineStr">
        <is>
          <t>Diam. 80 Hpl Gd</t>
        </is>
      </c>
      <c r="D206" s="149" t="inlineStr">
        <is>
          <t>G2</t>
        </is>
      </c>
      <c r="E206" s="150" t="inlineStr">
        <is>
          <t>COSTE</t>
        </is>
      </c>
      <c r="F206" s="151" t="inlineStr">
        <is>
          <t>2026-03-30</t>
        </is>
      </c>
      <c r="G206" s="152" t="n">
        <v>211.05</v>
      </c>
      <c r="H206" s="152" t="n">
        <v>255.37</v>
      </c>
      <c r="I206" s="153" t="n"/>
      <c r="J206" s="154" t="n"/>
    </row>
    <row r="207">
      <c r="A207" s="122" t="inlineStr">
        <is>
          <t>Balliu</t>
        </is>
      </c>
      <c r="B207" s="122" t="inlineStr">
        <is>
          <t>Mesa Altea</t>
        </is>
      </c>
      <c r="C207" s="122" t="inlineStr">
        <is>
          <t>Diam. 80 Hpl Gd</t>
        </is>
      </c>
      <c r="D207" s="123" t="inlineStr">
        <is>
          <t>G2</t>
        </is>
      </c>
      <c r="E207" s="155" t="inlineStr">
        <is>
          <t>PVP_RECOMENDADO</t>
        </is>
      </c>
      <c r="F207" s="123" t="inlineStr">
        <is>
          <t>2026-05-07</t>
        </is>
      </c>
      <c r="G207" s="124" t="n">
        <v>324.68</v>
      </c>
      <c r="H207" s="124" t="n">
        <v>392.86</v>
      </c>
      <c r="I207" s="126" t="n"/>
      <c r="J207" s="127" t="n"/>
    </row>
    <row r="208">
      <c r="A208" s="156" t="inlineStr">
        <is>
          <t>Balliu</t>
        </is>
      </c>
      <c r="B208" s="156" t="inlineStr">
        <is>
          <t>Mesa Auxiliar Etna</t>
        </is>
      </c>
      <c r="C208" s="156" t="inlineStr">
        <is>
          <t>Tablero Hpl</t>
        </is>
      </c>
      <c r="D208" s="157" t="inlineStr">
        <is>
          <t>G2</t>
        </is>
      </c>
      <c r="E208" s="158" t="inlineStr">
        <is>
          <t>COSTE</t>
        </is>
      </c>
      <c r="F208" s="159" t="inlineStr">
        <is>
          <t>2026-03-30</t>
        </is>
      </c>
      <c r="G208" s="160" t="n">
        <v>89.70999999999999</v>
      </c>
      <c r="H208" s="160" t="n">
        <v>108.55</v>
      </c>
      <c r="I208" s="161" t="n"/>
      <c r="J208" s="162" t="n"/>
    </row>
    <row r="209">
      <c r="A209" s="116" t="inlineStr">
        <is>
          <t>Balliu</t>
        </is>
      </c>
      <c r="B209" s="116" t="inlineStr">
        <is>
          <t>Mesa Auxiliar Etna</t>
        </is>
      </c>
      <c r="C209" s="116" t="inlineStr">
        <is>
          <t>Tablero Hpl</t>
        </is>
      </c>
      <c r="D209" s="117" t="inlineStr">
        <is>
          <t>G2</t>
        </is>
      </c>
      <c r="E209" s="163" t="inlineStr">
        <is>
          <t>PVP_RECOMENDADO</t>
        </is>
      </c>
      <c r="F209" s="117" t="inlineStr">
        <is>
          <t>2026-05-07</t>
        </is>
      </c>
      <c r="G209" s="118" t="n">
        <v>138.02</v>
      </c>
      <c r="H209" s="118" t="n">
        <v>167</v>
      </c>
      <c r="I209" s="120" t="n"/>
      <c r="J209" s="121" t="n"/>
    </row>
    <row r="210">
      <c r="A210" s="148" t="inlineStr">
        <is>
          <t>Balliu</t>
        </is>
      </c>
      <c r="B210" s="148" t="inlineStr">
        <is>
          <t>Mesa Auxiliar Etna</t>
        </is>
      </c>
      <c r="C210" s="148" t="inlineStr">
        <is>
          <t>Tablero Hpl Gd</t>
        </is>
      </c>
      <c r="D210" s="149" t="inlineStr">
        <is>
          <t>G2</t>
        </is>
      </c>
      <c r="E210" s="150" t="inlineStr">
        <is>
          <t>COSTE</t>
        </is>
      </c>
      <c r="F210" s="151" t="inlineStr">
        <is>
          <t>2026-03-30</t>
        </is>
      </c>
      <c r="G210" s="152" t="n">
        <v>94.05</v>
      </c>
      <c r="H210" s="152" t="n">
        <v>113.8</v>
      </c>
      <c r="I210" s="153" t="n"/>
      <c r="J210" s="154" t="n"/>
    </row>
    <row r="211">
      <c r="A211" s="122" t="inlineStr">
        <is>
          <t>Balliu</t>
        </is>
      </c>
      <c r="B211" s="122" t="inlineStr">
        <is>
          <t>Mesa Auxiliar Etna</t>
        </is>
      </c>
      <c r="C211" s="122" t="inlineStr">
        <is>
          <t>Tablero Hpl Gd</t>
        </is>
      </c>
      <c r="D211" s="123" t="inlineStr">
        <is>
          <t>G2</t>
        </is>
      </c>
      <c r="E211" s="155" t="inlineStr">
        <is>
          <t>PVP_RECOMENDADO</t>
        </is>
      </c>
      <c r="F211" s="123" t="inlineStr">
        <is>
          <t>2026-05-07</t>
        </is>
      </c>
      <c r="G211" s="124" t="n">
        <v>144.68</v>
      </c>
      <c r="H211" s="124" t="n">
        <v>175.06</v>
      </c>
      <c r="I211" s="126" t="n"/>
      <c r="J211" s="127" t="n"/>
    </row>
    <row r="212">
      <c r="A212" s="156" t="inlineStr">
        <is>
          <t>Balliu</t>
        </is>
      </c>
      <c r="B212" s="156" t="inlineStr">
        <is>
          <t>Mesa Java</t>
        </is>
      </c>
      <c r="C212" s="156" t="inlineStr">
        <is>
          <t>140/180X100 Extensible Hpl</t>
        </is>
      </c>
      <c r="D212" s="157" t="inlineStr">
        <is>
          <t>G3</t>
        </is>
      </c>
      <c r="E212" s="158" t="inlineStr">
        <is>
          <t>COSTE</t>
        </is>
      </c>
      <c r="F212" s="159" t="inlineStr">
        <is>
          <t>2026-03-30</t>
        </is>
      </c>
      <c r="G212" s="160" t="n">
        <v>975.21</v>
      </c>
      <c r="H212" s="160" t="n">
        <v>1180</v>
      </c>
      <c r="I212" s="161" t="n"/>
      <c r="J212" s="162" t="n"/>
    </row>
    <row r="213">
      <c r="A213" s="116" t="inlineStr">
        <is>
          <t>Balliu</t>
        </is>
      </c>
      <c r="B213" s="116" t="inlineStr">
        <is>
          <t>Mesa Java</t>
        </is>
      </c>
      <c r="C213" s="116" t="inlineStr">
        <is>
          <t>140/180X100 Extensible Hpl</t>
        </is>
      </c>
      <c r="D213" s="117" t="inlineStr">
        <is>
          <t>G3</t>
        </is>
      </c>
      <c r="E213" s="163" t="inlineStr">
        <is>
          <t>PVP_RECOMENDADO</t>
        </is>
      </c>
      <c r="F213" s="117" t="inlineStr">
        <is>
          <t>2026-05-07</t>
        </is>
      </c>
      <c r="G213" s="118" t="n">
        <v>1300.28</v>
      </c>
      <c r="H213" s="118" t="n">
        <v>1573.34</v>
      </c>
      <c r="I213" s="120" t="n"/>
      <c r="J213" s="121" t="n"/>
    </row>
    <row r="214">
      <c r="A214" s="148" t="inlineStr">
        <is>
          <t>Balliu</t>
        </is>
      </c>
      <c r="B214" s="148" t="inlineStr">
        <is>
          <t>Mesa Java</t>
        </is>
      </c>
      <c r="C214" s="148" t="inlineStr">
        <is>
          <t>140/180X100 Extensible Hpl Gd</t>
        </is>
      </c>
      <c r="D214" s="149" t="inlineStr">
        <is>
          <t>G3</t>
        </is>
      </c>
      <c r="E214" s="150" t="inlineStr">
        <is>
          <t>COSTE</t>
        </is>
      </c>
      <c r="F214" s="151" t="inlineStr">
        <is>
          <t>2026-03-30</t>
        </is>
      </c>
      <c r="G214" s="152" t="n">
        <v>987.5599999999999</v>
      </c>
      <c r="H214" s="152" t="n">
        <v>1194.95</v>
      </c>
      <c r="I214" s="153" t="n"/>
      <c r="J214" s="154" t="n"/>
    </row>
    <row r="215">
      <c r="A215" s="122" t="inlineStr">
        <is>
          <t>Balliu</t>
        </is>
      </c>
      <c r="B215" s="122" t="inlineStr">
        <is>
          <t>Mesa Java</t>
        </is>
      </c>
      <c r="C215" s="122" t="inlineStr">
        <is>
          <t>140/180X100 Extensible Hpl Gd</t>
        </is>
      </c>
      <c r="D215" s="123" t="inlineStr">
        <is>
          <t>G3</t>
        </is>
      </c>
      <c r="E215" s="155" t="inlineStr">
        <is>
          <t>PVP_RECOMENDADO</t>
        </is>
      </c>
      <c r="F215" s="123" t="inlineStr">
        <is>
          <t>2026-05-07</t>
        </is>
      </c>
      <c r="G215" s="124" t="n">
        <v>1316.74</v>
      </c>
      <c r="H215" s="124" t="n">
        <v>1593.26</v>
      </c>
      <c r="I215" s="126" t="n"/>
      <c r="J215" s="127" t="n"/>
    </row>
    <row r="216">
      <c r="A216" s="156" t="inlineStr">
        <is>
          <t>Balliu</t>
        </is>
      </c>
      <c r="B216" s="156" t="inlineStr">
        <is>
          <t>Mesa Java</t>
        </is>
      </c>
      <c r="C216" s="156" t="inlineStr">
        <is>
          <t>200/260X100 Extensible Hpl</t>
        </is>
      </c>
      <c r="D216" s="157" t="inlineStr">
        <is>
          <t>G3</t>
        </is>
      </c>
      <c r="E216" s="158" t="inlineStr">
        <is>
          <t>COSTE</t>
        </is>
      </c>
      <c r="F216" s="159" t="inlineStr">
        <is>
          <t>2026-03-30</t>
        </is>
      </c>
      <c r="G216" s="160" t="n">
        <v>1250.19</v>
      </c>
      <c r="H216" s="160" t="n">
        <v>1512.73</v>
      </c>
      <c r="I216" s="161" t="n"/>
      <c r="J216" s="162" t="n"/>
    </row>
    <row r="217">
      <c r="A217" s="116" t="inlineStr">
        <is>
          <t>Balliu</t>
        </is>
      </c>
      <c r="B217" s="116" t="inlineStr">
        <is>
          <t>Mesa Java</t>
        </is>
      </c>
      <c r="C217" s="116" t="inlineStr">
        <is>
          <t>200/260X100 Extensible Hpl</t>
        </is>
      </c>
      <c r="D217" s="117" t="inlineStr">
        <is>
          <t>G3</t>
        </is>
      </c>
      <c r="E217" s="163" t="inlineStr">
        <is>
          <t>PVP_RECOMENDADO</t>
        </is>
      </c>
      <c r="F217" s="117" t="inlineStr">
        <is>
          <t>2026-05-07</t>
        </is>
      </c>
      <c r="G217" s="118" t="n">
        <v>1666.92</v>
      </c>
      <c r="H217" s="118" t="n">
        <v>2016.97</v>
      </c>
      <c r="I217" s="120" t="n"/>
      <c r="J217" s="121" t="n"/>
    </row>
    <row r="218">
      <c r="A218" s="148" t="inlineStr">
        <is>
          <t>Balliu</t>
        </is>
      </c>
      <c r="B218" s="148" t="inlineStr">
        <is>
          <t>Mesa Java</t>
        </is>
      </c>
      <c r="C218" s="148" t="inlineStr">
        <is>
          <t>200/260X100 Extensible Hpl Gd</t>
        </is>
      </c>
      <c r="D218" s="149" t="inlineStr">
        <is>
          <t>G3</t>
        </is>
      </c>
      <c r="E218" s="150" t="inlineStr">
        <is>
          <t>COSTE</t>
        </is>
      </c>
      <c r="F218" s="151" t="inlineStr">
        <is>
          <t>2026-03-30</t>
        </is>
      </c>
      <c r="G218" s="152" t="n">
        <v>1423.37</v>
      </c>
      <c r="H218" s="152" t="n">
        <v>1722.28</v>
      </c>
      <c r="I218" s="153" t="n"/>
      <c r="J218" s="154" t="n"/>
    </row>
    <row r="219">
      <c r="A219" s="122" t="inlineStr">
        <is>
          <t>Balliu</t>
        </is>
      </c>
      <c r="B219" s="122" t="inlineStr">
        <is>
          <t>Mesa Java</t>
        </is>
      </c>
      <c r="C219" s="122" t="inlineStr">
        <is>
          <t>200/260X100 Extensible Hpl Gd</t>
        </is>
      </c>
      <c r="D219" s="123" t="inlineStr">
        <is>
          <t>G3</t>
        </is>
      </c>
      <c r="E219" s="155" t="inlineStr">
        <is>
          <t>PVP_RECOMENDADO</t>
        </is>
      </c>
      <c r="F219" s="123" t="inlineStr">
        <is>
          <t>2026-05-07</t>
        </is>
      </c>
      <c r="G219" s="124" t="n">
        <v>1897.82</v>
      </c>
      <c r="H219" s="124" t="n">
        <v>2296.36</v>
      </c>
      <c r="I219" s="126" t="n"/>
      <c r="J219" s="127" t="n"/>
    </row>
    <row r="220">
      <c r="A220" s="156" t="inlineStr">
        <is>
          <t>Balliu</t>
        </is>
      </c>
      <c r="B220" s="156" t="inlineStr">
        <is>
          <t>Mila Silla</t>
        </is>
      </c>
      <c r="C220" s="156" t="inlineStr">
        <is>
          <t>Con Brazos</t>
        </is>
      </c>
      <c r="D220" s="157" t="inlineStr">
        <is>
          <t>G3</t>
        </is>
      </c>
      <c r="E220" s="158" t="inlineStr">
        <is>
          <t>COSTE</t>
        </is>
      </c>
      <c r="F220" s="159" t="inlineStr">
        <is>
          <t>2026-03-30</t>
        </is>
      </c>
      <c r="G220" s="160" t="n">
        <v>60.67</v>
      </c>
      <c r="H220" s="160" t="n">
        <v>73.41</v>
      </c>
      <c r="I220" s="161" t="n"/>
      <c r="J220" s="162" t="n"/>
    </row>
    <row r="221">
      <c r="A221" s="116" t="inlineStr">
        <is>
          <t>Balliu</t>
        </is>
      </c>
      <c r="B221" s="116" t="inlineStr">
        <is>
          <t>Mila Silla</t>
        </is>
      </c>
      <c r="C221" s="116" t="inlineStr">
        <is>
          <t>Con Brazos</t>
        </is>
      </c>
      <c r="D221" s="117" t="inlineStr">
        <is>
          <t>G3</t>
        </is>
      </c>
      <c r="E221" s="163" t="inlineStr">
        <is>
          <t>PVP_RECOMENDADO</t>
        </is>
      </c>
      <c r="F221" s="117" t="inlineStr">
        <is>
          <t>2026-05-07</t>
        </is>
      </c>
      <c r="G221" s="118" t="n">
        <v>80.89</v>
      </c>
      <c r="H221" s="118" t="n">
        <v>97.88</v>
      </c>
      <c r="I221" s="120" t="n"/>
      <c r="J221" s="121" t="n"/>
    </row>
    <row r="222">
      <c r="A222" s="148" t="inlineStr">
        <is>
          <t>Balliu</t>
        </is>
      </c>
      <c r="B222" s="148" t="inlineStr">
        <is>
          <t>Mini Mesa</t>
        </is>
      </c>
      <c r="C222" s="148" t="inlineStr">
        <is>
          <t>Color Blanco</t>
        </is>
      </c>
      <c r="D222" s="149" t="inlineStr">
        <is>
          <t>G1</t>
        </is>
      </c>
      <c r="E222" s="150" t="inlineStr">
        <is>
          <t>COSTE</t>
        </is>
      </c>
      <c r="F222" s="151" t="inlineStr">
        <is>
          <t>2026-03-30</t>
        </is>
      </c>
      <c r="G222" s="152" t="n">
        <v>14.17</v>
      </c>
      <c r="H222" s="152" t="n">
        <v>17.15</v>
      </c>
      <c r="I222" s="153" t="n"/>
      <c r="J222" s="154" t="n"/>
    </row>
    <row r="223">
      <c r="A223" s="122" t="inlineStr">
        <is>
          <t>Balliu</t>
        </is>
      </c>
      <c r="B223" s="122" t="inlineStr">
        <is>
          <t>Mini Mesa</t>
        </is>
      </c>
      <c r="C223" s="122" t="inlineStr">
        <is>
          <t>Color Blanco</t>
        </is>
      </c>
      <c r="D223" s="123" t="inlineStr">
        <is>
          <t>G1</t>
        </is>
      </c>
      <c r="E223" s="155" t="inlineStr">
        <is>
          <t>PVP_RECOMENDADO</t>
        </is>
      </c>
      <c r="F223" s="123" t="inlineStr">
        <is>
          <t>2026-05-07</t>
        </is>
      </c>
      <c r="G223" s="124" t="n">
        <v>22.86</v>
      </c>
      <c r="H223" s="124" t="n">
        <v>27.66</v>
      </c>
      <c r="I223" s="126" t="n"/>
      <c r="J223" s="127" t="n"/>
    </row>
    <row r="224">
      <c r="A224" s="156" t="inlineStr">
        <is>
          <t>Balliu</t>
        </is>
      </c>
      <c r="B224" s="156" t="inlineStr">
        <is>
          <t>Mini Mesa</t>
        </is>
      </c>
      <c r="C224" s="156" t="inlineStr">
        <is>
          <t>Color Natural/Prestige/Estandar</t>
        </is>
      </c>
      <c r="D224" s="157" t="inlineStr">
        <is>
          <t>G1</t>
        </is>
      </c>
      <c r="E224" s="158" t="inlineStr">
        <is>
          <t>COSTE</t>
        </is>
      </c>
      <c r="F224" s="159" t="inlineStr">
        <is>
          <t>2026-03-30</t>
        </is>
      </c>
      <c r="G224" s="160" t="n">
        <v>14.95</v>
      </c>
      <c r="H224" s="160" t="n">
        <v>18.09</v>
      </c>
      <c r="I224" s="161" t="n"/>
      <c r="J224" s="162" t="n"/>
    </row>
    <row r="225">
      <c r="A225" s="116" t="inlineStr">
        <is>
          <t>Balliu</t>
        </is>
      </c>
      <c r="B225" s="116" t="inlineStr">
        <is>
          <t>Mini Mesa</t>
        </is>
      </c>
      <c r="C225" s="116" t="inlineStr">
        <is>
          <t>Color Natural/Prestige/Estandar</t>
        </is>
      </c>
      <c r="D225" s="117" t="inlineStr">
        <is>
          <t>G1</t>
        </is>
      </c>
      <c r="E225" s="163" t="inlineStr">
        <is>
          <t>PVP_RECOMENDADO</t>
        </is>
      </c>
      <c r="F225" s="117" t="inlineStr">
        <is>
          <t>2026-05-07</t>
        </is>
      </c>
      <c r="G225" s="118" t="n">
        <v>24.11</v>
      </c>
      <c r="H225" s="118" t="n">
        <v>29.17</v>
      </c>
      <c r="I225" s="120" t="n"/>
      <c r="J225" s="121" t="n"/>
    </row>
    <row r="226">
      <c r="A226" s="148" t="inlineStr">
        <is>
          <t>Balliu</t>
        </is>
      </c>
      <c r="B226" s="148" t="inlineStr">
        <is>
          <t>Mini Mesa Eva Pro</t>
        </is>
      </c>
      <c r="C226" s="148" t="inlineStr">
        <is>
          <t>Color Blanco</t>
        </is>
      </c>
      <c r="D226" s="149" t="inlineStr">
        <is>
          <t>G1</t>
        </is>
      </c>
      <c r="E226" s="150" t="inlineStr">
        <is>
          <t>COSTE</t>
        </is>
      </c>
      <c r="F226" s="151" t="inlineStr">
        <is>
          <t>2026-03-30</t>
        </is>
      </c>
      <c r="G226" s="152" t="n">
        <v>17.13</v>
      </c>
      <c r="H226" s="152" t="n">
        <v>20.73</v>
      </c>
      <c r="I226" s="153" t="n"/>
      <c r="J226" s="154" t="n"/>
    </row>
    <row r="227">
      <c r="A227" s="122" t="inlineStr">
        <is>
          <t>Balliu</t>
        </is>
      </c>
      <c r="B227" s="122" t="inlineStr">
        <is>
          <t>Mini Mesa Eva Pro</t>
        </is>
      </c>
      <c r="C227" s="122" t="inlineStr">
        <is>
          <t>Color Blanco</t>
        </is>
      </c>
      <c r="D227" s="123" t="inlineStr">
        <is>
          <t>G1</t>
        </is>
      </c>
      <c r="E227" s="155" t="inlineStr">
        <is>
          <t>PVP_RECOMENDADO</t>
        </is>
      </c>
      <c r="F227" s="123" t="inlineStr">
        <is>
          <t>2026-05-07</t>
        </is>
      </c>
      <c r="G227" s="124" t="n">
        <v>27.63</v>
      </c>
      <c r="H227" s="124" t="n">
        <v>33.43</v>
      </c>
      <c r="I227" s="126" t="n"/>
      <c r="J227" s="127" t="n"/>
    </row>
    <row r="228">
      <c r="A228" s="156" t="inlineStr">
        <is>
          <t>Balliu</t>
        </is>
      </c>
      <c r="B228" s="156" t="inlineStr">
        <is>
          <t>Mini Mesa Eva Pro</t>
        </is>
      </c>
      <c r="C228" s="156" t="inlineStr">
        <is>
          <t>Color Natural/Pr Estige</t>
        </is>
      </c>
      <c r="D228" s="157" t="inlineStr">
        <is>
          <t>G1</t>
        </is>
      </c>
      <c r="E228" s="158" t="inlineStr">
        <is>
          <t>COSTE</t>
        </is>
      </c>
      <c r="F228" s="159" t="inlineStr">
        <is>
          <t>2026-03-30</t>
        </is>
      </c>
      <c r="G228" s="160" t="n">
        <v>17.63</v>
      </c>
      <c r="H228" s="160" t="n">
        <v>21.33</v>
      </c>
      <c r="I228" s="161" t="n"/>
      <c r="J228" s="162" t="n"/>
    </row>
    <row r="229">
      <c r="A229" s="116" t="inlineStr">
        <is>
          <t>Balliu</t>
        </is>
      </c>
      <c r="B229" s="116" t="inlineStr">
        <is>
          <t>Mini Mesa Eva Pro</t>
        </is>
      </c>
      <c r="C229" s="116" t="inlineStr">
        <is>
          <t>Color Natural/Pr Estige</t>
        </is>
      </c>
      <c r="D229" s="117" t="inlineStr">
        <is>
          <t>G1</t>
        </is>
      </c>
      <c r="E229" s="163" t="inlineStr">
        <is>
          <t>PVP_RECOMENDADO</t>
        </is>
      </c>
      <c r="F229" s="117" t="inlineStr">
        <is>
          <t>2026-05-07</t>
        </is>
      </c>
      <c r="G229" s="118" t="n">
        <v>28.44</v>
      </c>
      <c r="H229" s="118" t="n">
        <v>34.41</v>
      </c>
      <c r="I229" s="120" t="n"/>
      <c r="J229" s="121" t="n"/>
    </row>
    <row r="230">
      <c r="A230" s="148" t="inlineStr">
        <is>
          <t>Balliu</t>
        </is>
      </c>
      <c r="B230" s="148" t="inlineStr">
        <is>
          <t>Noa Auxiliar Mesa</t>
        </is>
      </c>
      <c r="C230" s="148" t="inlineStr">
        <is>
          <t>Color Blanco</t>
        </is>
      </c>
      <c r="D230" s="149" t="inlineStr">
        <is>
          <t>G2</t>
        </is>
      </c>
      <c r="E230" s="150" t="inlineStr">
        <is>
          <t>COSTE</t>
        </is>
      </c>
      <c r="F230" s="151" t="inlineStr">
        <is>
          <t>2026-03-30</t>
        </is>
      </c>
      <c r="G230" s="152" t="n">
        <v>69.97</v>
      </c>
      <c r="H230" s="152" t="n">
        <v>84.66</v>
      </c>
      <c r="I230" s="153" t="n"/>
      <c r="J230" s="154" t="n"/>
    </row>
    <row r="231">
      <c r="A231" s="122" t="inlineStr">
        <is>
          <t>Balliu</t>
        </is>
      </c>
      <c r="B231" s="122" t="inlineStr">
        <is>
          <t>Noa Auxiliar Mesa</t>
        </is>
      </c>
      <c r="C231" s="122" t="inlineStr">
        <is>
          <t>Color Blanco</t>
        </is>
      </c>
      <c r="D231" s="123" t="inlineStr">
        <is>
          <t>G2</t>
        </is>
      </c>
      <c r="E231" s="155" t="inlineStr">
        <is>
          <t>PVP_RECOMENDADO</t>
        </is>
      </c>
      <c r="F231" s="123" t="inlineStr">
        <is>
          <t>2026-05-07</t>
        </is>
      </c>
      <c r="G231" s="124" t="n">
        <v>107.64</v>
      </c>
      <c r="H231" s="124" t="n">
        <v>130.24</v>
      </c>
      <c r="I231" s="126" t="n"/>
      <c r="J231" s="127" t="n"/>
    </row>
    <row r="232">
      <c r="A232" s="156" t="inlineStr">
        <is>
          <t>Balliu</t>
        </is>
      </c>
      <c r="B232" s="156" t="inlineStr">
        <is>
          <t>Noa Auxiliar Mesa</t>
        </is>
      </c>
      <c r="C232" s="156" t="inlineStr">
        <is>
          <t>Color Natural/Prestige</t>
        </is>
      </c>
      <c r="D232" s="157" t="inlineStr">
        <is>
          <t>G2</t>
        </is>
      </c>
      <c r="E232" s="158" t="inlineStr">
        <is>
          <t>COSTE</t>
        </is>
      </c>
      <c r="F232" s="159" t="inlineStr">
        <is>
          <t>2026-03-30</t>
        </is>
      </c>
      <c r="G232" s="160" t="n">
        <v>73.58</v>
      </c>
      <c r="H232" s="160" t="n">
        <v>89.03</v>
      </c>
      <c r="I232" s="161" t="n"/>
      <c r="J232" s="162" t="n"/>
    </row>
    <row r="233">
      <c r="A233" s="116" t="inlineStr">
        <is>
          <t>Balliu</t>
        </is>
      </c>
      <c r="B233" s="116" t="inlineStr">
        <is>
          <t>Noa Auxiliar Mesa</t>
        </is>
      </c>
      <c r="C233" s="116" t="inlineStr">
        <is>
          <t>Color Natural/Prestige</t>
        </is>
      </c>
      <c r="D233" s="117" t="inlineStr">
        <is>
          <t>G2</t>
        </is>
      </c>
      <c r="E233" s="163" t="inlineStr">
        <is>
          <t>PVP_RECOMENDADO</t>
        </is>
      </c>
      <c r="F233" s="117" t="inlineStr">
        <is>
          <t>2026-05-07</t>
        </is>
      </c>
      <c r="G233" s="118" t="n">
        <v>113.21</v>
      </c>
      <c r="H233" s="118" t="n">
        <v>136.98</v>
      </c>
      <c r="I233" s="120" t="n"/>
      <c r="J233" s="121" t="n"/>
    </row>
    <row r="234">
      <c r="A234" s="148" t="inlineStr">
        <is>
          <t>Balliu</t>
        </is>
      </c>
      <c r="B234" s="148" t="inlineStr">
        <is>
          <t>Noa Tumbona Apilable</t>
        </is>
      </c>
      <c r="C234" s="148" t="inlineStr">
        <is>
          <t>Chasis Blanco/Tela Balliu</t>
        </is>
      </c>
      <c r="D234" s="149" t="inlineStr">
        <is>
          <t>G4</t>
        </is>
      </c>
      <c r="E234" s="150" t="inlineStr">
        <is>
          <t>COSTE</t>
        </is>
      </c>
      <c r="F234" s="151" t="inlineStr">
        <is>
          <t>2026-03-30</t>
        </is>
      </c>
      <c r="G234" s="152" t="n">
        <v>215.24</v>
      </c>
      <c r="H234" s="152" t="n">
        <v>260.44</v>
      </c>
      <c r="I234" s="153" t="n"/>
      <c r="J234" s="154" t="n"/>
    </row>
    <row r="235">
      <c r="A235" s="122" t="inlineStr">
        <is>
          <t>Balliu</t>
        </is>
      </c>
      <c r="B235" s="122" t="inlineStr">
        <is>
          <t>Noa Tumbona Apilable</t>
        </is>
      </c>
      <c r="C235" s="122" t="inlineStr">
        <is>
          <t>Chasis Blanco/Tela Balliu</t>
        </is>
      </c>
      <c r="D235" s="123" t="inlineStr">
        <is>
          <t>G4</t>
        </is>
      </c>
      <c r="E235" s="155" t="inlineStr">
        <is>
          <t>PVP_RECOMENDADO</t>
        </is>
      </c>
      <c r="F235" s="123" t="inlineStr">
        <is>
          <t>2026-05-07</t>
        </is>
      </c>
      <c r="G235" s="124" t="n">
        <v>331.14</v>
      </c>
      <c r="H235" s="124" t="n">
        <v>400.68</v>
      </c>
      <c r="I235" s="126" t="n"/>
      <c r="J235" s="127" t="n"/>
    </row>
    <row r="236">
      <c r="A236" s="156" t="inlineStr">
        <is>
          <t>Balliu</t>
        </is>
      </c>
      <c r="B236" s="156" t="inlineStr">
        <is>
          <t>Noa Tumbona Apilable</t>
        </is>
      </c>
      <c r="C236" s="156" t="inlineStr">
        <is>
          <t>Chasis Prestige/Tela Balliu</t>
        </is>
      </c>
      <c r="D236" s="157" t="inlineStr">
        <is>
          <t>G4</t>
        </is>
      </c>
      <c r="E236" s="158" t="inlineStr">
        <is>
          <t>COSTE</t>
        </is>
      </c>
      <c r="F236" s="159" t="inlineStr">
        <is>
          <t>2026-03-30</t>
        </is>
      </c>
      <c r="G236" s="160" t="n">
        <v>225.25</v>
      </c>
      <c r="H236" s="160" t="n">
        <v>272.55</v>
      </c>
      <c r="I236" s="161" t="n"/>
      <c r="J236" s="162" t="n"/>
    </row>
    <row r="237">
      <c r="A237" s="116" t="inlineStr">
        <is>
          <t>Balliu</t>
        </is>
      </c>
      <c r="B237" s="116" t="inlineStr">
        <is>
          <t>Noa Tumbona Apilable</t>
        </is>
      </c>
      <c r="C237" s="116" t="inlineStr">
        <is>
          <t>Chasis Prestige/Tela Balliu</t>
        </is>
      </c>
      <c r="D237" s="117" t="inlineStr">
        <is>
          <t>G4</t>
        </is>
      </c>
      <c r="E237" s="163" t="inlineStr">
        <is>
          <t>PVP_RECOMENDADO</t>
        </is>
      </c>
      <c r="F237" s="117" t="inlineStr">
        <is>
          <t>2026-05-07</t>
        </is>
      </c>
      <c r="G237" s="118" t="n">
        <v>346.54</v>
      </c>
      <c r="H237" s="118" t="n">
        <v>419.31</v>
      </c>
      <c r="I237" s="120" t="n"/>
      <c r="J237" s="121" t="n"/>
    </row>
    <row r="238">
      <c r="A238" s="148" t="inlineStr">
        <is>
          <t>Balliu</t>
        </is>
      </c>
      <c r="B238" s="148" t="inlineStr">
        <is>
          <t>Nora Mesa</t>
        </is>
      </c>
      <c r="C238" s="148" t="inlineStr">
        <is>
          <t>Diametro 70 Aluminio</t>
        </is>
      </c>
      <c r="D238" s="149" t="inlineStr">
        <is>
          <t>G2</t>
        </is>
      </c>
      <c r="E238" s="150" t="inlineStr">
        <is>
          <t>COSTE</t>
        </is>
      </c>
      <c r="F238" s="151" t="inlineStr">
        <is>
          <t>2026-03-30</t>
        </is>
      </c>
      <c r="G238" s="152" t="n">
        <v>120.39</v>
      </c>
      <c r="H238" s="152" t="n">
        <v>145.67</v>
      </c>
      <c r="I238" s="153" t="n"/>
      <c r="J238" s="154" t="n"/>
    </row>
    <row r="239">
      <c r="A239" s="122" t="inlineStr">
        <is>
          <t>Balliu</t>
        </is>
      </c>
      <c r="B239" s="122" t="inlineStr">
        <is>
          <t>Nora Mesa</t>
        </is>
      </c>
      <c r="C239" s="122" t="inlineStr">
        <is>
          <t>Diametro 70 Aluminio</t>
        </is>
      </c>
      <c r="D239" s="123" t="inlineStr">
        <is>
          <t>G2</t>
        </is>
      </c>
      <c r="E239" s="155" t="inlineStr">
        <is>
          <t>PVP_RECOMENDADO</t>
        </is>
      </c>
      <c r="F239" s="123" t="inlineStr">
        <is>
          <t>2026-05-07</t>
        </is>
      </c>
      <c r="G239" s="124" t="n">
        <v>185.21</v>
      </c>
      <c r="H239" s="124" t="n">
        <v>224.1</v>
      </c>
      <c r="I239" s="126" t="n"/>
      <c r="J239" s="127" t="n"/>
    </row>
    <row r="240">
      <c r="A240" s="156" t="inlineStr">
        <is>
          <t>Balliu</t>
        </is>
      </c>
      <c r="B240" s="156" t="inlineStr">
        <is>
          <t>Ocean Parasol</t>
        </is>
      </c>
      <c r="C240" s="156" t="inlineStr">
        <is>
          <t>Parasol tela Balliu</t>
        </is>
      </c>
      <c r="D240" s="157" t="inlineStr">
        <is>
          <t>G2</t>
        </is>
      </c>
      <c r="E240" s="158" t="inlineStr">
        <is>
          <t>COSTE</t>
        </is>
      </c>
      <c r="F240" s="159" t="inlineStr">
        <is>
          <t>2026-03-30</t>
        </is>
      </c>
      <c r="G240" s="160" t="n">
        <v>163.38</v>
      </c>
      <c r="H240" s="160" t="n">
        <v>197.69</v>
      </c>
      <c r="I240" s="161" t="n"/>
      <c r="J240" s="162" t="n"/>
    </row>
    <row r="241">
      <c r="A241" s="116" t="inlineStr">
        <is>
          <t>Balliu</t>
        </is>
      </c>
      <c r="B241" s="116" t="inlineStr">
        <is>
          <t>Ocean Parasol</t>
        </is>
      </c>
      <c r="C241" s="116" t="inlineStr">
        <is>
          <t>Parasol tela Balliu</t>
        </is>
      </c>
      <c r="D241" s="117" t="inlineStr">
        <is>
          <t>G2</t>
        </is>
      </c>
      <c r="E241" s="163" t="inlineStr">
        <is>
          <t>PVP_RECOMENDADO</t>
        </is>
      </c>
      <c r="F241" s="117" t="inlineStr">
        <is>
          <t>2026-05-07</t>
        </is>
      </c>
      <c r="G241" s="118" t="n">
        <v>251.35</v>
      </c>
      <c r="H241" s="118" t="n">
        <v>304.13</v>
      </c>
      <c r="I241" s="120" t="n"/>
      <c r="J241" s="121" t="n"/>
    </row>
    <row r="242">
      <c r="A242" s="148" t="inlineStr">
        <is>
          <t>Balliu</t>
        </is>
      </c>
      <c r="B242" s="148" t="inlineStr">
        <is>
          <t>Ocean Parasol</t>
        </is>
      </c>
      <c r="C242" s="148" t="inlineStr">
        <is>
          <t>Parasol tela Balliu 250 cm.</t>
        </is>
      </c>
      <c r="D242" s="149" t="inlineStr">
        <is>
          <t>G2</t>
        </is>
      </c>
      <c r="E242" s="150" t="inlineStr">
        <is>
          <t>COSTE</t>
        </is>
      </c>
      <c r="F242" s="151" t="inlineStr">
        <is>
          <t>2026-03-30</t>
        </is>
      </c>
      <c r="G242" s="152" t="n">
        <v>204.95</v>
      </c>
      <c r="H242" s="152" t="n">
        <v>247.99</v>
      </c>
      <c r="I242" s="153" t="n"/>
      <c r="J242" s="154" t="n"/>
    </row>
    <row r="243">
      <c r="A243" s="122" t="inlineStr">
        <is>
          <t>Balliu</t>
        </is>
      </c>
      <c r="B243" s="122" t="inlineStr">
        <is>
          <t>Ocean Parasol</t>
        </is>
      </c>
      <c r="C243" s="122" t="inlineStr">
        <is>
          <t>Parasol tela Balliu 250 cm.</t>
        </is>
      </c>
      <c r="D243" s="123" t="inlineStr">
        <is>
          <t>G2</t>
        </is>
      </c>
      <c r="E243" s="155" t="inlineStr">
        <is>
          <t>PVP_RECOMENDADO</t>
        </is>
      </c>
      <c r="F243" s="123" t="inlineStr">
        <is>
          <t>2026-05-07</t>
        </is>
      </c>
      <c r="G243" s="124" t="n">
        <v>315.32</v>
      </c>
      <c r="H243" s="124" t="n">
        <v>381.54</v>
      </c>
      <c r="I243" s="126" t="n"/>
      <c r="J243" s="127" t="n"/>
    </row>
    <row r="244">
      <c r="A244" s="156" t="inlineStr">
        <is>
          <t>Balliu</t>
        </is>
      </c>
      <c r="B244" s="156" t="inlineStr">
        <is>
          <t>Ocean Parasol</t>
        </is>
      </c>
      <c r="C244" s="156" t="inlineStr">
        <is>
          <t>Parasol tela acrílica</t>
        </is>
      </c>
      <c r="D244" s="157" t="inlineStr">
        <is>
          <t>G2</t>
        </is>
      </c>
      <c r="E244" s="158" t="inlineStr">
        <is>
          <t>COSTE</t>
        </is>
      </c>
      <c r="F244" s="159" t="inlineStr">
        <is>
          <t>2026-03-30</t>
        </is>
      </c>
      <c r="G244" s="160" t="n">
        <v>213.86</v>
      </c>
      <c r="H244" s="160" t="n">
        <v>258.77</v>
      </c>
      <c r="I244" s="161" t="n"/>
      <c r="J244" s="162" t="n"/>
    </row>
    <row r="245">
      <c r="A245" s="116" t="inlineStr">
        <is>
          <t>Balliu</t>
        </is>
      </c>
      <c r="B245" s="116" t="inlineStr">
        <is>
          <t>Ocean Parasol</t>
        </is>
      </c>
      <c r="C245" s="116" t="inlineStr">
        <is>
          <t>Parasol tela acrílica</t>
        </is>
      </c>
      <c r="D245" s="117" t="inlineStr">
        <is>
          <t>G2</t>
        </is>
      </c>
      <c r="E245" s="163" t="inlineStr">
        <is>
          <t>PVP_RECOMENDADO</t>
        </is>
      </c>
      <c r="F245" s="117" t="inlineStr">
        <is>
          <t>2026-05-07</t>
        </is>
      </c>
      <c r="G245" s="118" t="n">
        <v>329.01</v>
      </c>
      <c r="H245" s="118" t="n">
        <v>398.1</v>
      </c>
      <c r="I245" s="120" t="n"/>
      <c r="J245" s="121" t="n"/>
    </row>
    <row r="246">
      <c r="A246" s="148" t="inlineStr">
        <is>
          <t>Balliu</t>
        </is>
      </c>
      <c r="B246" s="148" t="inlineStr">
        <is>
          <t>Ocean Parasol</t>
        </is>
      </c>
      <c r="C246" s="148" t="inlineStr">
        <is>
          <t>Parasol tela acrílica 250 cm.</t>
        </is>
      </c>
      <c r="D246" s="149" t="inlineStr">
        <is>
          <t>G2</t>
        </is>
      </c>
      <c r="E246" s="150" t="inlineStr">
        <is>
          <t>COSTE</t>
        </is>
      </c>
      <c r="F246" s="151" t="inlineStr">
        <is>
          <t>2026-03-30</t>
        </is>
      </c>
      <c r="G246" s="152" t="n">
        <v>222.76</v>
      </c>
      <c r="H246" s="152" t="n">
        <v>269.54</v>
      </c>
      <c r="I246" s="153" t="n"/>
      <c r="J246" s="154" t="n"/>
    </row>
    <row r="247">
      <c r="A247" s="122" t="inlineStr">
        <is>
          <t>Balliu</t>
        </is>
      </c>
      <c r="B247" s="122" t="inlineStr">
        <is>
          <t>Ocean Parasol</t>
        </is>
      </c>
      <c r="C247" s="122" t="inlineStr">
        <is>
          <t>Parasol tela acrílica 250 cm.</t>
        </is>
      </c>
      <c r="D247" s="123" t="inlineStr">
        <is>
          <t>G2</t>
        </is>
      </c>
      <c r="E247" s="155" t="inlineStr">
        <is>
          <t>PVP_RECOMENDADO</t>
        </is>
      </c>
      <c r="F247" s="123" t="inlineStr">
        <is>
          <t>2026-05-07</t>
        </is>
      </c>
      <c r="G247" s="124" t="n">
        <v>342.7</v>
      </c>
      <c r="H247" s="124" t="n">
        <v>414.67</v>
      </c>
      <c r="I247" s="126" t="n"/>
      <c r="J247" s="127" t="n"/>
    </row>
    <row r="248">
      <c r="A248" s="156" t="inlineStr">
        <is>
          <t>Balliu</t>
        </is>
      </c>
      <c r="B248" s="156" t="inlineStr">
        <is>
          <t>Olimpia Auxiliar Mesa</t>
        </is>
      </c>
      <c r="C248" s="156" t="inlineStr">
        <is>
          <t>Mesa auxiliar Tela Balliu</t>
        </is>
      </c>
      <c r="D248" s="157" t="inlineStr">
        <is>
          <t>G2</t>
        </is>
      </c>
      <c r="E248" s="158" t="inlineStr">
        <is>
          <t>COSTE</t>
        </is>
      </c>
      <c r="F248" s="159" t="inlineStr">
        <is>
          <t>2026-03-30</t>
        </is>
      </c>
      <c r="G248" s="160" t="n">
        <v>84.68000000000001</v>
      </c>
      <c r="H248" s="160" t="n">
        <v>102.46</v>
      </c>
      <c r="I248" s="161" t="n"/>
      <c r="J248" s="162" t="n"/>
    </row>
    <row r="249">
      <c r="A249" s="116" t="inlineStr">
        <is>
          <t>Balliu</t>
        </is>
      </c>
      <c r="B249" s="116" t="inlineStr">
        <is>
          <t>Olimpia Auxiliar Mesa</t>
        </is>
      </c>
      <c r="C249" s="116" t="inlineStr">
        <is>
          <t>Mesa auxiliar Tela Balliu</t>
        </is>
      </c>
      <c r="D249" s="117" t="inlineStr">
        <is>
          <t>G2</t>
        </is>
      </c>
      <c r="E249" s="163" t="inlineStr">
        <is>
          <t>PVP_RECOMENDADO</t>
        </is>
      </c>
      <c r="F249" s="117" t="inlineStr">
        <is>
          <t>2026-05-07</t>
        </is>
      </c>
      <c r="G249" s="118" t="n">
        <v>130.27</v>
      </c>
      <c r="H249" s="118" t="n">
        <v>157.63</v>
      </c>
      <c r="I249" s="120" t="n"/>
      <c r="J249" s="121" t="n"/>
    </row>
    <row r="250">
      <c r="A250" s="148" t="inlineStr">
        <is>
          <t>Balliu</t>
        </is>
      </c>
      <c r="B250" s="148" t="inlineStr">
        <is>
          <t>Olimpia Mesa</t>
        </is>
      </c>
      <c r="C250" s="148" t="inlineStr">
        <is>
          <t>Central tablero Hpl</t>
        </is>
      </c>
      <c r="D250" s="149" t="inlineStr">
        <is>
          <t>G2</t>
        </is>
      </c>
      <c r="E250" s="150" t="inlineStr">
        <is>
          <t>COSTE</t>
        </is>
      </c>
      <c r="F250" s="151" t="inlineStr">
        <is>
          <t>2026-03-30</t>
        </is>
      </c>
      <c r="G250" s="152" t="n">
        <v>122.04</v>
      </c>
      <c r="H250" s="152" t="n">
        <v>147.67</v>
      </c>
      <c r="I250" s="153" t="n"/>
      <c r="J250" s="154" t="n"/>
    </row>
    <row r="251">
      <c r="A251" s="122" t="inlineStr">
        <is>
          <t>Balliu</t>
        </is>
      </c>
      <c r="B251" s="122" t="inlineStr">
        <is>
          <t>Olimpia Mesa</t>
        </is>
      </c>
      <c r="C251" s="122" t="inlineStr">
        <is>
          <t>Central tablero Hpl</t>
        </is>
      </c>
      <c r="D251" s="123" t="inlineStr">
        <is>
          <t>G2</t>
        </is>
      </c>
      <c r="E251" s="155" t="inlineStr">
        <is>
          <t>PVP_RECOMENDADO</t>
        </is>
      </c>
      <c r="F251" s="123" t="inlineStr">
        <is>
          <t>2026-05-07</t>
        </is>
      </c>
      <c r="G251" s="124" t="n">
        <v>187.75</v>
      </c>
      <c r="H251" s="124" t="n">
        <v>227.18</v>
      </c>
      <c r="I251" s="126" t="n"/>
      <c r="J251" s="127" t="n"/>
    </row>
    <row r="252">
      <c r="A252" s="156" t="inlineStr">
        <is>
          <t>Balliu</t>
        </is>
      </c>
      <c r="B252" s="156" t="inlineStr">
        <is>
          <t>Olimpia Mesa</t>
        </is>
      </c>
      <c r="C252" s="156" t="inlineStr">
        <is>
          <t>Central tablero Hpl Gd</t>
        </is>
      </c>
      <c r="D252" s="157" t="inlineStr">
        <is>
          <t>G2</t>
        </is>
      </c>
      <c r="E252" s="158" t="inlineStr">
        <is>
          <t>COSTE</t>
        </is>
      </c>
      <c r="F252" s="159" t="inlineStr">
        <is>
          <t>2026-03-30</t>
        </is>
      </c>
      <c r="G252" s="160" t="n">
        <v>130.35</v>
      </c>
      <c r="H252" s="160" t="n">
        <v>157.72</v>
      </c>
      <c r="I252" s="161" t="n"/>
      <c r="J252" s="162" t="n"/>
    </row>
    <row r="253">
      <c r="A253" s="116" t="inlineStr">
        <is>
          <t>Balliu</t>
        </is>
      </c>
      <c r="B253" s="116" t="inlineStr">
        <is>
          <t>Olimpia Mesa</t>
        </is>
      </c>
      <c r="C253" s="116" t="inlineStr">
        <is>
          <t>Central tablero Hpl Gd</t>
        </is>
      </c>
      <c r="D253" s="117" t="inlineStr">
        <is>
          <t>G2</t>
        </is>
      </c>
      <c r="E253" s="163" t="inlineStr">
        <is>
          <t>PVP_RECOMENDADO</t>
        </is>
      </c>
      <c r="F253" s="117" t="inlineStr">
        <is>
          <t>2026-05-07</t>
        </is>
      </c>
      <c r="G253" s="118" t="n">
        <v>200.54</v>
      </c>
      <c r="H253" s="118" t="n">
        <v>242.65</v>
      </c>
      <c r="I253" s="120" t="n"/>
      <c r="J253" s="121" t="n"/>
    </row>
    <row r="254">
      <c r="A254" s="148" t="inlineStr">
        <is>
          <t>Balliu</t>
        </is>
      </c>
      <c r="B254" s="148" t="inlineStr">
        <is>
          <t>Olimpia Mesa</t>
        </is>
      </c>
      <c r="C254" s="148" t="inlineStr">
        <is>
          <t>Esquinera tablero Hpl</t>
        </is>
      </c>
      <c r="D254" s="149" t="inlineStr">
        <is>
          <t>G2</t>
        </is>
      </c>
      <c r="E254" s="150" t="inlineStr">
        <is>
          <t>COSTE</t>
        </is>
      </c>
      <c r="F254" s="151" t="inlineStr">
        <is>
          <t>2026-03-30</t>
        </is>
      </c>
      <c r="G254" s="152" t="n">
        <v>123.32</v>
      </c>
      <c r="H254" s="152" t="n">
        <v>149.22</v>
      </c>
      <c r="I254" s="153" t="n"/>
      <c r="J254" s="154" t="n"/>
    </row>
    <row r="255">
      <c r="A255" s="122" t="inlineStr">
        <is>
          <t>Balliu</t>
        </is>
      </c>
      <c r="B255" s="122" t="inlineStr">
        <is>
          <t>Olimpia Mesa</t>
        </is>
      </c>
      <c r="C255" s="122" t="inlineStr">
        <is>
          <t>Esquinera tablero Hpl</t>
        </is>
      </c>
      <c r="D255" s="123" t="inlineStr">
        <is>
          <t>G2</t>
        </is>
      </c>
      <c r="E255" s="155" t="inlineStr">
        <is>
          <t>PVP_RECOMENDADO</t>
        </is>
      </c>
      <c r="F255" s="123" t="inlineStr">
        <is>
          <t>2026-05-07</t>
        </is>
      </c>
      <c r="G255" s="124" t="n">
        <v>189.72</v>
      </c>
      <c r="H255" s="124" t="n">
        <v>229.56</v>
      </c>
      <c r="I255" s="126" t="n"/>
      <c r="J255" s="127" t="n"/>
    </row>
    <row r="256">
      <c r="A256" s="156" t="inlineStr">
        <is>
          <t>Balliu</t>
        </is>
      </c>
      <c r="B256" s="156" t="inlineStr">
        <is>
          <t>Olimpia Mesa</t>
        </is>
      </c>
      <c r="C256" s="156" t="inlineStr">
        <is>
          <t>Esquinera tablero Hpl Gd</t>
        </is>
      </c>
      <c r="D256" s="157" t="inlineStr">
        <is>
          <t>G2</t>
        </is>
      </c>
      <c r="E256" s="158" t="inlineStr">
        <is>
          <t>COSTE</t>
        </is>
      </c>
      <c r="F256" s="159" t="inlineStr">
        <is>
          <t>2026-03-30</t>
        </is>
      </c>
      <c r="G256" s="160" t="n">
        <v>136.79</v>
      </c>
      <c r="H256" s="160" t="n">
        <v>165.52</v>
      </c>
      <c r="I256" s="161" t="n"/>
      <c r="J256" s="162" t="n"/>
    </row>
    <row r="257">
      <c r="A257" s="116" t="inlineStr">
        <is>
          <t>Balliu</t>
        </is>
      </c>
      <c r="B257" s="116" t="inlineStr">
        <is>
          <t>Olimpia Mesa</t>
        </is>
      </c>
      <c r="C257" s="116" t="inlineStr">
        <is>
          <t>Esquinera tablero Hpl Gd</t>
        </is>
      </c>
      <c r="D257" s="117" t="inlineStr">
        <is>
          <t>G2</t>
        </is>
      </c>
      <c r="E257" s="163" t="inlineStr">
        <is>
          <t>PVP_RECOMENDADO</t>
        </is>
      </c>
      <c r="F257" s="117" t="inlineStr">
        <is>
          <t>2026-05-07</t>
        </is>
      </c>
      <c r="G257" s="118" t="n">
        <v>210.45</v>
      </c>
      <c r="H257" s="118" t="n">
        <v>254.64</v>
      </c>
      <c r="I257" s="120" t="n"/>
      <c r="J257" s="121" t="n"/>
    </row>
    <row r="258">
      <c r="A258" s="148" t="inlineStr">
        <is>
          <t>Balliu</t>
        </is>
      </c>
      <c r="B258" s="148" t="inlineStr">
        <is>
          <t>Olimpia S Tumbona Apilable</t>
        </is>
      </c>
      <c r="C258" s="148" t="inlineStr">
        <is>
          <t>Con Ruedas</t>
        </is>
      </c>
      <c r="D258" s="149" t="inlineStr">
        <is>
          <t>G2</t>
        </is>
      </c>
      <c r="E258" s="150" t="inlineStr">
        <is>
          <t>COSTE</t>
        </is>
      </c>
      <c r="F258" s="151" t="inlineStr">
        <is>
          <t>2026-03-30</t>
        </is>
      </c>
      <c r="G258" s="152" t="n">
        <v>315.63</v>
      </c>
      <c r="H258" s="152" t="n">
        <v>381.91</v>
      </c>
      <c r="I258" s="153" t="n"/>
      <c r="J258" s="154" t="n"/>
    </row>
    <row r="259">
      <c r="A259" s="122" t="inlineStr">
        <is>
          <t>Balliu</t>
        </is>
      </c>
      <c r="B259" s="122" t="inlineStr">
        <is>
          <t>Olimpia S Tumbona Apilable</t>
        </is>
      </c>
      <c r="C259" s="122" t="inlineStr">
        <is>
          <t>Con Ruedas</t>
        </is>
      </c>
      <c r="D259" s="123" t="inlineStr">
        <is>
          <t>G2</t>
        </is>
      </c>
      <c r="E259" s="155" t="inlineStr">
        <is>
          <t>PVP_RECOMENDADO</t>
        </is>
      </c>
      <c r="F259" s="123" t="inlineStr">
        <is>
          <t>2026-05-07</t>
        </is>
      </c>
      <c r="G259" s="124" t="n">
        <v>485.59</v>
      </c>
      <c r="H259" s="124" t="n">
        <v>587.5599999999999</v>
      </c>
      <c r="I259" s="126" t="n"/>
      <c r="J259" s="127" t="n"/>
    </row>
    <row r="260">
      <c r="A260" s="156" t="inlineStr">
        <is>
          <t>Balliu</t>
        </is>
      </c>
      <c r="B260" s="156" t="inlineStr">
        <is>
          <t>Olimpia S Tumbona Apilable</t>
        </is>
      </c>
      <c r="C260" s="156" t="inlineStr">
        <is>
          <t>Sin Ruedas</t>
        </is>
      </c>
      <c r="D260" s="157" t="inlineStr">
        <is>
          <t>G2</t>
        </is>
      </c>
      <c r="E260" s="158" t="inlineStr">
        <is>
          <t>COSTE</t>
        </is>
      </c>
      <c r="F260" s="159" t="inlineStr">
        <is>
          <t>2026-03-30</t>
        </is>
      </c>
      <c r="G260" s="160" t="n">
        <v>287.64</v>
      </c>
      <c r="H260" s="160" t="n">
        <v>348.04</v>
      </c>
      <c r="I260" s="161" t="n"/>
      <c r="J260" s="162" t="n"/>
    </row>
    <row r="261">
      <c r="A261" s="116" t="inlineStr">
        <is>
          <t>Balliu</t>
        </is>
      </c>
      <c r="B261" s="116" t="inlineStr">
        <is>
          <t>Olimpia S Tumbona Apilable</t>
        </is>
      </c>
      <c r="C261" s="116" t="inlineStr">
        <is>
          <t>Sin Ruedas</t>
        </is>
      </c>
      <c r="D261" s="117" t="inlineStr">
        <is>
          <t>G2</t>
        </is>
      </c>
      <c r="E261" s="163" t="inlineStr">
        <is>
          <t>PVP_RECOMENDADO</t>
        </is>
      </c>
      <c r="F261" s="117" t="inlineStr">
        <is>
          <t>2026-05-07</t>
        </is>
      </c>
      <c r="G261" s="118" t="n">
        <v>442.52</v>
      </c>
      <c r="H261" s="118" t="n">
        <v>535.45</v>
      </c>
      <c r="I261" s="120" t="n"/>
      <c r="J261" s="121" t="n"/>
    </row>
    <row r="262">
      <c r="A262" s="148" t="inlineStr">
        <is>
          <t>Balliu</t>
        </is>
      </c>
      <c r="B262" s="148" t="inlineStr">
        <is>
          <t>Olimpia Sofa</t>
        </is>
      </c>
      <c r="C262" s="148" t="inlineStr">
        <is>
          <t>Doble Tela Balliu</t>
        </is>
      </c>
      <c r="D262" s="149" t="inlineStr">
        <is>
          <t>G2</t>
        </is>
      </c>
      <c r="E262" s="150" t="inlineStr">
        <is>
          <t>COSTE</t>
        </is>
      </c>
      <c r="F262" s="151" t="inlineStr">
        <is>
          <t>2026-03-30</t>
        </is>
      </c>
      <c r="G262" s="152" t="n">
        <v>356.97</v>
      </c>
      <c r="H262" s="152" t="n">
        <v>431.93</v>
      </c>
      <c r="I262" s="153" t="n"/>
      <c r="J262" s="154" t="n"/>
    </row>
    <row r="263">
      <c r="A263" s="122" t="inlineStr">
        <is>
          <t>Balliu</t>
        </is>
      </c>
      <c r="B263" s="122" t="inlineStr">
        <is>
          <t>Olimpia Sofa</t>
        </is>
      </c>
      <c r="C263" s="122" t="inlineStr">
        <is>
          <t>Doble Tela Balliu</t>
        </is>
      </c>
      <c r="D263" s="123" t="inlineStr">
        <is>
          <t>G2</t>
        </is>
      </c>
      <c r="E263" s="155" t="inlineStr">
        <is>
          <t>PVP_RECOMENDADO</t>
        </is>
      </c>
      <c r="F263" s="123" t="inlineStr">
        <is>
          <t>2026-05-07</t>
        </is>
      </c>
      <c r="G263" s="124" t="n">
        <v>549.1900000000001</v>
      </c>
      <c r="H263" s="124" t="n">
        <v>664.52</v>
      </c>
      <c r="I263" s="126" t="n"/>
      <c r="J263" s="127" t="n"/>
    </row>
    <row r="264">
      <c r="A264" s="156" t="inlineStr">
        <is>
          <t>Balliu</t>
        </is>
      </c>
      <c r="B264" s="156" t="inlineStr">
        <is>
          <t>Olimpia Sofa</t>
        </is>
      </c>
      <c r="C264" s="156" t="inlineStr">
        <is>
          <t>Individual Tela Balliu</t>
        </is>
      </c>
      <c r="D264" s="157" t="inlineStr">
        <is>
          <t>G2</t>
        </is>
      </c>
      <c r="E264" s="158" t="inlineStr">
        <is>
          <t>COSTE</t>
        </is>
      </c>
      <c r="F264" s="159" t="inlineStr">
        <is>
          <t>2026-03-30</t>
        </is>
      </c>
      <c r="G264" s="160" t="n">
        <v>279.44</v>
      </c>
      <c r="H264" s="160" t="n">
        <v>338.12</v>
      </c>
      <c r="I264" s="161" t="n"/>
      <c r="J264" s="162" t="n"/>
    </row>
    <row r="265">
      <c r="A265" s="116" t="inlineStr">
        <is>
          <t>Balliu</t>
        </is>
      </c>
      <c r="B265" s="116" t="inlineStr">
        <is>
          <t>Olimpia Sofa</t>
        </is>
      </c>
      <c r="C265" s="116" t="inlineStr">
        <is>
          <t>Individual Tela Balliu</t>
        </is>
      </c>
      <c r="D265" s="117" t="inlineStr">
        <is>
          <t>G2</t>
        </is>
      </c>
      <c r="E265" s="163" t="inlineStr">
        <is>
          <t>PVP_RECOMENDADO</t>
        </is>
      </c>
      <c r="F265" s="117" t="inlineStr">
        <is>
          <t>2026-05-07</t>
        </is>
      </c>
      <c r="G265" s="118" t="n">
        <v>429.91</v>
      </c>
      <c r="H265" s="118" t="n">
        <v>520.1900000000001</v>
      </c>
      <c r="I265" s="120" t="n"/>
      <c r="J265" s="121" t="n"/>
    </row>
    <row r="266">
      <c r="A266" s="148" t="inlineStr">
        <is>
          <t>Balliu</t>
        </is>
      </c>
      <c r="B266" s="148" t="inlineStr">
        <is>
          <t>Olimpia Sofa</t>
        </is>
      </c>
      <c r="C266" s="148" t="inlineStr">
        <is>
          <t>Triple Tela Balliu</t>
        </is>
      </c>
      <c r="D266" s="149" t="inlineStr">
        <is>
          <t>G2</t>
        </is>
      </c>
      <c r="E266" s="150" t="inlineStr">
        <is>
          <t>COSTE</t>
        </is>
      </c>
      <c r="F266" s="151" t="inlineStr">
        <is>
          <t>2026-03-30</t>
        </is>
      </c>
      <c r="G266" s="152" t="n">
        <v>534.41</v>
      </c>
      <c r="H266" s="152" t="n">
        <v>646.64</v>
      </c>
      <c r="I266" s="153" t="n"/>
      <c r="J266" s="154" t="n"/>
    </row>
    <row r="267">
      <c r="A267" s="122" t="inlineStr">
        <is>
          <t>Balliu</t>
        </is>
      </c>
      <c r="B267" s="122" t="inlineStr">
        <is>
          <t>Olimpia Sofa</t>
        </is>
      </c>
      <c r="C267" s="122" t="inlineStr">
        <is>
          <t>Triple Tela Balliu</t>
        </is>
      </c>
      <c r="D267" s="123" t="inlineStr">
        <is>
          <t>G2</t>
        </is>
      </c>
      <c r="E267" s="155" t="inlineStr">
        <is>
          <t>PVP_RECOMENDADO</t>
        </is>
      </c>
      <c r="F267" s="123" t="inlineStr">
        <is>
          <t>2026-05-07</t>
        </is>
      </c>
      <c r="G267" s="124" t="n">
        <v>822.16</v>
      </c>
      <c r="H267" s="124" t="n">
        <v>994.8099999999999</v>
      </c>
      <c r="I267" s="126" t="n"/>
      <c r="J267" s="127" t="n"/>
    </row>
    <row r="268">
      <c r="A268" s="156" t="inlineStr">
        <is>
          <t>Balliu</t>
        </is>
      </c>
      <c r="B268" s="156" t="inlineStr">
        <is>
          <t>Pamela Parasol</t>
        </is>
      </c>
      <c r="C268" s="156" t="inlineStr">
        <is>
          <t>Parasol tela Balliu</t>
        </is>
      </c>
      <c r="D268" s="157" t="inlineStr">
        <is>
          <t>G2</t>
        </is>
      </c>
      <c r="E268" s="158" t="inlineStr">
        <is>
          <t>COSTE</t>
        </is>
      </c>
      <c r="F268" s="159" t="inlineStr">
        <is>
          <t>2026-03-30</t>
        </is>
      </c>
      <c r="G268" s="160" t="n">
        <v>206.48</v>
      </c>
      <c r="H268" s="160" t="n">
        <v>249.84</v>
      </c>
      <c r="I268" s="161" t="n"/>
      <c r="J268" s="162" t="n"/>
    </row>
    <row r="269">
      <c r="A269" s="116" t="inlineStr">
        <is>
          <t>Balliu</t>
        </is>
      </c>
      <c r="B269" s="116" t="inlineStr">
        <is>
          <t>Pamela Parasol</t>
        </is>
      </c>
      <c r="C269" s="116" t="inlineStr">
        <is>
          <t>Parasol tela Balliu</t>
        </is>
      </c>
      <c r="D269" s="117" t="inlineStr">
        <is>
          <t>G2</t>
        </is>
      </c>
      <c r="E269" s="163" t="inlineStr">
        <is>
          <t>PVP_RECOMENDADO</t>
        </is>
      </c>
      <c r="F269" s="117" t="inlineStr">
        <is>
          <t>2026-05-07</t>
        </is>
      </c>
      <c r="G269" s="118" t="n">
        <v>317.66</v>
      </c>
      <c r="H269" s="118" t="n">
        <v>384.37</v>
      </c>
      <c r="I269" s="120" t="n"/>
      <c r="J269" s="121" t="n"/>
    </row>
    <row r="270">
      <c r="A270" s="148" t="inlineStr">
        <is>
          <t>Balliu</t>
        </is>
      </c>
      <c r="B270" s="148" t="inlineStr">
        <is>
          <t>Pamela Parasol</t>
        </is>
      </c>
      <c r="C270" s="148" t="inlineStr">
        <is>
          <t>Parasol tela acrílica</t>
        </is>
      </c>
      <c r="D270" s="149" t="inlineStr">
        <is>
          <t>G2</t>
        </is>
      </c>
      <c r="E270" s="150" t="inlineStr">
        <is>
          <t>COSTE</t>
        </is>
      </c>
      <c r="F270" s="151" t="inlineStr">
        <is>
          <t>2026-03-30</t>
        </is>
      </c>
      <c r="G270" s="152" t="n">
        <v>221.96</v>
      </c>
      <c r="H270" s="152" t="n">
        <v>268.57</v>
      </c>
      <c r="I270" s="153" t="n"/>
      <c r="J270" s="154" t="n"/>
    </row>
    <row r="271">
      <c r="A271" s="122" t="inlineStr">
        <is>
          <t>Balliu</t>
        </is>
      </c>
      <c r="B271" s="122" t="inlineStr">
        <is>
          <t>Pamela Parasol</t>
        </is>
      </c>
      <c r="C271" s="122" t="inlineStr">
        <is>
          <t>Parasol tela acrílica</t>
        </is>
      </c>
      <c r="D271" s="123" t="inlineStr">
        <is>
          <t>G2</t>
        </is>
      </c>
      <c r="E271" s="155" t="inlineStr">
        <is>
          <t>PVP_RECOMENDADO</t>
        </is>
      </c>
      <c r="F271" s="123" t="inlineStr">
        <is>
          <t>2026-05-07</t>
        </is>
      </c>
      <c r="G271" s="124" t="n">
        <v>341.48</v>
      </c>
      <c r="H271" s="124" t="n">
        <v>413.19</v>
      </c>
      <c r="I271" s="126" t="n"/>
      <c r="J271" s="127" t="n"/>
    </row>
    <row r="272">
      <c r="A272" s="156" t="inlineStr">
        <is>
          <t>Balliu</t>
        </is>
      </c>
      <c r="B272" s="156" t="inlineStr">
        <is>
          <t>Parasol Brisa</t>
        </is>
      </c>
      <c r="C272" s="156" t="inlineStr">
        <is>
          <t>Parasol tela Balliu 300X300 cm.</t>
        </is>
      </c>
      <c r="D272" s="157" t="inlineStr">
        <is>
          <t>G2</t>
        </is>
      </c>
      <c r="E272" s="158" t="inlineStr">
        <is>
          <t>COSTE</t>
        </is>
      </c>
      <c r="F272" s="159" t="inlineStr">
        <is>
          <t>2026-03-30</t>
        </is>
      </c>
      <c r="G272" s="160" t="n">
        <v>561.54</v>
      </c>
      <c r="H272" s="160" t="n">
        <v>679.46</v>
      </c>
      <c r="I272" s="161" t="n"/>
      <c r="J272" s="162" t="n"/>
    </row>
    <row r="273">
      <c r="A273" s="116" t="inlineStr">
        <is>
          <t>Balliu</t>
        </is>
      </c>
      <c r="B273" s="116" t="inlineStr">
        <is>
          <t>Parasol Brisa</t>
        </is>
      </c>
      <c r="C273" s="116" t="inlineStr">
        <is>
          <t>Parasol tela Balliu 300X300 cm.</t>
        </is>
      </c>
      <c r="D273" s="117" t="inlineStr">
        <is>
          <t>G2</t>
        </is>
      </c>
      <c r="E273" s="163" t="inlineStr">
        <is>
          <t>PVP_RECOMENDADO</t>
        </is>
      </c>
      <c r="F273" s="117" t="inlineStr">
        <is>
          <t>2026-05-07</t>
        </is>
      </c>
      <c r="G273" s="118" t="n">
        <v>863.9</v>
      </c>
      <c r="H273" s="118" t="n">
        <v>1045.32</v>
      </c>
      <c r="I273" s="120" t="n"/>
      <c r="J273" s="121" t="n"/>
    </row>
    <row r="274">
      <c r="A274" s="148" t="inlineStr">
        <is>
          <t>Balliu</t>
        </is>
      </c>
      <c r="B274" s="148" t="inlineStr">
        <is>
          <t>Parasol Garbí</t>
        </is>
      </c>
      <c r="C274" s="148" t="inlineStr">
        <is>
          <t>Central Diam. 300 Cm Tela Balliu</t>
        </is>
      </c>
      <c r="D274" s="149" t="inlineStr">
        <is>
          <t>G2</t>
        </is>
      </c>
      <c r="E274" s="150" t="inlineStr">
        <is>
          <t>COSTE</t>
        </is>
      </c>
      <c r="F274" s="151" t="inlineStr">
        <is>
          <t>2026-03-30</t>
        </is>
      </c>
      <c r="G274" s="152" t="n">
        <v>561.54</v>
      </c>
      <c r="H274" s="152" t="n">
        <v>679.46</v>
      </c>
      <c r="I274" s="153" t="n"/>
      <c r="J274" s="154" t="n"/>
    </row>
    <row r="275">
      <c r="A275" s="122" t="inlineStr">
        <is>
          <t>Balliu</t>
        </is>
      </c>
      <c r="B275" s="122" t="inlineStr">
        <is>
          <t>Parasol Garbí</t>
        </is>
      </c>
      <c r="C275" s="122" t="inlineStr">
        <is>
          <t>Central Diam. 300 Cm Tela Balliu</t>
        </is>
      </c>
      <c r="D275" s="123" t="inlineStr">
        <is>
          <t>G2</t>
        </is>
      </c>
      <c r="E275" s="155" t="inlineStr">
        <is>
          <t>PVP_RECOMENDADO</t>
        </is>
      </c>
      <c r="F275" s="123" t="inlineStr">
        <is>
          <t>2026-05-07</t>
        </is>
      </c>
      <c r="G275" s="124" t="n">
        <v>863.9</v>
      </c>
      <c r="H275" s="124" t="n">
        <v>1045.32</v>
      </c>
      <c r="I275" s="126" t="n"/>
      <c r="J275" s="127" t="n"/>
    </row>
    <row r="276">
      <c r="A276" s="156" t="inlineStr">
        <is>
          <t>Balliu</t>
        </is>
      </c>
      <c r="B276" s="156" t="inlineStr">
        <is>
          <t>Parasol Roma</t>
        </is>
      </c>
      <c r="C276" s="156" t="inlineStr">
        <is>
          <t>Lateral 300X300 Cm</t>
        </is>
      </c>
      <c r="D276" s="157" t="inlineStr">
        <is>
          <t>G2</t>
        </is>
      </c>
      <c r="E276" s="158" t="inlineStr">
        <is>
          <t>COSTE</t>
        </is>
      </c>
      <c r="F276" s="159" t="inlineStr">
        <is>
          <t>2026-03-30</t>
        </is>
      </c>
      <c r="G276" s="160" t="n">
        <v>1019.5</v>
      </c>
      <c r="H276" s="160" t="n">
        <v>1233.6</v>
      </c>
      <c r="I276" s="161" t="n"/>
      <c r="J276" s="162" t="n"/>
    </row>
    <row r="277">
      <c r="A277" s="116" t="inlineStr">
        <is>
          <t>Balliu</t>
        </is>
      </c>
      <c r="B277" s="116" t="inlineStr">
        <is>
          <t>Parasol Roma</t>
        </is>
      </c>
      <c r="C277" s="116" t="inlineStr">
        <is>
          <t>Lateral 300X300 Cm</t>
        </is>
      </c>
      <c r="D277" s="117" t="inlineStr">
        <is>
          <t>G2</t>
        </is>
      </c>
      <c r="E277" s="163" t="inlineStr">
        <is>
          <t>PVP_RECOMENDADO</t>
        </is>
      </c>
      <c r="F277" s="117" t="inlineStr">
        <is>
          <t>2026-05-07</t>
        </is>
      </c>
      <c r="G277" s="118" t="n">
        <v>1568.47</v>
      </c>
      <c r="H277" s="118" t="n">
        <v>1897.85</v>
      </c>
      <c r="I277" s="120" t="n"/>
      <c r="J277" s="121" t="n"/>
    </row>
    <row r="278">
      <c r="A278" s="148" t="inlineStr">
        <is>
          <t>Balliu</t>
        </is>
      </c>
      <c r="B278" s="148" t="inlineStr">
        <is>
          <t>Pasarela Resina</t>
        </is>
      </c>
      <c r="C278" s="148" t="inlineStr">
        <is>
          <t>Metro Pasarela 120 cm.</t>
        </is>
      </c>
      <c r="D278" s="149" t="inlineStr">
        <is>
          <t>G2</t>
        </is>
      </c>
      <c r="E278" s="150" t="inlineStr">
        <is>
          <t>COSTE</t>
        </is>
      </c>
      <c r="F278" s="151" t="inlineStr">
        <is>
          <t>2026-03-30</t>
        </is>
      </c>
      <c r="G278" s="152" t="n">
        <v>82.22</v>
      </c>
      <c r="H278" s="152" t="n">
        <v>99.48999999999999</v>
      </c>
      <c r="I278" s="153" t="n"/>
      <c r="J278" s="154" t="n"/>
    </row>
    <row r="279">
      <c r="A279" s="122" t="inlineStr">
        <is>
          <t>Balliu</t>
        </is>
      </c>
      <c r="B279" s="122" t="inlineStr">
        <is>
          <t>Pasarela Resina</t>
        </is>
      </c>
      <c r="C279" s="122" t="inlineStr">
        <is>
          <t>Metro Pasarela 120 cm.</t>
        </is>
      </c>
      <c r="D279" s="123" t="inlineStr">
        <is>
          <t>G2</t>
        </is>
      </c>
      <c r="E279" s="155" t="inlineStr">
        <is>
          <t>PVP_RECOMENDADO</t>
        </is>
      </c>
      <c r="F279" s="123" t="inlineStr">
        <is>
          <t>2026-05-07</t>
        </is>
      </c>
      <c r="G279" s="124" t="n">
        <v>126.49</v>
      </c>
      <c r="H279" s="124" t="n">
        <v>153.05</v>
      </c>
      <c r="I279" s="126" t="n"/>
      <c r="J279" s="127" t="n"/>
    </row>
    <row r="280">
      <c r="A280" s="156" t="inlineStr">
        <is>
          <t>Balliu</t>
        </is>
      </c>
      <c r="B280" s="156" t="inlineStr">
        <is>
          <t>Pasarela Resina Reciclada 100 %</t>
        </is>
      </c>
      <c r="C280" s="156" t="inlineStr">
        <is>
          <t>Metro Pasarela blanca reciclada 120 cm.</t>
        </is>
      </c>
      <c r="D280" s="157" t="inlineStr">
        <is>
          <t>G2</t>
        </is>
      </c>
      <c r="E280" s="158" t="inlineStr">
        <is>
          <t>COSTE</t>
        </is>
      </c>
      <c r="F280" s="159" t="inlineStr">
        <is>
          <t>2026-03-30</t>
        </is>
      </c>
      <c r="G280" s="160" t="n">
        <v>48.25</v>
      </c>
      <c r="H280" s="160" t="n">
        <v>58.38</v>
      </c>
      <c r="I280" s="161" t="n"/>
      <c r="J280" s="162" t="n"/>
    </row>
    <row r="281">
      <c r="A281" s="116" t="inlineStr">
        <is>
          <t>Balliu</t>
        </is>
      </c>
      <c r="B281" s="116" t="inlineStr">
        <is>
          <t>Pasarela Resina Reciclada 100 %</t>
        </is>
      </c>
      <c r="C281" s="116" t="inlineStr">
        <is>
          <t>Metro Pasarela blanca reciclada 120 cm.</t>
        </is>
      </c>
      <c r="D281" s="117" t="inlineStr">
        <is>
          <t>G2</t>
        </is>
      </c>
      <c r="E281" s="163" t="inlineStr">
        <is>
          <t>PVP_RECOMENDADO</t>
        </is>
      </c>
      <c r="F281" s="117" t="inlineStr">
        <is>
          <t>2026-05-07</t>
        </is>
      </c>
      <c r="G281" s="118" t="n">
        <v>74.23</v>
      </c>
      <c r="H281" s="118" t="n">
        <v>89.81999999999999</v>
      </c>
      <c r="I281" s="120" t="n"/>
      <c r="J281" s="121" t="n"/>
    </row>
    <row r="282">
      <c r="A282" s="148" t="inlineStr">
        <is>
          <t>Balliu</t>
        </is>
      </c>
      <c r="B282" s="148" t="inlineStr">
        <is>
          <t>Pie Parasol</t>
        </is>
      </c>
      <c r="C282" s="148" t="inlineStr">
        <is>
          <t>40 kg</t>
        </is>
      </c>
      <c r="D282" s="149" t="inlineStr">
        <is>
          <t>G2</t>
        </is>
      </c>
      <c r="E282" s="150" t="inlineStr">
        <is>
          <t>COSTE</t>
        </is>
      </c>
      <c r="F282" s="151" t="inlineStr">
        <is>
          <t>2026-03-30</t>
        </is>
      </c>
      <c r="G282" s="152" t="n">
        <v>88.17</v>
      </c>
      <c r="H282" s="152" t="n">
        <v>106.69</v>
      </c>
      <c r="I282" s="153" t="n"/>
      <c r="J282" s="154" t="n"/>
    </row>
    <row r="283">
      <c r="A283" s="122" t="inlineStr">
        <is>
          <t>Balliu</t>
        </is>
      </c>
      <c r="B283" s="122" t="inlineStr">
        <is>
          <t>Pie Parasol</t>
        </is>
      </c>
      <c r="C283" s="122" t="inlineStr">
        <is>
          <t>40 kg</t>
        </is>
      </c>
      <c r="D283" s="123" t="inlineStr">
        <is>
          <t>G2</t>
        </is>
      </c>
      <c r="E283" s="155" t="inlineStr">
        <is>
          <t>PVP_RECOMENDADO</t>
        </is>
      </c>
      <c r="F283" s="123" t="inlineStr">
        <is>
          <t>2026-05-07</t>
        </is>
      </c>
      <c r="G283" s="124" t="n">
        <v>135.65</v>
      </c>
      <c r="H283" s="124" t="n">
        <v>164.14</v>
      </c>
      <c r="I283" s="126" t="n"/>
      <c r="J283" s="127" t="n"/>
    </row>
    <row r="284">
      <c r="A284" s="156" t="inlineStr">
        <is>
          <t>Balliu</t>
        </is>
      </c>
      <c r="B284" s="156" t="inlineStr">
        <is>
          <t>Pie Parasol</t>
        </is>
      </c>
      <c r="C284" s="156" t="inlineStr">
        <is>
          <t>40 kg Recubrimiento Plastico</t>
        </is>
      </c>
      <c r="D284" s="157" t="inlineStr">
        <is>
          <t>G2</t>
        </is>
      </c>
      <c r="E284" s="158" t="inlineStr">
        <is>
          <t>COSTE</t>
        </is>
      </c>
      <c r="F284" s="159" t="inlineStr">
        <is>
          <t>2026-03-30</t>
        </is>
      </c>
      <c r="G284" s="160" t="n">
        <v>68.16</v>
      </c>
      <c r="H284" s="160" t="n">
        <v>82.47</v>
      </c>
      <c r="I284" s="161" t="n"/>
      <c r="J284" s="162" t="n"/>
    </row>
    <row r="285">
      <c r="A285" s="116" t="inlineStr">
        <is>
          <t>Balliu</t>
        </is>
      </c>
      <c r="B285" s="116" t="inlineStr">
        <is>
          <t>Pie Parasol</t>
        </is>
      </c>
      <c r="C285" s="116" t="inlineStr">
        <is>
          <t>40 kg Recubrimiento Plastico</t>
        </is>
      </c>
      <c r="D285" s="117" t="inlineStr">
        <is>
          <t>G2</t>
        </is>
      </c>
      <c r="E285" s="163" t="inlineStr">
        <is>
          <t>PVP_RECOMENDADO</t>
        </is>
      </c>
      <c r="F285" s="117" t="inlineStr">
        <is>
          <t>2026-05-07</t>
        </is>
      </c>
      <c r="G285" s="118" t="n">
        <v>104.86</v>
      </c>
      <c r="H285" s="118" t="n">
        <v>126.88</v>
      </c>
      <c r="I285" s="120" t="n"/>
      <c r="J285" s="121" t="n"/>
    </row>
    <row r="286">
      <c r="A286" s="148" t="inlineStr">
        <is>
          <t>Balliu</t>
        </is>
      </c>
      <c r="B286" s="148" t="inlineStr">
        <is>
          <t>Producto Limpiador</t>
        </is>
      </c>
      <c r="C286" s="148" t="inlineStr">
        <is>
          <t>Limpiador Tumbona/Tejido</t>
        </is>
      </c>
      <c r="D286" s="149" t="inlineStr">
        <is>
          <t>G2</t>
        </is>
      </c>
      <c r="E286" s="150" t="inlineStr">
        <is>
          <t>COSTE</t>
        </is>
      </c>
      <c r="F286" s="151" t="inlineStr">
        <is>
          <t>2026-03-30</t>
        </is>
      </c>
      <c r="G286" s="152" t="n">
        <v>12.41</v>
      </c>
      <c r="H286" s="152" t="n">
        <v>15.02</v>
      </c>
      <c r="I286" s="153" t="n"/>
      <c r="J286" s="154" t="n"/>
    </row>
    <row r="287">
      <c r="A287" s="122" t="inlineStr">
        <is>
          <t>Balliu</t>
        </is>
      </c>
      <c r="B287" s="122" t="inlineStr">
        <is>
          <t>Producto Limpiador</t>
        </is>
      </c>
      <c r="C287" s="122" t="inlineStr">
        <is>
          <t>Limpiador Tumbona/Tejido</t>
        </is>
      </c>
      <c r="D287" s="123" t="inlineStr">
        <is>
          <t>G2</t>
        </is>
      </c>
      <c r="E287" s="155" t="inlineStr">
        <is>
          <t>PVP_RECOMENDADO</t>
        </is>
      </c>
      <c r="F287" s="123" t="inlineStr">
        <is>
          <t>2026-05-07</t>
        </is>
      </c>
      <c r="G287" s="124" t="n">
        <v>19.09</v>
      </c>
      <c r="H287" s="124" t="n">
        <v>23.1</v>
      </c>
      <c r="I287" s="126" t="n"/>
      <c r="J287" s="127" t="n"/>
    </row>
    <row r="288">
      <c r="A288" s="156" t="inlineStr">
        <is>
          <t>Balliu</t>
        </is>
      </c>
      <c r="B288" s="156" t="inlineStr">
        <is>
          <t>Selva Mesa</t>
        </is>
      </c>
      <c r="C288" s="156" t="inlineStr">
        <is>
          <t>120 X 80 Werzalit</t>
        </is>
      </c>
      <c r="D288" s="157" t="inlineStr">
        <is>
          <t>G2</t>
        </is>
      </c>
      <c r="E288" s="158" t="inlineStr">
        <is>
          <t>COSTE</t>
        </is>
      </c>
      <c r="F288" s="159" t="inlineStr">
        <is>
          <t>2026-03-30</t>
        </is>
      </c>
      <c r="G288" s="160" t="n">
        <v>169.64</v>
      </c>
      <c r="H288" s="160" t="n">
        <v>205.26</v>
      </c>
      <c r="I288" s="161" t="n"/>
      <c r="J288" s="162" t="n"/>
    </row>
    <row r="289">
      <c r="A289" s="116" t="inlineStr">
        <is>
          <t>Balliu</t>
        </is>
      </c>
      <c r="B289" s="116" t="inlineStr">
        <is>
          <t>Selva Mesa</t>
        </is>
      </c>
      <c r="C289" s="116" t="inlineStr">
        <is>
          <t>120 X 80 Werzalit</t>
        </is>
      </c>
      <c r="D289" s="117" t="inlineStr">
        <is>
          <t>G2</t>
        </is>
      </c>
      <c r="E289" s="163" t="inlineStr">
        <is>
          <t>PVP_RECOMENDADO</t>
        </is>
      </c>
      <c r="F289" s="117" t="inlineStr">
        <is>
          <t>2026-05-07</t>
        </is>
      </c>
      <c r="G289" s="118" t="n">
        <v>260.99</v>
      </c>
      <c r="H289" s="118" t="n">
        <v>315.8</v>
      </c>
      <c r="I289" s="120" t="n"/>
      <c r="J289" s="121" t="n"/>
    </row>
    <row r="290">
      <c r="A290" s="148" t="inlineStr">
        <is>
          <t>Balliu</t>
        </is>
      </c>
      <c r="B290" s="148" t="inlineStr">
        <is>
          <t>Selva Mesa</t>
        </is>
      </c>
      <c r="C290" s="148" t="inlineStr">
        <is>
          <t>70 X 70 Werzalit</t>
        </is>
      </c>
      <c r="D290" s="149" t="inlineStr">
        <is>
          <t>G2</t>
        </is>
      </c>
      <c r="E290" s="150" t="inlineStr">
        <is>
          <t>COSTE</t>
        </is>
      </c>
      <c r="F290" s="151" t="inlineStr">
        <is>
          <t>2026-03-30</t>
        </is>
      </c>
      <c r="G290" s="152" t="n">
        <v>118.31</v>
      </c>
      <c r="H290" s="152" t="n">
        <v>143.16</v>
      </c>
      <c r="I290" s="153" t="n"/>
      <c r="J290" s="154" t="n"/>
    </row>
    <row r="291">
      <c r="A291" s="122" t="inlineStr">
        <is>
          <t>Balliu</t>
        </is>
      </c>
      <c r="B291" s="122" t="inlineStr">
        <is>
          <t>Selva Mesa</t>
        </is>
      </c>
      <c r="C291" s="122" t="inlineStr">
        <is>
          <t>70 X 70 Werzalit</t>
        </is>
      </c>
      <c r="D291" s="123" t="inlineStr">
        <is>
          <t>G2</t>
        </is>
      </c>
      <c r="E291" s="155" t="inlineStr">
        <is>
          <t>PVP_RECOMENDADO</t>
        </is>
      </c>
      <c r="F291" s="123" t="inlineStr">
        <is>
          <t>2026-05-07</t>
        </is>
      </c>
      <c r="G291" s="124" t="n">
        <v>182.02</v>
      </c>
      <c r="H291" s="124" t="n">
        <v>220.24</v>
      </c>
      <c r="I291" s="126" t="n"/>
      <c r="J291" s="127" t="n"/>
    </row>
    <row r="292">
      <c r="A292" s="156" t="inlineStr">
        <is>
          <t>Balliu</t>
        </is>
      </c>
      <c r="B292" s="156" t="inlineStr">
        <is>
          <t>Selva Mesa</t>
        </is>
      </c>
      <c r="C292" s="156" t="inlineStr">
        <is>
          <t>80 X 80 Werzalit</t>
        </is>
      </c>
      <c r="D292" s="157" t="inlineStr">
        <is>
          <t>G2</t>
        </is>
      </c>
      <c r="E292" s="158" t="inlineStr">
        <is>
          <t>COSTE</t>
        </is>
      </c>
      <c r="F292" s="159" t="inlineStr">
        <is>
          <t>2026-03-30</t>
        </is>
      </c>
      <c r="G292" s="160" t="n">
        <v>131.01</v>
      </c>
      <c r="H292" s="160" t="n">
        <v>158.52</v>
      </c>
      <c r="I292" s="161" t="n"/>
      <c r="J292" s="162" t="n"/>
    </row>
    <row r="293">
      <c r="A293" s="116" t="inlineStr">
        <is>
          <t>Balliu</t>
        </is>
      </c>
      <c r="B293" s="116" t="inlineStr">
        <is>
          <t>Selva Mesa</t>
        </is>
      </c>
      <c r="C293" s="116" t="inlineStr">
        <is>
          <t>80 X 80 Werzalit</t>
        </is>
      </c>
      <c r="D293" s="117" t="inlineStr">
        <is>
          <t>G2</t>
        </is>
      </c>
      <c r="E293" s="163" t="inlineStr">
        <is>
          <t>PVP_RECOMENDADO</t>
        </is>
      </c>
      <c r="F293" s="117" t="inlineStr">
        <is>
          <t>2026-05-07</t>
        </is>
      </c>
      <c r="G293" s="118" t="n">
        <v>201.55</v>
      </c>
      <c r="H293" s="118" t="n">
        <v>243.88</v>
      </c>
      <c r="I293" s="120" t="n"/>
      <c r="J293" s="121" t="n"/>
    </row>
    <row r="294">
      <c r="A294" s="148" t="inlineStr">
        <is>
          <t>Balliu</t>
        </is>
      </c>
      <c r="B294" s="148" t="inlineStr">
        <is>
          <t>Selva Mesa</t>
        </is>
      </c>
      <c r="C294" s="148" t="inlineStr">
        <is>
          <t>Diametro 60 Werzalit</t>
        </is>
      </c>
      <c r="D294" s="149" t="inlineStr">
        <is>
          <t>G2</t>
        </is>
      </c>
      <c r="E294" s="150" t="inlineStr">
        <is>
          <t>COSTE</t>
        </is>
      </c>
      <c r="F294" s="151" t="inlineStr">
        <is>
          <t>2026-03-30</t>
        </is>
      </c>
      <c r="G294" s="152" t="n">
        <v>84.79000000000001</v>
      </c>
      <c r="H294" s="152" t="n">
        <v>102.6</v>
      </c>
      <c r="I294" s="153" t="n"/>
      <c r="J294" s="154" t="n"/>
    </row>
    <row r="295">
      <c r="A295" s="122" t="inlineStr">
        <is>
          <t>Balliu</t>
        </is>
      </c>
      <c r="B295" s="122" t="inlineStr">
        <is>
          <t>Selva Mesa</t>
        </is>
      </c>
      <c r="C295" s="122" t="inlineStr">
        <is>
          <t>Diametro 60 Werzalit</t>
        </is>
      </c>
      <c r="D295" s="123" t="inlineStr">
        <is>
          <t>G2</t>
        </is>
      </c>
      <c r="E295" s="155" t="inlineStr">
        <is>
          <t>PVP_RECOMENDADO</t>
        </is>
      </c>
      <c r="F295" s="123" t="inlineStr">
        <is>
          <t>2026-05-07</t>
        </is>
      </c>
      <c r="G295" s="124" t="n">
        <v>130.45</v>
      </c>
      <c r="H295" s="124" t="n">
        <v>157.84</v>
      </c>
      <c r="I295" s="126" t="n"/>
      <c r="J295" s="127" t="n"/>
    </row>
    <row r="296">
      <c r="A296" s="156" t="inlineStr">
        <is>
          <t>Balliu</t>
        </is>
      </c>
      <c r="B296" s="156" t="inlineStr">
        <is>
          <t>Selva Mesa</t>
        </is>
      </c>
      <c r="C296" s="156" t="inlineStr">
        <is>
          <t>Diametro 70 Werzalit</t>
        </is>
      </c>
      <c r="D296" s="157" t="inlineStr">
        <is>
          <t>G2</t>
        </is>
      </c>
      <c r="E296" s="158" t="inlineStr">
        <is>
          <t>COSTE</t>
        </is>
      </c>
      <c r="F296" s="159" t="inlineStr">
        <is>
          <t>2026-03-30</t>
        </is>
      </c>
      <c r="G296" s="160" t="n">
        <v>97.55</v>
      </c>
      <c r="H296" s="160" t="n">
        <v>118.04</v>
      </c>
      <c r="I296" s="161" t="n"/>
      <c r="J296" s="162" t="n"/>
    </row>
    <row r="297">
      <c r="A297" s="116" t="inlineStr">
        <is>
          <t>Balliu</t>
        </is>
      </c>
      <c r="B297" s="116" t="inlineStr">
        <is>
          <t>Selva Mesa</t>
        </is>
      </c>
      <c r="C297" s="116" t="inlineStr">
        <is>
          <t>Diametro 70 Werzalit</t>
        </is>
      </c>
      <c r="D297" s="117" t="inlineStr">
        <is>
          <t>G2</t>
        </is>
      </c>
      <c r="E297" s="163" t="inlineStr">
        <is>
          <t>PVP_RECOMENDADO</t>
        </is>
      </c>
      <c r="F297" s="117" t="inlineStr">
        <is>
          <t>2026-05-07</t>
        </is>
      </c>
      <c r="G297" s="118" t="n">
        <v>150.07</v>
      </c>
      <c r="H297" s="118" t="n">
        <v>181.58</v>
      </c>
      <c r="I297" s="120" t="n"/>
      <c r="J297" s="121" t="n"/>
    </row>
    <row r="298">
      <c r="A298" s="148" t="inlineStr">
        <is>
          <t>Balliu</t>
        </is>
      </c>
      <c r="B298" s="148" t="inlineStr">
        <is>
          <t>Selva Mesa</t>
        </is>
      </c>
      <c r="C298" s="148" t="inlineStr">
        <is>
          <t>Diametro 80 Werzalit</t>
        </is>
      </c>
      <c r="D298" s="149" t="inlineStr">
        <is>
          <t>G2</t>
        </is>
      </c>
      <c r="E298" s="150" t="inlineStr">
        <is>
          <t>COSTE</t>
        </is>
      </c>
      <c r="F298" s="151" t="inlineStr">
        <is>
          <t>2026-03-30</t>
        </is>
      </c>
      <c r="G298" s="152" t="n">
        <v>101.49</v>
      </c>
      <c r="H298" s="152" t="n">
        <v>122.8</v>
      </c>
      <c r="I298" s="153" t="n"/>
      <c r="J298" s="154" t="n"/>
    </row>
    <row r="299">
      <c r="A299" s="122" t="inlineStr">
        <is>
          <t>Balliu</t>
        </is>
      </c>
      <c r="B299" s="122" t="inlineStr">
        <is>
          <t>Selva Mesa</t>
        </is>
      </c>
      <c r="C299" s="122" t="inlineStr">
        <is>
          <t>Diametro 80 Werzalit</t>
        </is>
      </c>
      <c r="D299" s="123" t="inlineStr">
        <is>
          <t>G2</t>
        </is>
      </c>
      <c r="E299" s="155" t="inlineStr">
        <is>
          <t>PVP_RECOMENDADO</t>
        </is>
      </c>
      <c r="F299" s="123" t="inlineStr">
        <is>
          <t>2026-05-07</t>
        </is>
      </c>
      <c r="G299" s="124" t="n">
        <v>156.14</v>
      </c>
      <c r="H299" s="124" t="n">
        <v>188.93</v>
      </c>
      <c r="I299" s="126" t="n"/>
      <c r="J299" s="127" t="n"/>
    </row>
    <row r="300">
      <c r="A300" s="156" t="inlineStr">
        <is>
          <t>Balliu</t>
        </is>
      </c>
      <c r="B300" s="156" t="inlineStr">
        <is>
          <t>Selva Mesa</t>
        </is>
      </c>
      <c r="C300" s="156" t="inlineStr">
        <is>
          <t>Diametro 90 Werzalit</t>
        </is>
      </c>
      <c r="D300" s="157" t="inlineStr">
        <is>
          <t>G2</t>
        </is>
      </c>
      <c r="E300" s="158" t="inlineStr">
        <is>
          <t>COSTE</t>
        </is>
      </c>
      <c r="F300" s="159" t="inlineStr">
        <is>
          <t>2026-03-30</t>
        </is>
      </c>
      <c r="G300" s="160" t="n">
        <v>118.78</v>
      </c>
      <c r="H300" s="160" t="n">
        <v>143.72</v>
      </c>
      <c r="I300" s="161" t="n"/>
      <c r="J300" s="162" t="n"/>
    </row>
    <row r="301">
      <c r="A301" s="116" t="inlineStr">
        <is>
          <t>Balliu</t>
        </is>
      </c>
      <c r="B301" s="116" t="inlineStr">
        <is>
          <t>Selva Mesa</t>
        </is>
      </c>
      <c r="C301" s="116" t="inlineStr">
        <is>
          <t>Diametro 90 Werzalit</t>
        </is>
      </c>
      <c r="D301" s="117" t="inlineStr">
        <is>
          <t>G2</t>
        </is>
      </c>
      <c r="E301" s="163" t="inlineStr">
        <is>
          <t>PVP_RECOMENDADO</t>
        </is>
      </c>
      <c r="F301" s="117" t="inlineStr">
        <is>
          <t>2026-05-07</t>
        </is>
      </c>
      <c r="G301" s="118" t="n">
        <v>182.74</v>
      </c>
      <c r="H301" s="118" t="n">
        <v>221.12</v>
      </c>
      <c r="I301" s="120" t="n"/>
      <c r="J301" s="121" t="n"/>
    </row>
    <row r="302">
      <c r="A302" s="148" t="inlineStr">
        <is>
          <t>Balliu</t>
        </is>
      </c>
      <c r="B302" s="148" t="inlineStr">
        <is>
          <t>Selva Silla</t>
        </is>
      </c>
      <c r="C302" s="148" t="inlineStr">
        <is>
          <t>Blanca</t>
        </is>
      </c>
      <c r="D302" s="149" t="inlineStr">
        <is>
          <t>G1</t>
        </is>
      </c>
      <c r="E302" s="150" t="inlineStr">
        <is>
          <t>COSTE</t>
        </is>
      </c>
      <c r="F302" s="151" t="inlineStr">
        <is>
          <t>2026-03-30</t>
        </is>
      </c>
      <c r="G302" s="152" t="n">
        <v>17.17</v>
      </c>
      <c r="H302" s="152" t="n">
        <v>20.78</v>
      </c>
      <c r="I302" s="153" t="n"/>
      <c r="J302" s="154" t="n"/>
    </row>
    <row r="303">
      <c r="A303" s="122" t="inlineStr">
        <is>
          <t>Balliu</t>
        </is>
      </c>
      <c r="B303" s="122" t="inlineStr">
        <is>
          <t>Selva Silla</t>
        </is>
      </c>
      <c r="C303" s="122" t="inlineStr">
        <is>
          <t>Blanca</t>
        </is>
      </c>
      <c r="D303" s="123" t="inlineStr">
        <is>
          <t>G1</t>
        </is>
      </c>
      <c r="E303" s="155" t="inlineStr">
        <is>
          <t>PVP_RECOMENDADO</t>
        </is>
      </c>
      <c r="F303" s="123" t="inlineStr">
        <is>
          <t>2026-05-07</t>
        </is>
      </c>
      <c r="G303" s="124" t="n">
        <v>27.69</v>
      </c>
      <c r="H303" s="124" t="n">
        <v>33.5</v>
      </c>
      <c r="I303" s="126" t="n"/>
      <c r="J303" s="127" t="n"/>
    </row>
    <row r="304">
      <c r="A304" s="156" t="inlineStr">
        <is>
          <t>Balliu</t>
        </is>
      </c>
      <c r="B304" s="156" t="inlineStr">
        <is>
          <t>Selva Silla</t>
        </is>
      </c>
      <c r="C304" s="156" t="inlineStr">
        <is>
          <t>Color</t>
        </is>
      </c>
      <c r="D304" s="157" t="inlineStr">
        <is>
          <t>G1</t>
        </is>
      </c>
      <c r="E304" s="158" t="inlineStr">
        <is>
          <t>COSTE</t>
        </is>
      </c>
      <c r="F304" s="159" t="inlineStr">
        <is>
          <t>2026-03-30</t>
        </is>
      </c>
      <c r="G304" s="160" t="n">
        <v>20.77</v>
      </c>
      <c r="H304" s="160" t="n">
        <v>25.13</v>
      </c>
      <c r="I304" s="161" t="n"/>
      <c r="J304" s="162" t="n"/>
    </row>
    <row r="305">
      <c r="A305" s="116" t="inlineStr">
        <is>
          <t>Balliu</t>
        </is>
      </c>
      <c r="B305" s="116" t="inlineStr">
        <is>
          <t>Selva Silla</t>
        </is>
      </c>
      <c r="C305" s="116" t="inlineStr">
        <is>
          <t>Color</t>
        </is>
      </c>
      <c r="D305" s="117" t="inlineStr">
        <is>
          <t>G1</t>
        </is>
      </c>
      <c r="E305" s="163" t="inlineStr">
        <is>
          <t>PVP_RECOMENDADO</t>
        </is>
      </c>
      <c r="F305" s="117" t="inlineStr">
        <is>
          <t>2026-05-07</t>
        </is>
      </c>
      <c r="G305" s="118" t="n">
        <v>33.49</v>
      </c>
      <c r="H305" s="118" t="n">
        <v>40.52</v>
      </c>
      <c r="I305" s="120" t="n"/>
      <c r="J305" s="121" t="n"/>
    </row>
    <row r="306">
      <c r="A306" s="148" t="inlineStr">
        <is>
          <t>Balliu</t>
        </is>
      </c>
      <c r="B306" s="148" t="inlineStr">
        <is>
          <t>Silla Alba</t>
        </is>
      </c>
      <c r="C306" s="148" t="inlineStr">
        <is>
          <t>Con Brazos</t>
        </is>
      </c>
      <c r="D306" s="149" t="inlineStr">
        <is>
          <t>G3</t>
        </is>
      </c>
      <c r="E306" s="150" t="inlineStr">
        <is>
          <t>COSTE</t>
        </is>
      </c>
      <c r="F306" s="151" t="inlineStr">
        <is>
          <t>2026-03-30</t>
        </is>
      </c>
      <c r="G306" s="152" t="n">
        <v>55.51</v>
      </c>
      <c r="H306" s="152" t="n">
        <v>67.17</v>
      </c>
      <c r="I306" s="153" t="n"/>
      <c r="J306" s="154" t="n"/>
    </row>
    <row r="307">
      <c r="A307" s="122" t="inlineStr">
        <is>
          <t>Balliu</t>
        </is>
      </c>
      <c r="B307" s="122" t="inlineStr">
        <is>
          <t>Silla Alba</t>
        </is>
      </c>
      <c r="C307" s="122" t="inlineStr">
        <is>
          <t>Con Brazos</t>
        </is>
      </c>
      <c r="D307" s="123" t="inlineStr">
        <is>
          <t>G3</t>
        </is>
      </c>
      <c r="E307" s="155" t="inlineStr">
        <is>
          <t>PVP_RECOMENDADO</t>
        </is>
      </c>
      <c r="F307" s="123" t="inlineStr">
        <is>
          <t>2026-05-07</t>
        </is>
      </c>
      <c r="G307" s="124" t="n">
        <v>74.01000000000001</v>
      </c>
      <c r="H307" s="124" t="n">
        <v>89.55</v>
      </c>
      <c r="I307" s="126" t="n"/>
      <c r="J307" s="127" t="n"/>
    </row>
    <row r="308">
      <c r="A308" s="156" t="inlineStr">
        <is>
          <t>Balliu</t>
        </is>
      </c>
      <c r="B308" s="156" t="inlineStr">
        <is>
          <t>Silla Venus</t>
        </is>
      </c>
      <c r="C308" s="156" t="inlineStr">
        <is>
          <t>Con Brazos</t>
        </is>
      </c>
      <c r="D308" s="157" t="inlineStr">
        <is>
          <t>G3</t>
        </is>
      </c>
      <c r="E308" s="158" t="inlineStr">
        <is>
          <t>COSTE</t>
        </is>
      </c>
      <c r="F308" s="159" t="inlineStr">
        <is>
          <t>2026-03-30</t>
        </is>
      </c>
      <c r="G308" s="160" t="n">
        <v>43.83</v>
      </c>
      <c r="H308" s="160" t="n">
        <v>53.03</v>
      </c>
      <c r="I308" s="161" t="n"/>
      <c r="J308" s="162" t="n"/>
    </row>
    <row r="309">
      <c r="A309" s="116" t="inlineStr">
        <is>
          <t>Balliu</t>
        </is>
      </c>
      <c r="B309" s="116" t="inlineStr">
        <is>
          <t>Silla Venus</t>
        </is>
      </c>
      <c r="C309" s="116" t="inlineStr">
        <is>
          <t>Con Brazos</t>
        </is>
      </c>
      <c r="D309" s="117" t="inlineStr">
        <is>
          <t>G3</t>
        </is>
      </c>
      <c r="E309" s="163" t="inlineStr">
        <is>
          <t>PVP_RECOMENDADO</t>
        </is>
      </c>
      <c r="F309" s="117" t="inlineStr">
        <is>
          <t>2026-05-07</t>
        </is>
      </c>
      <c r="G309" s="118" t="n">
        <v>58.44</v>
      </c>
      <c r="H309" s="118" t="n">
        <v>70.70999999999999</v>
      </c>
      <c r="I309" s="120" t="n"/>
      <c r="J309" s="121" t="n"/>
    </row>
    <row r="310">
      <c r="A310" s="148" t="inlineStr">
        <is>
          <t>Balliu</t>
        </is>
      </c>
      <c r="B310" s="148" t="inlineStr">
        <is>
          <t>Silla Venus</t>
        </is>
      </c>
      <c r="C310" s="148" t="inlineStr">
        <is>
          <t>Sin Brazos</t>
        </is>
      </c>
      <c r="D310" s="149" t="inlineStr">
        <is>
          <t>G3</t>
        </is>
      </c>
      <c r="E310" s="150" t="inlineStr">
        <is>
          <t>COSTE</t>
        </is>
      </c>
      <c r="F310" s="151" t="inlineStr">
        <is>
          <t>2026-03-30</t>
        </is>
      </c>
      <c r="G310" s="152" t="n">
        <v>40.56</v>
      </c>
      <c r="H310" s="152" t="n">
        <v>49.08</v>
      </c>
      <c r="I310" s="153" t="n"/>
      <c r="J310" s="154" t="n"/>
    </row>
    <row r="311">
      <c r="A311" s="122" t="inlineStr">
        <is>
          <t>Balliu</t>
        </is>
      </c>
      <c r="B311" s="122" t="inlineStr">
        <is>
          <t>Silla Venus</t>
        </is>
      </c>
      <c r="C311" s="122" t="inlineStr">
        <is>
          <t>Sin Brazos</t>
        </is>
      </c>
      <c r="D311" s="123" t="inlineStr">
        <is>
          <t>G3</t>
        </is>
      </c>
      <c r="E311" s="155" t="inlineStr">
        <is>
          <t>PVP_RECOMENDADO</t>
        </is>
      </c>
      <c r="F311" s="123" t="inlineStr">
        <is>
          <t>2026-05-07</t>
        </is>
      </c>
      <c r="G311" s="124" t="n">
        <v>54.07</v>
      </c>
      <c r="H311" s="124" t="n">
        <v>65.42</v>
      </c>
      <c r="I311" s="126" t="n"/>
      <c r="J311" s="127" t="n"/>
    </row>
    <row r="312">
      <c r="A312" s="156" t="inlineStr">
        <is>
          <t>Balliu</t>
        </is>
      </c>
      <c r="B312" s="156" t="inlineStr">
        <is>
          <t>Sofa Etna</t>
        </is>
      </c>
      <c r="C312" s="156" t="inlineStr">
        <is>
          <t>Doble Acrílico</t>
        </is>
      </c>
      <c r="D312" s="157" t="inlineStr">
        <is>
          <t>G2</t>
        </is>
      </c>
      <c r="E312" s="158" t="inlineStr">
        <is>
          <t>COSTE</t>
        </is>
      </c>
      <c r="F312" s="159" t="inlineStr">
        <is>
          <t>2026-03-30</t>
        </is>
      </c>
      <c r="G312" s="160" t="n">
        <v>611.77</v>
      </c>
      <c r="H312" s="160" t="n">
        <v>740.24</v>
      </c>
      <c r="I312" s="161" t="n"/>
      <c r="J312" s="162" t="n"/>
    </row>
    <row r="313">
      <c r="A313" s="116" t="inlineStr">
        <is>
          <t>Balliu</t>
        </is>
      </c>
      <c r="B313" s="116" t="inlineStr">
        <is>
          <t>Sofa Etna</t>
        </is>
      </c>
      <c r="C313" s="116" t="inlineStr">
        <is>
          <t>Doble Acrílico</t>
        </is>
      </c>
      <c r="D313" s="117" t="inlineStr">
        <is>
          <t>G2</t>
        </is>
      </c>
      <c r="E313" s="163" t="inlineStr">
        <is>
          <t>PVP_RECOMENDADO</t>
        </is>
      </c>
      <c r="F313" s="117" t="inlineStr">
        <is>
          <t>2026-05-07</t>
        </is>
      </c>
      <c r="G313" s="118" t="n">
        <v>941.1799999999999</v>
      </c>
      <c r="H313" s="118" t="n">
        <v>1138.83</v>
      </c>
      <c r="I313" s="120" t="n"/>
      <c r="J313" s="121" t="n"/>
    </row>
    <row r="314">
      <c r="A314" s="148" t="inlineStr">
        <is>
          <t>Balliu</t>
        </is>
      </c>
      <c r="B314" s="148" t="inlineStr">
        <is>
          <t>Sofa Etna</t>
        </is>
      </c>
      <c r="C314" s="148" t="inlineStr">
        <is>
          <t>Individual Acrílico</t>
        </is>
      </c>
      <c r="D314" s="149" t="inlineStr">
        <is>
          <t>G2</t>
        </is>
      </c>
      <c r="E314" s="150" t="inlineStr">
        <is>
          <t>COSTE</t>
        </is>
      </c>
      <c r="F314" s="151" t="inlineStr">
        <is>
          <t>2026-03-30</t>
        </is>
      </c>
      <c r="G314" s="152" t="n">
        <v>367.06</v>
      </c>
      <c r="H314" s="152" t="n">
        <v>444.14</v>
      </c>
      <c r="I314" s="153" t="n"/>
      <c r="J314" s="154" t="n"/>
    </row>
    <row r="315">
      <c r="A315" s="122" t="inlineStr">
        <is>
          <t>Balliu</t>
        </is>
      </c>
      <c r="B315" s="122" t="inlineStr">
        <is>
          <t>Sofa Etna</t>
        </is>
      </c>
      <c r="C315" s="122" t="inlineStr">
        <is>
          <t>Individual Acrílico</t>
        </is>
      </c>
      <c r="D315" s="123" t="inlineStr">
        <is>
          <t>G2</t>
        </is>
      </c>
      <c r="E315" s="155" t="inlineStr">
        <is>
          <t>PVP_RECOMENDADO</t>
        </is>
      </c>
      <c r="F315" s="123" t="inlineStr">
        <is>
          <t>2026-05-07</t>
        </is>
      </c>
      <c r="G315" s="124" t="n">
        <v>564.71</v>
      </c>
      <c r="H315" s="124" t="n">
        <v>683.3</v>
      </c>
      <c r="I315" s="126" t="n"/>
      <c r="J315" s="127" t="n"/>
    </row>
    <row r="316">
      <c r="A316" s="156" t="inlineStr">
        <is>
          <t>Balliu</t>
        </is>
      </c>
      <c r="B316" s="156" t="inlineStr">
        <is>
          <t>Sofa Etna</t>
        </is>
      </c>
      <c r="C316" s="156" t="inlineStr">
        <is>
          <t>Triple Acrílico</t>
        </is>
      </c>
      <c r="D316" s="157" t="inlineStr">
        <is>
          <t>G2</t>
        </is>
      </c>
      <c r="E316" s="158" t="inlineStr">
        <is>
          <t>COSTE</t>
        </is>
      </c>
      <c r="F316" s="159" t="inlineStr">
        <is>
          <t>2026-03-30</t>
        </is>
      </c>
      <c r="G316" s="160" t="n">
        <v>837.52</v>
      </c>
      <c r="H316" s="160" t="n">
        <v>1013.4</v>
      </c>
      <c r="I316" s="161" t="n"/>
      <c r="J316" s="162" t="n"/>
    </row>
    <row r="317">
      <c r="A317" s="116" t="inlineStr">
        <is>
          <t>Balliu</t>
        </is>
      </c>
      <c r="B317" s="116" t="inlineStr">
        <is>
          <t>Sofa Etna</t>
        </is>
      </c>
      <c r="C317" s="116" t="inlineStr">
        <is>
          <t>Triple Acrílico</t>
        </is>
      </c>
      <c r="D317" s="117" t="inlineStr">
        <is>
          <t>G2</t>
        </is>
      </c>
      <c r="E317" s="163" t="inlineStr">
        <is>
          <t>PVP_RECOMENDADO</t>
        </is>
      </c>
      <c r="F317" s="117" t="inlineStr">
        <is>
          <t>2026-05-07</t>
        </is>
      </c>
      <c r="G317" s="118" t="n">
        <v>1288.49</v>
      </c>
      <c r="H317" s="118" t="n">
        <v>1559.07</v>
      </c>
      <c r="I317" s="120" t="n"/>
      <c r="J317" s="121" t="n"/>
    </row>
    <row r="318">
      <c r="A318" s="148" t="inlineStr">
        <is>
          <t>Balliu</t>
        </is>
      </c>
      <c r="B318" s="148" t="inlineStr">
        <is>
          <t>Sofia Mesa</t>
        </is>
      </c>
      <c r="C318" s="148" t="inlineStr">
        <is>
          <t>70X70 Tablero Hpl</t>
        </is>
      </c>
      <c r="D318" s="149" t="inlineStr">
        <is>
          <t>G2</t>
        </is>
      </c>
      <c r="E318" s="150" t="inlineStr">
        <is>
          <t>COSTE</t>
        </is>
      </c>
      <c r="F318" s="151" t="inlineStr">
        <is>
          <t>2026-03-30</t>
        </is>
      </c>
      <c r="G318" s="152" t="n">
        <v>178.35</v>
      </c>
      <c r="H318" s="152" t="n">
        <v>215.8</v>
      </c>
      <c r="I318" s="153" t="n"/>
      <c r="J318" s="154" t="n"/>
    </row>
    <row r="319">
      <c r="A319" s="122" t="inlineStr">
        <is>
          <t>Balliu</t>
        </is>
      </c>
      <c r="B319" s="122" t="inlineStr">
        <is>
          <t>Sofia Mesa</t>
        </is>
      </c>
      <c r="C319" s="122" t="inlineStr">
        <is>
          <t>70X70 Tablero Hpl</t>
        </is>
      </c>
      <c r="D319" s="123" t="inlineStr">
        <is>
          <t>G2</t>
        </is>
      </c>
      <c r="E319" s="155" t="inlineStr">
        <is>
          <t>PVP_RECOMENDADO</t>
        </is>
      </c>
      <c r="F319" s="123" t="inlineStr">
        <is>
          <t>2026-05-07</t>
        </is>
      </c>
      <c r="G319" s="124" t="n">
        <v>274.39</v>
      </c>
      <c r="H319" s="124" t="n">
        <v>332.01</v>
      </c>
      <c r="I319" s="126" t="n"/>
      <c r="J319" s="127" t="n"/>
    </row>
    <row r="320">
      <c r="A320" s="156" t="inlineStr">
        <is>
          <t>Balliu</t>
        </is>
      </c>
      <c r="B320" s="156" t="inlineStr">
        <is>
          <t>Sofia Mesa</t>
        </is>
      </c>
      <c r="C320" s="156" t="inlineStr">
        <is>
          <t>70X70 Tablero Hpl Gd</t>
        </is>
      </c>
      <c r="D320" s="157" t="inlineStr">
        <is>
          <t>G2</t>
        </is>
      </c>
      <c r="E320" s="158" t="inlineStr">
        <is>
          <t>COSTE</t>
        </is>
      </c>
      <c r="F320" s="159" t="inlineStr">
        <is>
          <t>2026-03-30</t>
        </is>
      </c>
      <c r="G320" s="160" t="n">
        <v>177.5</v>
      </c>
      <c r="H320" s="160" t="n">
        <v>214.78</v>
      </c>
      <c r="I320" s="161" t="n"/>
      <c r="J320" s="162" t="n"/>
    </row>
    <row r="321">
      <c r="A321" s="116" t="inlineStr">
        <is>
          <t>Balliu</t>
        </is>
      </c>
      <c r="B321" s="116" t="inlineStr">
        <is>
          <t>Sofia Mesa</t>
        </is>
      </c>
      <c r="C321" s="116" t="inlineStr">
        <is>
          <t>70X70 Tablero Hpl Gd</t>
        </is>
      </c>
      <c r="D321" s="117" t="inlineStr">
        <is>
          <t>G2</t>
        </is>
      </c>
      <c r="E321" s="163" t="inlineStr">
        <is>
          <t>PVP_RECOMENDADO</t>
        </is>
      </c>
      <c r="F321" s="117" t="inlineStr">
        <is>
          <t>2026-05-07</t>
        </is>
      </c>
      <c r="G321" s="118" t="n">
        <v>273.08</v>
      </c>
      <c r="H321" s="118" t="n">
        <v>330.43</v>
      </c>
      <c r="I321" s="120" t="n"/>
      <c r="J321" s="121" t="n"/>
    </row>
    <row r="322">
      <c r="A322" s="148" t="inlineStr">
        <is>
          <t>Balliu</t>
        </is>
      </c>
      <c r="B322" s="148" t="inlineStr">
        <is>
          <t>Sofia Mesa</t>
        </is>
      </c>
      <c r="C322" s="148" t="inlineStr">
        <is>
          <t>80X80 Tablero Hpl</t>
        </is>
      </c>
      <c r="D322" s="149" t="inlineStr">
        <is>
          <t>G2</t>
        </is>
      </c>
      <c r="E322" s="150" t="inlineStr">
        <is>
          <t>COSTE</t>
        </is>
      </c>
      <c r="F322" s="151" t="inlineStr">
        <is>
          <t>2026-03-30</t>
        </is>
      </c>
      <c r="G322" s="152" t="n">
        <v>186.98</v>
      </c>
      <c r="H322" s="152" t="n">
        <v>226.25</v>
      </c>
      <c r="I322" s="153" t="n"/>
      <c r="J322" s="154" t="n"/>
    </row>
    <row r="323">
      <c r="A323" s="122" t="inlineStr">
        <is>
          <t>Balliu</t>
        </is>
      </c>
      <c r="B323" s="122" t="inlineStr">
        <is>
          <t>Sofia Mesa</t>
        </is>
      </c>
      <c r="C323" s="122" t="inlineStr">
        <is>
          <t>80X80 Tablero Hpl</t>
        </is>
      </c>
      <c r="D323" s="123" t="inlineStr">
        <is>
          <t>G2</t>
        </is>
      </c>
      <c r="E323" s="155" t="inlineStr">
        <is>
          <t>PVP_RECOMENDADO</t>
        </is>
      </c>
      <c r="F323" s="123" t="inlineStr">
        <is>
          <t>2026-05-07</t>
        </is>
      </c>
      <c r="G323" s="124" t="n">
        <v>287.66</v>
      </c>
      <c r="H323" s="124" t="n">
        <v>348.07</v>
      </c>
      <c r="I323" s="126" t="n"/>
      <c r="J323" s="127" t="n"/>
    </row>
    <row r="324">
      <c r="A324" s="156" t="inlineStr">
        <is>
          <t>Balliu</t>
        </is>
      </c>
      <c r="B324" s="156" t="inlineStr">
        <is>
          <t>Sofia Mesa</t>
        </is>
      </c>
      <c r="C324" s="156" t="inlineStr">
        <is>
          <t>80X80 Tablero Hpl Gd</t>
        </is>
      </c>
      <c r="D324" s="157" t="inlineStr">
        <is>
          <t>G2</t>
        </is>
      </c>
      <c r="E324" s="158" t="inlineStr">
        <is>
          <t>COSTE</t>
        </is>
      </c>
      <c r="F324" s="159" t="inlineStr">
        <is>
          <t>2026-03-30</t>
        </is>
      </c>
      <c r="G324" s="160" t="n">
        <v>206.53</v>
      </c>
      <c r="H324" s="160" t="n">
        <v>249.9</v>
      </c>
      <c r="I324" s="161" t="n"/>
      <c r="J324" s="162" t="n"/>
    </row>
    <row r="325">
      <c r="A325" s="116" t="inlineStr">
        <is>
          <t>Balliu</t>
        </is>
      </c>
      <c r="B325" s="116" t="inlineStr">
        <is>
          <t>Sofia Mesa</t>
        </is>
      </c>
      <c r="C325" s="116" t="inlineStr">
        <is>
          <t>80X80 Tablero Hpl Gd</t>
        </is>
      </c>
      <c r="D325" s="117" t="inlineStr">
        <is>
          <t>G2</t>
        </is>
      </c>
      <c r="E325" s="163" t="inlineStr">
        <is>
          <t>PVP_RECOMENDADO</t>
        </is>
      </c>
      <c r="F325" s="117" t="inlineStr">
        <is>
          <t>2026-05-07</t>
        </is>
      </c>
      <c r="G325" s="118" t="n">
        <v>317.75</v>
      </c>
      <c r="H325" s="118" t="n">
        <v>384.48</v>
      </c>
      <c r="I325" s="120" t="n"/>
      <c r="J325" s="121" t="n"/>
    </row>
    <row r="326">
      <c r="A326" s="148" t="inlineStr">
        <is>
          <t>Balliu</t>
        </is>
      </c>
      <c r="B326" s="148" t="inlineStr">
        <is>
          <t>Vera Silla</t>
        </is>
      </c>
      <c r="C326" s="148" t="inlineStr">
        <is>
          <t>Con Brazos</t>
        </is>
      </c>
      <c r="D326" s="149" t="inlineStr">
        <is>
          <t>G3</t>
        </is>
      </c>
      <c r="E326" s="150" t="inlineStr">
        <is>
          <t>COSTE</t>
        </is>
      </c>
      <c r="F326" s="151" t="inlineStr">
        <is>
          <t>2026-03-30</t>
        </is>
      </c>
      <c r="G326" s="152" t="n">
        <v>49.44</v>
      </c>
      <c r="H326" s="152" t="n">
        <v>59.82</v>
      </c>
      <c r="I326" s="153" t="n"/>
      <c r="J326" s="154" t="n"/>
    </row>
    <row r="327">
      <c r="A327" s="122" t="inlineStr">
        <is>
          <t>Balliu</t>
        </is>
      </c>
      <c r="B327" s="122" t="inlineStr">
        <is>
          <t>Vera Silla</t>
        </is>
      </c>
      <c r="C327" s="122" t="inlineStr">
        <is>
          <t>Con Brazos</t>
        </is>
      </c>
      <c r="D327" s="123" t="inlineStr">
        <is>
          <t>G3</t>
        </is>
      </c>
      <c r="E327" s="155" t="inlineStr">
        <is>
          <t>PVP_RECOMENDADO</t>
        </is>
      </c>
      <c r="F327" s="123" t="inlineStr">
        <is>
          <t>2026-05-07</t>
        </is>
      </c>
      <c r="G327" s="124" t="n">
        <v>65.92</v>
      </c>
      <c r="H327" s="124" t="n">
        <v>79.76000000000001</v>
      </c>
      <c r="I327" s="126" t="n"/>
      <c r="J327" s="127" t="n"/>
    </row>
    <row r="328">
      <c r="A328" s="156" t="inlineStr">
        <is>
          <t>Balliu</t>
        </is>
      </c>
      <c r="B328" s="156" t="inlineStr">
        <is>
          <t>Vera Silla</t>
        </is>
      </c>
      <c r="C328" s="156" t="inlineStr">
        <is>
          <t>L Con Brazos</t>
        </is>
      </c>
      <c r="D328" s="157" t="inlineStr">
        <is>
          <t>G3</t>
        </is>
      </c>
      <c r="E328" s="158" t="inlineStr">
        <is>
          <t>COSTE</t>
        </is>
      </c>
      <c r="F328" s="159" t="inlineStr">
        <is>
          <t>2026-03-30</t>
        </is>
      </c>
      <c r="G328" s="160" t="n">
        <v>71.33</v>
      </c>
      <c r="H328" s="160" t="n">
        <v>86.31</v>
      </c>
      <c r="I328" s="161" t="n"/>
      <c r="J328" s="162" t="n"/>
    </row>
    <row r="329">
      <c r="A329" s="116" t="inlineStr">
        <is>
          <t>Balliu</t>
        </is>
      </c>
      <c r="B329" s="116" t="inlineStr">
        <is>
          <t>Vera Silla</t>
        </is>
      </c>
      <c r="C329" s="116" t="inlineStr">
        <is>
          <t>L Con Brazos</t>
        </is>
      </c>
      <c r="D329" s="117" t="inlineStr">
        <is>
          <t>G3</t>
        </is>
      </c>
      <c r="E329" s="163" t="inlineStr">
        <is>
          <t>PVP_RECOMENDADO</t>
        </is>
      </c>
      <c r="F329" s="117" t="inlineStr">
        <is>
          <t>2026-05-07</t>
        </is>
      </c>
      <c r="G329" s="118" t="n">
        <v>95.11</v>
      </c>
      <c r="H329" s="118" t="n">
        <v>115.08</v>
      </c>
      <c r="I329" s="120" t="n"/>
      <c r="J329" s="121" t="n"/>
    </row>
    <row r="330">
      <c r="A330" s="148" t="inlineStr">
        <is>
          <t>Balliu</t>
        </is>
      </c>
      <c r="B330" s="148" t="inlineStr">
        <is>
          <t>Vera Silla</t>
        </is>
      </c>
      <c r="C330" s="148" t="inlineStr">
        <is>
          <t>Sin Brazos</t>
        </is>
      </c>
      <c r="D330" s="149" t="inlineStr">
        <is>
          <t>G3</t>
        </is>
      </c>
      <c r="E330" s="150" t="inlineStr">
        <is>
          <t>COSTE</t>
        </is>
      </c>
      <c r="F330" s="151" t="inlineStr">
        <is>
          <t>2026-03-30</t>
        </is>
      </c>
      <c r="G330" s="152" t="n">
        <v>48.33</v>
      </c>
      <c r="H330" s="152" t="n">
        <v>58.48</v>
      </c>
      <c r="I330" s="153" t="n"/>
      <c r="J330" s="154" t="n"/>
    </row>
    <row r="331">
      <c r="A331" s="122" t="inlineStr">
        <is>
          <t>Balliu</t>
        </is>
      </c>
      <c r="B331" s="122" t="inlineStr">
        <is>
          <t>Vera Silla</t>
        </is>
      </c>
      <c r="C331" s="122" t="inlineStr">
        <is>
          <t>Sin Brazos</t>
        </is>
      </c>
      <c r="D331" s="123" t="inlineStr">
        <is>
          <t>G3</t>
        </is>
      </c>
      <c r="E331" s="155" t="inlineStr">
        <is>
          <t>PVP_RECOMENDADO</t>
        </is>
      </c>
      <c r="F331" s="123" t="inlineStr">
        <is>
          <t>2026-05-07</t>
        </is>
      </c>
      <c r="G331" s="124" t="n">
        <v>64.44</v>
      </c>
      <c r="H331" s="124" t="n">
        <v>77.97</v>
      </c>
      <c r="I331" s="126" t="n"/>
      <c r="J331" s="127" t="n"/>
    </row>
  </sheetData>
  <autoFilter ref="A1:J3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pane xSplit="5" ySplit="5" topLeftCell="F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style="98" min="1" max="1"/>
    <col width="30" customWidth="1" style="98" min="2" max="2"/>
    <col width="34" customWidth="1" style="98" min="3" max="3"/>
    <col width="7" customWidth="1" style="98" min="4" max="4"/>
    <col width="16" customWidth="1" style="98" min="5" max="5"/>
    <col width="13" customWidth="1" style="98" min="6" max="6"/>
    <col width="13" customWidth="1" style="98" min="7" max="7"/>
    <col width="13" customWidth="1" style="98" min="8" max="8"/>
    <col width="13" customWidth="1" style="98" min="9" max="9"/>
    <col width="13" customWidth="1" style="98" min="10" max="10"/>
    <col width="13" customWidth="1" style="98" min="11" max="11"/>
    <col width="12" customWidth="1" style="98" min="12" max="12"/>
    <col width="13" customWidth="1" style="98" min="13" max="13"/>
    <col width="13" customWidth="1" style="98" min="14" max="14"/>
    <col width="13" customWidth="1" style="98" min="15" max="15"/>
    <col width="12" customWidth="1" style="98" min="16" max="16"/>
    <col width="12" customWidth="1" style="98" min="17" max="17"/>
  </cols>
  <sheetData>
    <row r="1" ht="30" customHeight="1" s="98">
      <c r="A1" s="164" t="inlineStr">
        <is>
          <t>Balliu — Seguimiento de tarifas</t>
        </is>
      </c>
    </row>
    <row r="2">
      <c r="A2" s="129" t="inlineStr">
        <is>
          <t>Última tarifa COSTE: 2026-03-30  │  Última tarifa PVP RECOMENDADO: 2026-05-07  │  PVP con IVA = PVP sin IVA × 1,21  │  Margen € = PVP − Coste (sin IVA)</t>
        </is>
      </c>
    </row>
    <row r="3">
      <c r="A3" s="129" t="inlineStr">
        <is>
          <t>Snapshots COSTE: 2026-03-30   |   Snapshots PVP: 2026-05-07</t>
        </is>
      </c>
    </row>
    <row r="5" ht="42" customHeight="1" s="98">
      <c r="A5" s="147" t="inlineStr">
        <is>
          <t>Proveedor</t>
        </is>
      </c>
      <c r="B5" s="147" t="inlineStr">
        <is>
          <t>Producto</t>
        </is>
      </c>
      <c r="C5" s="147" t="inlineStr">
        <is>
          <t>Variante</t>
        </is>
      </c>
      <c r="D5" s="147" t="inlineStr">
        <is>
          <t>Grupo</t>
        </is>
      </c>
      <c r="E5" s="147" t="inlineStr">
        <is>
          <t>Estado</t>
        </is>
      </c>
      <c r="F5" s="147" t="inlineStr">
        <is>
          <t>Coste sin IVA €</t>
        </is>
      </c>
      <c r="G5" s="147" t="inlineStr">
        <is>
          <t>Última fecha
Coste</t>
        </is>
      </c>
      <c r="H5" s="147" t="inlineStr">
        <is>
          <t>PVP rec.
sin IVA €</t>
        </is>
      </c>
      <c r="I5" s="147" t="inlineStr">
        <is>
          <t>PVP
con IVA €</t>
        </is>
      </c>
      <c r="J5" s="147" t="inlineStr">
        <is>
          <t>Última fecha
PVP</t>
        </is>
      </c>
      <c r="K5" s="147" t="inlineStr">
        <is>
          <t>Margen €
(sin IVA)</t>
        </is>
      </c>
      <c r="L5" s="147" t="inlineStr">
        <is>
          <t>Margen %
sobre PVP</t>
        </is>
      </c>
      <c r="M5" s="147" t="inlineStr">
        <is>
          <t>Markup %
sobre coste</t>
        </is>
      </c>
      <c r="N5" s="147" t="inlineStr">
        <is>
          <t>Δ Coste %
vs anterior</t>
        </is>
      </c>
      <c r="O5" s="147" t="inlineStr">
        <is>
          <t>Δ PVP %
vs anterior</t>
        </is>
      </c>
      <c r="P5" s="147" t="inlineStr">
        <is>
          <t>Tendencia
Coste</t>
        </is>
      </c>
      <c r="Q5" s="147" t="inlineStr">
        <is>
          <t>Tendencia
PVP</t>
        </is>
      </c>
    </row>
    <row r="6">
      <c r="A6" s="116" t="inlineStr">
        <is>
          <t>Balliu</t>
        </is>
      </c>
      <c r="B6" s="116" t="inlineStr">
        <is>
          <t>Agata Mesa</t>
        </is>
      </c>
      <c r="C6" s="116" t="inlineStr">
        <is>
          <t>180 X 90 Encimera aluminio</t>
        </is>
      </c>
      <c r="D6" s="117" t="inlineStr">
        <is>
          <t>G2</t>
        </is>
      </c>
      <c r="E6" s="165" t="inlineStr">
        <is>
          <t>COMPLETO</t>
        </is>
      </c>
      <c r="F6" s="118" t="n">
        <v>270.76</v>
      </c>
      <c r="G6" s="117" t="inlineStr">
        <is>
          <t>2026-03-30</t>
        </is>
      </c>
      <c r="H6" s="118" t="n">
        <v>416.55</v>
      </c>
      <c r="I6" s="118" t="n">
        <v>504.03</v>
      </c>
      <c r="J6" s="117" t="inlineStr">
        <is>
          <t>2026-05-07</t>
        </is>
      </c>
      <c r="K6" s="118" t="n">
        <v>145.79</v>
      </c>
      <c r="L6" s="119" t="n">
        <v>34.99939983195295</v>
      </c>
      <c r="M6" s="119" t="n">
        <v>53.84473334318216</v>
      </c>
      <c r="N6" s="121" t="n"/>
      <c r="O6" s="121" t="n"/>
      <c r="P6" s="166" t="inlineStr"/>
      <c r="Q6" s="167" t="inlineStr"/>
    </row>
    <row r="7">
      <c r="A7" s="122" t="inlineStr">
        <is>
          <t>Balliu</t>
        </is>
      </c>
      <c r="B7" s="122" t="inlineStr">
        <is>
          <t>Agata Mesa</t>
        </is>
      </c>
      <c r="C7" s="122" t="inlineStr">
        <is>
          <t>70X70 Encimera aluminio</t>
        </is>
      </c>
      <c r="D7" s="123" t="inlineStr">
        <is>
          <t>G2</t>
        </is>
      </c>
      <c r="E7" s="168" t="inlineStr">
        <is>
          <t>COMPLETO</t>
        </is>
      </c>
      <c r="F7" s="124" t="n">
        <v>186.62</v>
      </c>
      <c r="G7" s="123" t="inlineStr">
        <is>
          <t>2026-03-30</t>
        </is>
      </c>
      <c r="H7" s="124" t="n">
        <v>287.1</v>
      </c>
      <c r="I7" s="124" t="n">
        <v>347.39</v>
      </c>
      <c r="J7" s="123" t="inlineStr">
        <is>
          <t>2026-05-07</t>
        </is>
      </c>
      <c r="K7" s="124" t="n">
        <v>100.48</v>
      </c>
      <c r="L7" s="125" t="n">
        <v>34.99825844653432</v>
      </c>
      <c r="M7" s="125" t="n">
        <v>53.84203193655558</v>
      </c>
      <c r="N7" s="127" t="n"/>
      <c r="O7" s="127" t="n"/>
      <c r="P7" s="169" t="inlineStr"/>
      <c r="Q7" s="170" t="inlineStr"/>
    </row>
    <row r="8">
      <c r="A8" s="116" t="inlineStr">
        <is>
          <t>Balliu</t>
        </is>
      </c>
      <c r="B8" s="116" t="inlineStr">
        <is>
          <t>Agora Parasol</t>
        </is>
      </c>
      <c r="C8" s="116" t="inlineStr">
        <is>
          <t>Parasol tela Balliu</t>
        </is>
      </c>
      <c r="D8" s="117" t="inlineStr">
        <is>
          <t>G2</t>
        </is>
      </c>
      <c r="E8" s="165" t="inlineStr">
        <is>
          <t>COMPLETO</t>
        </is>
      </c>
      <c r="F8" s="118" t="n">
        <v>217.14</v>
      </c>
      <c r="G8" s="117" t="inlineStr">
        <is>
          <t>2026-03-30</t>
        </is>
      </c>
      <c r="H8" s="118" t="n">
        <v>334.05</v>
      </c>
      <c r="I8" s="118" t="n">
        <v>404.2</v>
      </c>
      <c r="J8" s="117" t="inlineStr">
        <is>
          <t>2026-05-07</t>
        </is>
      </c>
      <c r="K8" s="118" t="n">
        <v>116.91</v>
      </c>
      <c r="L8" s="119" t="n">
        <v>34.9977548271217</v>
      </c>
      <c r="M8" s="119" t="n">
        <v>53.84084001105279</v>
      </c>
      <c r="N8" s="121" t="n"/>
      <c r="O8" s="121" t="n"/>
      <c r="P8" s="166" t="inlineStr"/>
      <c r="Q8" s="167" t="inlineStr"/>
    </row>
    <row r="9">
      <c r="A9" s="122" t="inlineStr">
        <is>
          <t>Balliu</t>
        </is>
      </c>
      <c r="B9" s="122" t="inlineStr">
        <is>
          <t>Agora Parasol</t>
        </is>
      </c>
      <c r="C9" s="122" t="inlineStr">
        <is>
          <t>Parasol tela acrílica</t>
        </is>
      </c>
      <c r="D9" s="123" t="inlineStr">
        <is>
          <t>G2</t>
        </is>
      </c>
      <c r="E9" s="168" t="inlineStr">
        <is>
          <t>COMPLETO</t>
        </is>
      </c>
      <c r="F9" s="124" t="n">
        <v>228.96</v>
      </c>
      <c r="G9" s="123" t="inlineStr">
        <is>
          <t>2026-03-30</t>
        </is>
      </c>
      <c r="H9" s="124" t="n">
        <v>352.25</v>
      </c>
      <c r="I9" s="124" t="n">
        <v>426.22</v>
      </c>
      <c r="J9" s="123" t="inlineStr">
        <is>
          <t>2026-05-07</t>
        </is>
      </c>
      <c r="K9" s="124" t="n">
        <v>123.29</v>
      </c>
      <c r="L9" s="125" t="n">
        <v>35.00070972320795</v>
      </c>
      <c r="M9" s="125" t="n">
        <v>53.84783368273933</v>
      </c>
      <c r="N9" s="127" t="n"/>
      <c r="O9" s="127" t="n"/>
      <c r="P9" s="169" t="inlineStr"/>
      <c r="Q9" s="170" t="inlineStr"/>
    </row>
    <row r="10">
      <c r="A10" s="116" t="inlineStr">
        <is>
          <t>Balliu</t>
        </is>
      </c>
      <c r="B10" s="116" t="inlineStr">
        <is>
          <t>Alba Tumbona</t>
        </is>
      </c>
      <c r="C10" s="116" t="inlineStr">
        <is>
          <t>Tela Balliu</t>
        </is>
      </c>
      <c r="D10" s="117" t="inlineStr">
        <is>
          <t>G4</t>
        </is>
      </c>
      <c r="E10" s="165" t="inlineStr">
        <is>
          <t>COMPLETO</t>
        </is>
      </c>
      <c r="F10" s="118" t="n">
        <v>226.62</v>
      </c>
      <c r="G10" s="117" t="inlineStr">
        <is>
          <t>2026-03-30</t>
        </is>
      </c>
      <c r="H10" s="118" t="n">
        <v>348.65</v>
      </c>
      <c r="I10" s="118" t="n">
        <v>421.87</v>
      </c>
      <c r="J10" s="117" t="inlineStr">
        <is>
          <t>2026-05-07</t>
        </is>
      </c>
      <c r="K10" s="118" t="n">
        <v>122.03</v>
      </c>
      <c r="L10" s="119" t="n">
        <v>35.00071705148429</v>
      </c>
      <c r="M10" s="119" t="n">
        <v>53.84785102815284</v>
      </c>
      <c r="N10" s="121" t="n"/>
      <c r="O10" s="121" t="n"/>
      <c r="P10" s="166" t="inlineStr"/>
      <c r="Q10" s="167" t="inlineStr"/>
    </row>
    <row r="11">
      <c r="A11" s="122" t="inlineStr">
        <is>
          <t>Balliu</t>
        </is>
      </c>
      <c r="B11" s="122" t="inlineStr">
        <is>
          <t>Alma Cama Balinesa</t>
        </is>
      </c>
      <c r="C11" s="122" t="inlineStr">
        <is>
          <t>Tela Nautica</t>
        </is>
      </c>
      <c r="D11" s="123" t="inlineStr">
        <is>
          <t>G2</t>
        </is>
      </c>
      <c r="E11" s="168" t="inlineStr">
        <is>
          <t>COMPLETO</t>
        </is>
      </c>
      <c r="F11" s="124" t="n">
        <v>1510.81</v>
      </c>
      <c r="G11" s="123" t="inlineStr">
        <is>
          <t>2026-03-30</t>
        </is>
      </c>
      <c r="H11" s="124" t="n">
        <v>2324.32</v>
      </c>
      <c r="I11" s="124" t="n">
        <v>2812.43</v>
      </c>
      <c r="J11" s="123" t="inlineStr">
        <is>
          <t>2026-05-07</t>
        </is>
      </c>
      <c r="K11" s="124" t="n">
        <v>813.5100000000002</v>
      </c>
      <c r="L11" s="125" t="n">
        <v>34.9999139533283</v>
      </c>
      <c r="M11" s="125" t="n">
        <v>53.84595018566202</v>
      </c>
      <c r="N11" s="127" t="n"/>
      <c r="O11" s="127" t="n"/>
      <c r="P11" s="169" t="inlineStr"/>
      <c r="Q11" s="170" t="inlineStr"/>
    </row>
    <row r="12">
      <c r="A12" s="116" t="inlineStr">
        <is>
          <t>Balliu</t>
        </is>
      </c>
      <c r="B12" s="116" t="inlineStr">
        <is>
          <t>Atlanta Mesa</t>
        </is>
      </c>
      <c r="C12" s="116" t="inlineStr">
        <is>
          <t>140/180X90 Extensible</t>
        </is>
      </c>
      <c r="D12" s="117" t="inlineStr">
        <is>
          <t>G3</t>
        </is>
      </c>
      <c r="E12" s="165" t="inlineStr">
        <is>
          <t>COMPLETO</t>
        </is>
      </c>
      <c r="F12" s="118" t="n">
        <v>789.72</v>
      </c>
      <c r="G12" s="117" t="inlineStr">
        <is>
          <t>2026-03-30</t>
        </is>
      </c>
      <c r="H12" s="118" t="n">
        <v>1052.96</v>
      </c>
      <c r="I12" s="118" t="n">
        <v>1274.08</v>
      </c>
      <c r="J12" s="117" t="inlineStr">
        <is>
          <t>2026-05-07</t>
        </is>
      </c>
      <c r="K12" s="118" t="n">
        <v>263.24</v>
      </c>
      <c r="L12" s="119" t="n">
        <v>25</v>
      </c>
      <c r="M12" s="119" t="n">
        <v>33.33333333333333</v>
      </c>
      <c r="N12" s="121" t="n"/>
      <c r="O12" s="121" t="n"/>
      <c r="P12" s="166" t="inlineStr"/>
      <c r="Q12" s="167" t="inlineStr"/>
    </row>
    <row r="13">
      <c r="A13" s="122" t="inlineStr">
        <is>
          <t>Balliu</t>
        </is>
      </c>
      <c r="B13" s="122" t="inlineStr">
        <is>
          <t>Atlanta Mesa</t>
        </is>
      </c>
      <c r="C13" s="122" t="inlineStr">
        <is>
          <t>200/260X100 Extensible</t>
        </is>
      </c>
      <c r="D13" s="123" t="inlineStr">
        <is>
          <t>G3</t>
        </is>
      </c>
      <c r="E13" s="168" t="inlineStr">
        <is>
          <t>COMPLETO</t>
        </is>
      </c>
      <c r="F13" s="124" t="n">
        <v>1035.01</v>
      </c>
      <c r="G13" s="123" t="inlineStr">
        <is>
          <t>2026-03-30</t>
        </is>
      </c>
      <c r="H13" s="124" t="n">
        <v>1380.01</v>
      </c>
      <c r="I13" s="124" t="n">
        <v>1669.81</v>
      </c>
      <c r="J13" s="123" t="inlineStr">
        <is>
          <t>2026-05-07</t>
        </is>
      </c>
      <c r="K13" s="124" t="n">
        <v>345</v>
      </c>
      <c r="L13" s="125" t="n">
        <v>24.99981884189245</v>
      </c>
      <c r="M13" s="125" t="n">
        <v>33.33301127525338</v>
      </c>
      <c r="N13" s="127" t="n"/>
      <c r="O13" s="127" t="n"/>
      <c r="P13" s="169" t="inlineStr"/>
      <c r="Q13" s="170" t="inlineStr"/>
    </row>
    <row r="14">
      <c r="A14" s="116" t="inlineStr">
        <is>
          <t>Balliu</t>
        </is>
      </c>
      <c r="B14" s="116" t="inlineStr">
        <is>
          <t>Aura Cama Balinesa</t>
        </is>
      </c>
      <c r="C14" s="116" t="inlineStr">
        <is>
          <t>Tela Nautica</t>
        </is>
      </c>
      <c r="D14" s="117" t="inlineStr">
        <is>
          <t>G2</t>
        </is>
      </c>
      <c r="E14" s="165" t="inlineStr">
        <is>
          <t>COMPLETO</t>
        </is>
      </c>
      <c r="F14" s="118" t="n">
        <v>1073.61</v>
      </c>
      <c r="G14" s="117" t="inlineStr">
        <is>
          <t>2026-03-30</t>
        </is>
      </c>
      <c r="H14" s="118" t="n">
        <v>1651.71</v>
      </c>
      <c r="I14" s="118" t="n">
        <v>1998.57</v>
      </c>
      <c r="J14" s="117" t="inlineStr">
        <is>
          <t>2026-05-07</t>
        </is>
      </c>
      <c r="K14" s="118" t="n">
        <v>578.1000000000001</v>
      </c>
      <c r="L14" s="119" t="n">
        <v>35.00009081497357</v>
      </c>
      <c r="M14" s="119" t="n">
        <v>53.84636879313719</v>
      </c>
      <c r="N14" s="121" t="n"/>
      <c r="O14" s="121" t="n"/>
      <c r="P14" s="166" t="inlineStr"/>
      <c r="Q14" s="167" t="inlineStr"/>
    </row>
    <row r="15">
      <c r="A15" s="122" t="inlineStr">
        <is>
          <t>Balliu</t>
        </is>
      </c>
      <c r="B15" s="122" t="inlineStr">
        <is>
          <t>Base Hormigón</t>
        </is>
      </c>
      <c r="C15" s="122" t="inlineStr">
        <is>
          <t>25 Kg</t>
        </is>
      </c>
      <c r="D15" s="123" t="inlineStr">
        <is>
          <t>G2</t>
        </is>
      </c>
      <c r="E15" s="168" t="inlineStr">
        <is>
          <t>COMPLETO</t>
        </is>
      </c>
      <c r="F15" s="124" t="n">
        <v>54.88</v>
      </c>
      <c r="G15" s="123" t="inlineStr">
        <is>
          <t>2026-03-30</t>
        </is>
      </c>
      <c r="H15" s="124" t="n">
        <v>84.43000000000001</v>
      </c>
      <c r="I15" s="124" t="n">
        <v>102.16</v>
      </c>
      <c r="J15" s="123" t="inlineStr">
        <is>
          <t>2026-05-07</t>
        </is>
      </c>
      <c r="K15" s="124" t="n">
        <v>29.55</v>
      </c>
      <c r="L15" s="125" t="n">
        <v>34.99940779343835</v>
      </c>
      <c r="M15" s="125" t="n">
        <v>53.84475218658893</v>
      </c>
      <c r="N15" s="127" t="n"/>
      <c r="O15" s="127" t="n"/>
      <c r="P15" s="169" t="inlineStr"/>
      <c r="Q15" s="170" t="inlineStr"/>
    </row>
    <row r="16">
      <c r="A16" s="116" t="inlineStr">
        <is>
          <t>Balliu</t>
        </is>
      </c>
      <c r="B16" s="116" t="inlineStr">
        <is>
          <t>Base Hormigón</t>
        </is>
      </c>
      <c r="C16" s="116" t="inlineStr">
        <is>
          <t>30 Kg</t>
        </is>
      </c>
      <c r="D16" s="117" t="inlineStr">
        <is>
          <t>G2</t>
        </is>
      </c>
      <c r="E16" s="165" t="inlineStr">
        <is>
          <t>COMPLETO</t>
        </is>
      </c>
      <c r="F16" s="118" t="n">
        <v>27.52</v>
      </c>
      <c r="G16" s="117" t="inlineStr">
        <is>
          <t>2026-03-30</t>
        </is>
      </c>
      <c r="H16" s="118" t="n">
        <v>42.34</v>
      </c>
      <c r="I16" s="118" t="n">
        <v>51.23</v>
      </c>
      <c r="J16" s="117" t="inlineStr">
        <is>
          <t>2026-05-07</t>
        </is>
      </c>
      <c r="K16" s="118" t="n">
        <v>14.82</v>
      </c>
      <c r="L16" s="119" t="n">
        <v>35.00236183278225</v>
      </c>
      <c r="M16" s="119" t="n">
        <v>53.85174418604652</v>
      </c>
      <c r="N16" s="121" t="n"/>
      <c r="O16" s="121" t="n"/>
      <c r="P16" s="166" t="inlineStr"/>
      <c r="Q16" s="167" t="inlineStr"/>
    </row>
    <row r="17">
      <c r="A17" s="122" t="inlineStr">
        <is>
          <t>Balliu</t>
        </is>
      </c>
      <c r="B17" s="122" t="inlineStr">
        <is>
          <t>Bcn Mesa</t>
        </is>
      </c>
      <c r="C17" s="122" t="inlineStr">
        <is>
          <t>Color Blanco</t>
        </is>
      </c>
      <c r="D17" s="123" t="inlineStr">
        <is>
          <t>G1</t>
        </is>
      </c>
      <c r="E17" s="168" t="inlineStr">
        <is>
          <t>COMPLETO</t>
        </is>
      </c>
      <c r="F17" s="124" t="n">
        <v>18.44</v>
      </c>
      <c r="G17" s="123" t="inlineStr">
        <is>
          <t>2026-03-30</t>
        </is>
      </c>
      <c r="H17" s="124" t="n">
        <v>29.74</v>
      </c>
      <c r="I17" s="124" t="n">
        <v>35.99</v>
      </c>
      <c r="J17" s="123" t="inlineStr">
        <is>
          <t>2026-05-07</t>
        </is>
      </c>
      <c r="K17" s="124" t="n">
        <v>11.3</v>
      </c>
      <c r="L17" s="125" t="n">
        <v>37.99596503026226</v>
      </c>
      <c r="M17" s="125" t="n">
        <v>61.27982646420822</v>
      </c>
      <c r="N17" s="127" t="n"/>
      <c r="O17" s="127" t="n"/>
      <c r="P17" s="169" t="inlineStr"/>
      <c r="Q17" s="170" t="inlineStr"/>
    </row>
    <row r="18">
      <c r="A18" s="116" t="inlineStr">
        <is>
          <t>Balliu</t>
        </is>
      </c>
      <c r="B18" s="116" t="inlineStr">
        <is>
          <t>Bcn Mesa</t>
        </is>
      </c>
      <c r="C18" s="116" t="inlineStr">
        <is>
          <t>Color Natural/Prestige</t>
        </is>
      </c>
      <c r="D18" s="117" t="inlineStr">
        <is>
          <t>G1</t>
        </is>
      </c>
      <c r="E18" s="165" t="inlineStr">
        <is>
          <t>COMPLETO</t>
        </is>
      </c>
      <c r="F18" s="118" t="n">
        <v>19.36</v>
      </c>
      <c r="G18" s="117" t="inlineStr">
        <is>
          <t>2026-03-30</t>
        </is>
      </c>
      <c r="H18" s="118" t="n">
        <v>31.23</v>
      </c>
      <c r="I18" s="118" t="n">
        <v>37.79</v>
      </c>
      <c r="J18" s="117" t="inlineStr">
        <is>
          <t>2026-05-07</t>
        </is>
      </c>
      <c r="K18" s="118" t="n">
        <v>11.87</v>
      </c>
      <c r="L18" s="119" t="n">
        <v>38.00832532821006</v>
      </c>
      <c r="M18" s="119" t="n">
        <v>61.31198347107438</v>
      </c>
      <c r="N18" s="121" t="n"/>
      <c r="O18" s="121" t="n"/>
      <c r="P18" s="166" t="inlineStr"/>
      <c r="Q18" s="167" t="inlineStr"/>
    </row>
    <row r="19">
      <c r="A19" s="122" t="inlineStr">
        <is>
          <t>Balliu</t>
        </is>
      </c>
      <c r="B19" s="122" t="inlineStr">
        <is>
          <t>Bimba Silla</t>
        </is>
      </c>
      <c r="C19" s="122" t="inlineStr">
        <is>
          <t>Blanca (#1)</t>
        </is>
      </c>
      <c r="D19" s="123" t="inlineStr">
        <is>
          <t>G2</t>
        </is>
      </c>
      <c r="E19" s="168" t="inlineStr">
        <is>
          <t>COMPLETO</t>
        </is>
      </c>
      <c r="F19" s="124" t="n">
        <v>41.58</v>
      </c>
      <c r="G19" s="123" t="inlineStr">
        <is>
          <t>2026-03-30</t>
        </is>
      </c>
      <c r="H19" s="124" t="n">
        <v>63.96</v>
      </c>
      <c r="I19" s="124" t="n">
        <v>77.39</v>
      </c>
      <c r="J19" s="123" t="inlineStr">
        <is>
          <t>2026-05-07</t>
        </is>
      </c>
      <c r="K19" s="124" t="n">
        <v>22.38</v>
      </c>
      <c r="L19" s="125" t="n">
        <v>34.9906191369606</v>
      </c>
      <c r="M19" s="125" t="n">
        <v>53.82395382395383</v>
      </c>
      <c r="N19" s="127" t="n"/>
      <c r="O19" s="127" t="n"/>
      <c r="P19" s="169" t="inlineStr"/>
      <c r="Q19" s="170" t="inlineStr"/>
    </row>
    <row r="20">
      <c r="A20" s="116" t="inlineStr">
        <is>
          <t>Balliu</t>
        </is>
      </c>
      <c r="B20" s="116" t="inlineStr">
        <is>
          <t>Bimba Silla</t>
        </is>
      </c>
      <c r="C20" s="116" t="inlineStr">
        <is>
          <t>Blanca (#2)</t>
        </is>
      </c>
      <c r="D20" s="117" t="inlineStr">
        <is>
          <t>G2</t>
        </is>
      </c>
      <c r="E20" s="165" t="inlineStr">
        <is>
          <t>COMPLETO</t>
        </is>
      </c>
      <c r="F20" s="118" t="n">
        <v>54.81</v>
      </c>
      <c r="G20" s="117" t="inlineStr">
        <is>
          <t>2026-03-30</t>
        </is>
      </c>
      <c r="H20" s="118" t="n">
        <v>84.31999999999999</v>
      </c>
      <c r="I20" s="118" t="n">
        <v>102.03</v>
      </c>
      <c r="J20" s="117" t="inlineStr">
        <is>
          <t>2026-05-07</t>
        </is>
      </c>
      <c r="K20" s="118" t="n">
        <v>29.50999999999999</v>
      </c>
      <c r="L20" s="119" t="n">
        <v>34.99762808349146</v>
      </c>
      <c r="M20" s="119" t="n">
        <v>53.84054004743658</v>
      </c>
      <c r="N20" s="121" t="n"/>
      <c r="O20" s="121" t="n"/>
      <c r="P20" s="166" t="inlineStr"/>
      <c r="Q20" s="167" t="inlineStr"/>
    </row>
    <row r="21">
      <c r="A21" s="122" t="inlineStr">
        <is>
          <t>Balliu</t>
        </is>
      </c>
      <c r="B21" s="122" t="inlineStr">
        <is>
          <t>Bimba Silla</t>
        </is>
      </c>
      <c r="C21" s="122" t="inlineStr">
        <is>
          <t>Color negro / Tortora</t>
        </is>
      </c>
      <c r="D21" s="123" t="inlineStr">
        <is>
          <t>G2</t>
        </is>
      </c>
      <c r="E21" s="168" t="inlineStr">
        <is>
          <t>COMPLETO</t>
        </is>
      </c>
      <c r="F21" s="124" t="n">
        <v>43.92</v>
      </c>
      <c r="G21" s="123" t="inlineStr">
        <is>
          <t>2026-03-30</t>
        </is>
      </c>
      <c r="H21" s="124" t="n">
        <v>67.56999999999999</v>
      </c>
      <c r="I21" s="124" t="n">
        <v>81.76000000000001</v>
      </c>
      <c r="J21" s="123" t="inlineStr">
        <is>
          <t>2026-05-07</t>
        </is>
      </c>
      <c r="K21" s="124" t="n">
        <v>23.64999999999999</v>
      </c>
      <c r="L21" s="125" t="n">
        <v>35.00073997336095</v>
      </c>
      <c r="M21" s="125" t="n">
        <v>53.84790528233149</v>
      </c>
      <c r="N21" s="127" t="n"/>
      <c r="O21" s="127" t="n"/>
      <c r="P21" s="169" t="inlineStr"/>
      <c r="Q21" s="170" t="inlineStr"/>
    </row>
    <row r="22">
      <c r="A22" s="116" t="inlineStr">
        <is>
          <t>Balliu</t>
        </is>
      </c>
      <c r="B22" s="116" t="inlineStr">
        <is>
          <t>Bimba Silla</t>
        </is>
      </c>
      <c r="C22" s="116" t="inlineStr">
        <is>
          <t>Negra</t>
        </is>
      </c>
      <c r="D22" s="117" t="inlineStr">
        <is>
          <t>G2</t>
        </is>
      </c>
      <c r="E22" s="165" t="inlineStr">
        <is>
          <t>COMPLETO</t>
        </is>
      </c>
      <c r="F22" s="118" t="n">
        <v>55.63</v>
      </c>
      <c r="G22" s="117" t="inlineStr">
        <is>
          <t>2026-03-30</t>
        </is>
      </c>
      <c r="H22" s="118" t="n">
        <v>85.59</v>
      </c>
      <c r="I22" s="118" t="n">
        <v>103.56</v>
      </c>
      <c r="J22" s="117" t="inlineStr">
        <is>
          <t>2026-05-07</t>
        </is>
      </c>
      <c r="K22" s="118" t="n">
        <v>29.96</v>
      </c>
      <c r="L22" s="119" t="n">
        <v>35.00408926276435</v>
      </c>
      <c r="M22" s="119" t="n">
        <v>53.85583318353406</v>
      </c>
      <c r="N22" s="121" t="n"/>
      <c r="O22" s="121" t="n"/>
      <c r="P22" s="166" t="inlineStr"/>
      <c r="Q22" s="167" t="inlineStr"/>
    </row>
    <row r="23">
      <c r="A23" s="122" t="inlineStr">
        <is>
          <t>Balliu</t>
        </is>
      </c>
      <c r="B23" s="122" t="inlineStr">
        <is>
          <t>Bristol Mini Tumbona</t>
        </is>
      </c>
      <c r="C23" s="122" t="inlineStr">
        <is>
          <t>Mini Tumbona Bristol (Con cojín)</t>
        </is>
      </c>
      <c r="D23" s="123" t="inlineStr">
        <is>
          <t>G2</t>
        </is>
      </c>
      <c r="E23" s="168" t="inlineStr">
        <is>
          <t>COMPLETO</t>
        </is>
      </c>
      <c r="F23" s="124" t="n">
        <v>139.67</v>
      </c>
      <c r="G23" s="123" t="inlineStr">
        <is>
          <t>2026-03-30</t>
        </is>
      </c>
      <c r="H23" s="124" t="n">
        <v>251.66</v>
      </c>
      <c r="I23" s="124" t="n">
        <v>304.51</v>
      </c>
      <c r="J23" s="123" t="inlineStr">
        <is>
          <t>2026-05-07</t>
        </is>
      </c>
      <c r="K23" s="124" t="n">
        <v>111.99</v>
      </c>
      <c r="L23" s="125" t="n">
        <v>44.50051656997537</v>
      </c>
      <c r="M23" s="125" t="n">
        <v>80.18185723491088</v>
      </c>
      <c r="N23" s="127" t="n"/>
      <c r="O23" s="127" t="n"/>
      <c r="P23" s="169" t="inlineStr"/>
      <c r="Q23" s="170" t="inlineStr"/>
    </row>
    <row r="24">
      <c r="A24" s="116" t="inlineStr">
        <is>
          <t>Balliu</t>
        </is>
      </c>
      <c r="B24" s="116" t="inlineStr">
        <is>
          <t>Bruna Silla</t>
        </is>
      </c>
      <c r="C24" s="116" t="inlineStr">
        <is>
          <t>Con Brazos</t>
        </is>
      </c>
      <c r="D24" s="117" t="inlineStr">
        <is>
          <t>G3</t>
        </is>
      </c>
      <c r="E24" s="165" t="inlineStr">
        <is>
          <t>COMPLETO</t>
        </is>
      </c>
      <c r="F24" s="118" t="n">
        <v>52.19</v>
      </c>
      <c r="G24" s="117" t="inlineStr">
        <is>
          <t>2026-03-30</t>
        </is>
      </c>
      <c r="H24" s="118" t="n">
        <v>69.58</v>
      </c>
      <c r="I24" s="118" t="n">
        <v>84.19</v>
      </c>
      <c r="J24" s="117" t="inlineStr">
        <is>
          <t>2026-05-07</t>
        </is>
      </c>
      <c r="K24" s="118" t="n">
        <v>17.39</v>
      </c>
      <c r="L24" s="119" t="n">
        <v>24.99281402701926</v>
      </c>
      <c r="M24" s="119" t="n">
        <v>33.32055949415597</v>
      </c>
      <c r="N24" s="121" t="n"/>
      <c r="O24" s="121" t="n"/>
      <c r="P24" s="166" t="inlineStr"/>
      <c r="Q24" s="167" t="inlineStr"/>
    </row>
    <row r="25">
      <c r="A25" s="122" t="inlineStr">
        <is>
          <t>Balliu</t>
        </is>
      </c>
      <c r="B25" s="122" t="inlineStr">
        <is>
          <t>Bruna Silla</t>
        </is>
      </c>
      <c r="C25" s="122" t="inlineStr">
        <is>
          <t>Sin Brazos</t>
        </is>
      </c>
      <c r="D25" s="123" t="inlineStr">
        <is>
          <t>G3</t>
        </is>
      </c>
      <c r="E25" s="168" t="inlineStr">
        <is>
          <t>COMPLETO</t>
        </is>
      </c>
      <c r="F25" s="124" t="n">
        <v>43.89</v>
      </c>
      <c r="G25" s="123" t="inlineStr">
        <is>
          <t>2026-03-30</t>
        </is>
      </c>
      <c r="H25" s="124" t="n">
        <v>58.52</v>
      </c>
      <c r="I25" s="124" t="n">
        <v>70.81</v>
      </c>
      <c r="J25" s="123" t="inlineStr">
        <is>
          <t>2026-05-07</t>
        </is>
      </c>
      <c r="K25" s="124" t="n">
        <v>14.63</v>
      </c>
      <c r="L25" s="125" t="n">
        <v>25.00000000000001</v>
      </c>
      <c r="M25" s="125" t="n">
        <v>33.33333333333334</v>
      </c>
      <c r="N25" s="127" t="n"/>
      <c r="O25" s="127" t="n"/>
      <c r="P25" s="169" t="inlineStr"/>
      <c r="Q25" s="170" t="inlineStr"/>
    </row>
    <row r="26">
      <c r="A26" s="116" t="inlineStr">
        <is>
          <t>Balliu</t>
        </is>
      </c>
      <c r="B26" s="116" t="inlineStr">
        <is>
          <t>Brunei Mesa</t>
        </is>
      </c>
      <c r="C26" s="116" t="inlineStr">
        <is>
          <t>130X80 Tablero Hpl</t>
        </is>
      </c>
      <c r="D26" s="117" t="inlineStr">
        <is>
          <t>G2</t>
        </is>
      </c>
      <c r="E26" s="165" t="inlineStr">
        <is>
          <t>COMPLETO</t>
        </is>
      </c>
      <c r="F26" s="118" t="n">
        <v>342.68</v>
      </c>
      <c r="G26" s="117" t="inlineStr">
        <is>
          <t>2026-03-30</t>
        </is>
      </c>
      <c r="H26" s="118" t="n">
        <v>527.21</v>
      </c>
      <c r="I26" s="118" t="n">
        <v>637.92</v>
      </c>
      <c r="J26" s="117" t="inlineStr">
        <is>
          <t>2026-05-07</t>
        </is>
      </c>
      <c r="K26" s="118" t="n">
        <v>184.53</v>
      </c>
      <c r="L26" s="119" t="n">
        <v>35.00123290529391</v>
      </c>
      <c r="M26" s="119" t="n">
        <v>53.84907202054395</v>
      </c>
      <c r="N26" s="121" t="n"/>
      <c r="O26" s="121" t="n"/>
      <c r="P26" s="166" t="inlineStr"/>
      <c r="Q26" s="167" t="inlineStr"/>
    </row>
    <row r="27">
      <c r="A27" s="122" t="inlineStr">
        <is>
          <t>Balliu</t>
        </is>
      </c>
      <c r="B27" s="122" t="inlineStr">
        <is>
          <t>Brunei Mesa</t>
        </is>
      </c>
      <c r="C27" s="122" t="inlineStr">
        <is>
          <t>130X80 Tablero Hpl Gd</t>
        </is>
      </c>
      <c r="D27" s="123" t="inlineStr">
        <is>
          <t>G2</t>
        </is>
      </c>
      <c r="E27" s="168" t="inlineStr">
        <is>
          <t>COMPLETO</t>
        </is>
      </c>
      <c r="F27" s="124" t="n">
        <v>396.09</v>
      </c>
      <c r="G27" s="123" t="inlineStr">
        <is>
          <t>2026-03-30</t>
        </is>
      </c>
      <c r="H27" s="124" t="n">
        <v>609.37</v>
      </c>
      <c r="I27" s="124" t="n">
        <v>737.34</v>
      </c>
      <c r="J27" s="123" t="inlineStr">
        <is>
          <t>2026-05-07</t>
        </is>
      </c>
      <c r="K27" s="124" t="n">
        <v>213.28</v>
      </c>
      <c r="L27" s="125" t="n">
        <v>35.0000820519553</v>
      </c>
      <c r="M27" s="125" t="n">
        <v>53.84634805221037</v>
      </c>
      <c r="N27" s="127" t="n"/>
      <c r="O27" s="127" t="n"/>
      <c r="P27" s="169" t="inlineStr"/>
      <c r="Q27" s="170" t="inlineStr"/>
    </row>
    <row r="28">
      <c r="A28" s="116" t="inlineStr">
        <is>
          <t>Balliu</t>
        </is>
      </c>
      <c r="B28" s="116" t="inlineStr">
        <is>
          <t>Brunei Mesa</t>
        </is>
      </c>
      <c r="C28" s="116" t="inlineStr">
        <is>
          <t>160X90 Tablero Hpl</t>
        </is>
      </c>
      <c r="D28" s="117" t="inlineStr">
        <is>
          <t>G2</t>
        </is>
      </c>
      <c r="E28" s="165" t="inlineStr">
        <is>
          <t>COMPLETO</t>
        </is>
      </c>
      <c r="F28" s="118" t="n">
        <v>412.95</v>
      </c>
      <c r="G28" s="117" t="inlineStr">
        <is>
          <t>2026-03-30</t>
        </is>
      </c>
      <c r="H28" s="118" t="n">
        <v>635.3200000000001</v>
      </c>
      <c r="I28" s="118" t="n">
        <v>768.74</v>
      </c>
      <c r="J28" s="117" t="inlineStr">
        <is>
          <t>2026-05-07</t>
        </is>
      </c>
      <c r="K28" s="118" t="n">
        <v>222.3700000000001</v>
      </c>
      <c r="L28" s="119" t="n">
        <v>35.0012592079582</v>
      </c>
      <c r="M28" s="119" t="n">
        <v>53.84913427775761</v>
      </c>
      <c r="N28" s="121" t="n"/>
      <c r="O28" s="121" t="n"/>
      <c r="P28" s="166" t="inlineStr"/>
      <c r="Q28" s="167" t="inlineStr"/>
    </row>
    <row r="29">
      <c r="A29" s="122" t="inlineStr">
        <is>
          <t>Balliu</t>
        </is>
      </c>
      <c r="B29" s="122" t="inlineStr">
        <is>
          <t>Brunei Mesa</t>
        </is>
      </c>
      <c r="C29" s="122" t="inlineStr">
        <is>
          <t>160X90 Tablero Hpl Gd</t>
        </is>
      </c>
      <c r="D29" s="123" t="inlineStr">
        <is>
          <t>G2</t>
        </is>
      </c>
      <c r="E29" s="168" t="inlineStr">
        <is>
          <t>COMPLETO</t>
        </is>
      </c>
      <c r="F29" s="124" t="n">
        <v>479.59</v>
      </c>
      <c r="G29" s="123" t="inlineStr">
        <is>
          <t>2026-03-30</t>
        </is>
      </c>
      <c r="H29" s="124" t="n">
        <v>737.84</v>
      </c>
      <c r="I29" s="124" t="n">
        <v>892.79</v>
      </c>
      <c r="J29" s="123" t="inlineStr">
        <is>
          <t>2026-05-07</t>
        </is>
      </c>
      <c r="K29" s="124" t="n">
        <v>258.2500000000001</v>
      </c>
      <c r="L29" s="125" t="n">
        <v>35.00081318443024</v>
      </c>
      <c r="M29" s="125" t="n">
        <v>53.84807856710943</v>
      </c>
      <c r="N29" s="127" t="n"/>
      <c r="O29" s="127" t="n"/>
      <c r="P29" s="169" t="inlineStr"/>
      <c r="Q29" s="170" t="inlineStr"/>
    </row>
    <row r="30">
      <c r="A30" s="116" t="inlineStr">
        <is>
          <t>Balliu</t>
        </is>
      </c>
      <c r="B30" s="116" t="inlineStr">
        <is>
          <t>Brunei Mesa</t>
        </is>
      </c>
      <c r="C30" s="116" t="inlineStr">
        <is>
          <t>190X90 Tablero Hpl</t>
        </is>
      </c>
      <c r="D30" s="117" t="inlineStr">
        <is>
          <t>G2</t>
        </is>
      </c>
      <c r="E30" s="165" t="inlineStr">
        <is>
          <t>COMPLETO</t>
        </is>
      </c>
      <c r="F30" s="118" t="n">
        <v>506.65</v>
      </c>
      <c r="G30" s="117" t="inlineStr">
        <is>
          <t>2026-03-30</t>
        </is>
      </c>
      <c r="H30" s="118" t="n">
        <v>779.46</v>
      </c>
      <c r="I30" s="118" t="n">
        <v>943.15</v>
      </c>
      <c r="J30" s="117" t="inlineStr">
        <is>
          <t>2026-05-07</t>
        </is>
      </c>
      <c r="K30" s="118" t="n">
        <v>272.8100000000001</v>
      </c>
      <c r="L30" s="119" t="n">
        <v>34.99987170605291</v>
      </c>
      <c r="M30" s="119" t="n">
        <v>53.84585019244056</v>
      </c>
      <c r="N30" s="121" t="n"/>
      <c r="O30" s="121" t="n"/>
      <c r="P30" s="166" t="inlineStr"/>
      <c r="Q30" s="167" t="inlineStr"/>
    </row>
    <row r="31">
      <c r="A31" s="122" t="inlineStr">
        <is>
          <t>Balliu</t>
        </is>
      </c>
      <c r="B31" s="122" t="inlineStr">
        <is>
          <t>Brunei Mesa</t>
        </is>
      </c>
      <c r="C31" s="122" t="inlineStr">
        <is>
          <t>190X90 Tablero Hpl Gd</t>
        </is>
      </c>
      <c r="D31" s="123" t="inlineStr">
        <is>
          <t>G2</t>
        </is>
      </c>
      <c r="E31" s="168" t="inlineStr">
        <is>
          <t>COMPLETO</t>
        </is>
      </c>
      <c r="F31" s="124" t="n">
        <v>603.5</v>
      </c>
      <c r="G31" s="123" t="inlineStr">
        <is>
          <t>2026-03-30</t>
        </is>
      </c>
      <c r="H31" s="124" t="n">
        <v>928.47</v>
      </c>
      <c r="I31" s="124" t="n">
        <v>1123.45</v>
      </c>
      <c r="J31" s="123" t="inlineStr">
        <is>
          <t>2026-05-07</t>
        </is>
      </c>
      <c r="K31" s="124" t="n">
        <v>324.97</v>
      </c>
      <c r="L31" s="125" t="n">
        <v>35.00059237239761</v>
      </c>
      <c r="M31" s="125" t="n">
        <v>53.84755592377797</v>
      </c>
      <c r="N31" s="127" t="n"/>
      <c r="O31" s="127" t="n"/>
      <c r="P31" s="169" t="inlineStr"/>
      <c r="Q31" s="170" t="inlineStr"/>
    </row>
    <row r="32">
      <c r="A32" s="116" t="inlineStr">
        <is>
          <t>Balliu</t>
        </is>
      </c>
      <c r="B32" s="116" t="inlineStr">
        <is>
          <t>Brunei Mesa</t>
        </is>
      </c>
      <c r="C32" s="116" t="inlineStr">
        <is>
          <t>240X90 Tablero Hpl</t>
        </is>
      </c>
      <c r="D32" s="117" t="inlineStr">
        <is>
          <t>G2</t>
        </is>
      </c>
      <c r="E32" s="165" t="inlineStr">
        <is>
          <t>COMPLETO</t>
        </is>
      </c>
      <c r="F32" s="118" t="n">
        <v>689</v>
      </c>
      <c r="G32" s="117" t="inlineStr">
        <is>
          <t>2026-03-30</t>
        </is>
      </c>
      <c r="H32" s="118" t="n">
        <v>1060</v>
      </c>
      <c r="I32" s="118" t="n">
        <v>1282.6</v>
      </c>
      <c r="J32" s="117" t="inlineStr">
        <is>
          <t>2026-05-07</t>
        </is>
      </c>
      <c r="K32" s="118" t="n">
        <v>371</v>
      </c>
      <c r="L32" s="119" t="n">
        <v>35</v>
      </c>
      <c r="M32" s="119" t="n">
        <v>53.84615384615385</v>
      </c>
      <c r="N32" s="121" t="n"/>
      <c r="O32" s="121" t="n"/>
      <c r="P32" s="166" t="inlineStr"/>
      <c r="Q32" s="167" t="inlineStr"/>
    </row>
    <row r="33">
      <c r="A33" s="122" t="inlineStr">
        <is>
          <t>Balliu</t>
        </is>
      </c>
      <c r="B33" s="122" t="inlineStr">
        <is>
          <t>Brunei Mesa</t>
        </is>
      </c>
      <c r="C33" s="122" t="inlineStr">
        <is>
          <t>240X90 Tablero Hpl Gd</t>
        </is>
      </c>
      <c r="D33" s="123" t="inlineStr">
        <is>
          <t>G2</t>
        </is>
      </c>
      <c r="E33" s="168" t="inlineStr">
        <is>
          <t>COMPLETO</t>
        </is>
      </c>
      <c r="F33" s="124" t="n">
        <v>694.04</v>
      </c>
      <c r="G33" s="123" t="inlineStr">
        <is>
          <t>2026-03-30</t>
        </is>
      </c>
      <c r="H33" s="124" t="n">
        <v>1067.75</v>
      </c>
      <c r="I33" s="124" t="n">
        <v>1291.98</v>
      </c>
      <c r="J33" s="123" t="inlineStr">
        <is>
          <t>2026-05-07</t>
        </is>
      </c>
      <c r="K33" s="124" t="n">
        <v>373.71</v>
      </c>
      <c r="L33" s="125" t="n">
        <v>34.9997658627956</v>
      </c>
      <c r="M33" s="125" t="n">
        <v>53.84559967725204</v>
      </c>
      <c r="N33" s="127" t="n"/>
      <c r="O33" s="127" t="n"/>
      <c r="P33" s="169" t="inlineStr"/>
      <c r="Q33" s="170" t="inlineStr"/>
    </row>
    <row r="34">
      <c r="A34" s="116" t="inlineStr">
        <is>
          <t>Balliu</t>
        </is>
      </c>
      <c r="B34" s="116" t="inlineStr">
        <is>
          <t>Brunei Mesa</t>
        </is>
      </c>
      <c r="C34" s="116" t="inlineStr">
        <is>
          <t>80X80 Tablero Hpl</t>
        </is>
      </c>
      <c r="D34" s="117" t="inlineStr">
        <is>
          <t>G2</t>
        </is>
      </c>
      <c r="E34" s="165" t="inlineStr">
        <is>
          <t>COMPLETO</t>
        </is>
      </c>
      <c r="F34" s="118" t="n">
        <v>257.19</v>
      </c>
      <c r="G34" s="117" t="inlineStr">
        <is>
          <t>2026-03-30</t>
        </is>
      </c>
      <c r="H34" s="118" t="n">
        <v>395.68</v>
      </c>
      <c r="I34" s="118" t="n">
        <v>478.77</v>
      </c>
      <c r="J34" s="117" t="inlineStr">
        <is>
          <t>2026-05-07</t>
        </is>
      </c>
      <c r="K34" s="118" t="n">
        <v>138.49</v>
      </c>
      <c r="L34" s="119" t="n">
        <v>35.00050545895673</v>
      </c>
      <c r="M34" s="119" t="n">
        <v>53.84735020801742</v>
      </c>
      <c r="N34" s="121" t="n"/>
      <c r="O34" s="121" t="n"/>
      <c r="P34" s="166" t="inlineStr"/>
      <c r="Q34" s="167" t="inlineStr"/>
    </row>
    <row r="35">
      <c r="A35" s="122" t="inlineStr">
        <is>
          <t>Balliu</t>
        </is>
      </c>
      <c r="B35" s="122" t="inlineStr">
        <is>
          <t>Brunei Mesa</t>
        </is>
      </c>
      <c r="C35" s="122" t="inlineStr">
        <is>
          <t>80X80 Tablero Hpl Gd</t>
        </is>
      </c>
      <c r="D35" s="123" t="inlineStr">
        <is>
          <t>G2</t>
        </is>
      </c>
      <c r="E35" s="168" t="inlineStr">
        <is>
          <t>COMPLETO</t>
        </is>
      </c>
      <c r="F35" s="124" t="n">
        <v>290.22</v>
      </c>
      <c r="G35" s="123" t="inlineStr">
        <is>
          <t>2026-03-30</t>
        </is>
      </c>
      <c r="H35" s="124" t="n">
        <v>446.49</v>
      </c>
      <c r="I35" s="124" t="n">
        <v>540.25</v>
      </c>
      <c r="J35" s="123" t="inlineStr">
        <is>
          <t>2026-05-07</t>
        </is>
      </c>
      <c r="K35" s="124" t="n">
        <v>156.27</v>
      </c>
      <c r="L35" s="125" t="n">
        <v>34.99966404622724</v>
      </c>
      <c r="M35" s="125" t="n">
        <v>53.84535869340499</v>
      </c>
      <c r="N35" s="127" t="n"/>
      <c r="O35" s="127" t="n"/>
      <c r="P35" s="169" t="inlineStr"/>
      <c r="Q35" s="170" t="inlineStr"/>
    </row>
    <row r="36">
      <c r="A36" s="116" t="inlineStr">
        <is>
          <t>Balliu</t>
        </is>
      </c>
      <c r="B36" s="116" t="inlineStr">
        <is>
          <t>Caja Seguridad</t>
        </is>
      </c>
      <c r="C36" s="116" t="inlineStr">
        <is>
          <t>Weguard</t>
        </is>
      </c>
      <c r="D36" s="117" t="inlineStr">
        <is>
          <t>G1</t>
        </is>
      </c>
      <c r="E36" s="165" t="inlineStr">
        <is>
          <t>COMPLETO</t>
        </is>
      </c>
      <c r="F36" s="118" t="n">
        <v>34.61</v>
      </c>
      <c r="G36" s="117" t="inlineStr">
        <is>
          <t>2026-03-30</t>
        </is>
      </c>
      <c r="H36" s="118" t="n">
        <v>55.82</v>
      </c>
      <c r="I36" s="118" t="n">
        <v>67.54000000000001</v>
      </c>
      <c r="J36" s="117" t="inlineStr">
        <is>
          <t>2026-05-07</t>
        </is>
      </c>
      <c r="K36" s="118" t="n">
        <v>21.21</v>
      </c>
      <c r="L36" s="119" t="n">
        <v>37.99713364385525</v>
      </c>
      <c r="M36" s="119" t="n">
        <v>61.28286622363479</v>
      </c>
      <c r="N36" s="121" t="n"/>
      <c r="O36" s="121" t="n"/>
      <c r="P36" s="166" t="inlineStr"/>
      <c r="Q36" s="167" t="inlineStr"/>
    </row>
    <row r="37">
      <c r="A37" s="122" t="inlineStr">
        <is>
          <t>Balliu</t>
        </is>
      </c>
      <c r="B37" s="122" t="inlineStr">
        <is>
          <t>Cannes Mini Tumbona</t>
        </is>
      </c>
      <c r="C37" s="122" t="inlineStr">
        <is>
          <t>Mini Tumbona Cannes (Con cojin)</t>
        </is>
      </c>
      <c r="D37" s="123" t="inlineStr">
        <is>
          <t>G2</t>
        </is>
      </c>
      <c r="E37" s="168" t="inlineStr">
        <is>
          <t>COMPLETO</t>
        </is>
      </c>
      <c r="F37" s="124" t="n">
        <v>140.89</v>
      </c>
      <c r="G37" s="123" t="inlineStr">
        <is>
          <t>2026-03-30</t>
        </is>
      </c>
      <c r="H37" s="124" t="n">
        <v>216.76</v>
      </c>
      <c r="I37" s="124" t="n">
        <v>262.28</v>
      </c>
      <c r="J37" s="123" t="inlineStr">
        <is>
          <t>2026-05-07</t>
        </is>
      </c>
      <c r="K37" s="124" t="n">
        <v>75.87</v>
      </c>
      <c r="L37" s="125" t="n">
        <v>35.00184535892231</v>
      </c>
      <c r="M37" s="125" t="n">
        <v>53.85052168358294</v>
      </c>
      <c r="N37" s="127" t="n"/>
      <c r="O37" s="127" t="n"/>
      <c r="P37" s="169" t="inlineStr"/>
      <c r="Q37" s="170" t="inlineStr"/>
    </row>
    <row r="38">
      <c r="A38" s="116" t="inlineStr">
        <is>
          <t>Balliu</t>
        </is>
      </c>
      <c r="B38" s="116" t="inlineStr">
        <is>
          <t>Capri Mesa</t>
        </is>
      </c>
      <c r="C38" s="116" t="inlineStr">
        <is>
          <t>120X80 Pie Doble Tablero Hpl</t>
        </is>
      </c>
      <c r="D38" s="117" t="inlineStr">
        <is>
          <t>G2</t>
        </is>
      </c>
      <c r="E38" s="165" t="inlineStr">
        <is>
          <t>COMPLETO</t>
        </is>
      </c>
      <c r="F38" s="118" t="n">
        <v>285.53</v>
      </c>
      <c r="G38" s="117" t="inlineStr">
        <is>
          <t>2026-03-30</t>
        </is>
      </c>
      <c r="H38" s="118" t="n">
        <v>439.28</v>
      </c>
      <c r="I38" s="118" t="n">
        <v>531.53</v>
      </c>
      <c r="J38" s="117" t="inlineStr">
        <is>
          <t>2026-05-07</t>
        </is>
      </c>
      <c r="K38" s="118" t="n">
        <v>153.75</v>
      </c>
      <c r="L38" s="119" t="n">
        <v>35.00045529047532</v>
      </c>
      <c r="M38" s="119" t="n">
        <v>53.84723146429447</v>
      </c>
      <c r="N38" s="121" t="n"/>
      <c r="O38" s="121" t="n"/>
      <c r="P38" s="166" t="inlineStr"/>
      <c r="Q38" s="167" t="inlineStr"/>
    </row>
    <row r="39">
      <c r="A39" s="122" t="inlineStr">
        <is>
          <t>Balliu</t>
        </is>
      </c>
      <c r="B39" s="122" t="inlineStr">
        <is>
          <t>Capri Mesa</t>
        </is>
      </c>
      <c r="C39" s="122" t="inlineStr">
        <is>
          <t>120X80 Pie Doble Tablero Hpl Gd</t>
        </is>
      </c>
      <c r="D39" s="123" t="inlineStr">
        <is>
          <t>G2</t>
        </is>
      </c>
      <c r="E39" s="168" t="inlineStr">
        <is>
          <t>COMPLETO</t>
        </is>
      </c>
      <c r="F39" s="124" t="n">
        <v>334.63</v>
      </c>
      <c r="G39" s="123" t="inlineStr">
        <is>
          <t>2026-03-30</t>
        </is>
      </c>
      <c r="H39" s="124" t="n">
        <v>514.8200000000001</v>
      </c>
      <c r="I39" s="124" t="n">
        <v>622.9299999999999</v>
      </c>
      <c r="J39" s="123" t="inlineStr">
        <is>
          <t>2026-05-07</t>
        </is>
      </c>
      <c r="K39" s="124" t="n">
        <v>180.1900000000001</v>
      </c>
      <c r="L39" s="125" t="n">
        <v>35.00058272794375</v>
      </c>
      <c r="M39" s="125" t="n">
        <v>53.84753309625558</v>
      </c>
      <c r="N39" s="127" t="n"/>
      <c r="O39" s="127" t="n"/>
      <c r="P39" s="169" t="inlineStr"/>
      <c r="Q39" s="170" t="inlineStr"/>
    </row>
    <row r="40">
      <c r="A40" s="116" t="inlineStr">
        <is>
          <t>Balliu</t>
        </is>
      </c>
      <c r="B40" s="116" t="inlineStr">
        <is>
          <t>Capri Mesa</t>
        </is>
      </c>
      <c r="C40" s="116" t="inlineStr">
        <is>
          <t>120X80 Pie Doble alto Tablero Hpl</t>
        </is>
      </c>
      <c r="D40" s="117" t="inlineStr">
        <is>
          <t>G2</t>
        </is>
      </c>
      <c r="E40" s="165" t="inlineStr">
        <is>
          <t>COMPLETO</t>
        </is>
      </c>
      <c r="F40" s="118" t="n">
        <v>325.1</v>
      </c>
      <c r="G40" s="117" t="inlineStr">
        <is>
          <t>2026-03-30</t>
        </is>
      </c>
      <c r="H40" s="118" t="n">
        <v>500.15</v>
      </c>
      <c r="I40" s="118" t="n">
        <v>605.1799999999999</v>
      </c>
      <c r="J40" s="117" t="inlineStr">
        <is>
          <t>2026-05-07</t>
        </is>
      </c>
      <c r="K40" s="118" t="n">
        <v>175.05</v>
      </c>
      <c r="L40" s="119" t="n">
        <v>34.999500149955</v>
      </c>
      <c r="M40" s="119" t="n">
        <v>53.84497077822207</v>
      </c>
      <c r="N40" s="121" t="n"/>
      <c r="O40" s="121" t="n"/>
      <c r="P40" s="166" t="inlineStr"/>
      <c r="Q40" s="167" t="inlineStr"/>
    </row>
    <row r="41">
      <c r="A41" s="122" t="inlineStr">
        <is>
          <t>Balliu</t>
        </is>
      </c>
      <c r="B41" s="122" t="inlineStr">
        <is>
          <t>Capri Mesa</t>
        </is>
      </c>
      <c r="C41" s="122" t="inlineStr">
        <is>
          <t>120X80 Pie Doble alto Tablero Hpl Gd</t>
        </is>
      </c>
      <c r="D41" s="123" t="inlineStr">
        <is>
          <t>G2</t>
        </is>
      </c>
      <c r="E41" s="168" t="inlineStr">
        <is>
          <t>COMPLETO</t>
        </is>
      </c>
      <c r="F41" s="124" t="n">
        <v>358.03</v>
      </c>
      <c r="G41" s="123" t="inlineStr">
        <is>
          <t>2026-03-30</t>
        </is>
      </c>
      <c r="H41" s="124" t="n">
        <v>550.8200000000001</v>
      </c>
      <c r="I41" s="124" t="n">
        <v>666.49</v>
      </c>
      <c r="J41" s="123" t="inlineStr">
        <is>
          <t>2026-05-07</t>
        </is>
      </c>
      <c r="K41" s="124" t="n">
        <v>192.7900000000001</v>
      </c>
      <c r="L41" s="125" t="n">
        <v>35.00054464253296</v>
      </c>
      <c r="M41" s="125" t="n">
        <v>53.84744295170798</v>
      </c>
      <c r="N41" s="127" t="n"/>
      <c r="O41" s="127" t="n"/>
      <c r="P41" s="169" t="inlineStr"/>
      <c r="Q41" s="170" t="inlineStr"/>
    </row>
    <row r="42">
      <c r="A42" s="116" t="inlineStr">
        <is>
          <t>Balliu</t>
        </is>
      </c>
      <c r="B42" s="116" t="inlineStr">
        <is>
          <t>Capri Mesa</t>
        </is>
      </c>
      <c r="C42" s="116" t="inlineStr">
        <is>
          <t>60X60 Mesa Alta Tablero Hpl Gd (#1)</t>
        </is>
      </c>
      <c r="D42" s="117" t="inlineStr">
        <is>
          <t>G2</t>
        </is>
      </c>
      <c r="E42" s="165" t="inlineStr">
        <is>
          <t>COMPLETO</t>
        </is>
      </c>
      <c r="F42" s="118" t="n">
        <v>245.33</v>
      </c>
      <c r="G42" s="117" t="inlineStr">
        <is>
          <t>2026-03-30</t>
        </is>
      </c>
      <c r="H42" s="118" t="n">
        <v>377.43</v>
      </c>
      <c r="I42" s="118" t="n">
        <v>456.69</v>
      </c>
      <c r="J42" s="117" t="inlineStr">
        <is>
          <t>2026-05-07</t>
        </is>
      </c>
      <c r="K42" s="118" t="n">
        <v>132.1</v>
      </c>
      <c r="L42" s="119" t="n">
        <v>34.99986752510399</v>
      </c>
      <c r="M42" s="119" t="n">
        <v>53.84584029674316</v>
      </c>
      <c r="N42" s="121" t="n"/>
      <c r="O42" s="121" t="n"/>
      <c r="P42" s="166" t="inlineStr"/>
      <c r="Q42" s="167" t="inlineStr"/>
    </row>
    <row r="43">
      <c r="A43" s="122" t="inlineStr">
        <is>
          <t>Balliu</t>
        </is>
      </c>
      <c r="B43" s="122" t="inlineStr">
        <is>
          <t>Capri Mesa</t>
        </is>
      </c>
      <c r="C43" s="122" t="inlineStr">
        <is>
          <t>60X60 Mesa Alta Tablero Hpl Gd (#2)</t>
        </is>
      </c>
      <c r="D43" s="123" t="inlineStr">
        <is>
          <t>G2</t>
        </is>
      </c>
      <c r="E43" s="168" t="inlineStr">
        <is>
          <t>COMPLETO</t>
        </is>
      </c>
      <c r="F43" s="124" t="n">
        <v>263.01</v>
      </c>
      <c r="G43" s="123" t="inlineStr">
        <is>
          <t>2026-03-30</t>
        </is>
      </c>
      <c r="H43" s="124" t="n">
        <v>404.63</v>
      </c>
      <c r="I43" s="124" t="n">
        <v>489.6</v>
      </c>
      <c r="J43" s="123" t="inlineStr">
        <is>
          <t>2026-05-07</t>
        </is>
      </c>
      <c r="K43" s="124" t="n">
        <v>141.62</v>
      </c>
      <c r="L43" s="125" t="n">
        <v>34.99987643031906</v>
      </c>
      <c r="M43" s="125" t="n">
        <v>53.84586137409224</v>
      </c>
      <c r="N43" s="127" t="n"/>
      <c r="O43" s="127" t="n"/>
      <c r="P43" s="169" t="inlineStr"/>
      <c r="Q43" s="170" t="inlineStr"/>
    </row>
    <row r="44">
      <c r="A44" s="116" t="inlineStr">
        <is>
          <t>Balliu</t>
        </is>
      </c>
      <c r="B44" s="116" t="inlineStr">
        <is>
          <t>Capri Mesa</t>
        </is>
      </c>
      <c r="C44" s="116" t="inlineStr">
        <is>
          <t>70X70 Mesa Alta Tablero Hpl</t>
        </is>
      </c>
      <c r="D44" s="117" t="inlineStr">
        <is>
          <t>G2</t>
        </is>
      </c>
      <c r="E44" s="165" t="inlineStr">
        <is>
          <t>COMPLETO</t>
        </is>
      </c>
      <c r="F44" s="118" t="n">
        <v>283.88</v>
      </c>
      <c r="G44" s="117" t="inlineStr">
        <is>
          <t>2026-03-30</t>
        </is>
      </c>
      <c r="H44" s="118" t="n">
        <v>436.74</v>
      </c>
      <c r="I44" s="118" t="n">
        <v>528.46</v>
      </c>
      <c r="J44" s="117" t="inlineStr">
        <is>
          <t>2026-05-07</t>
        </is>
      </c>
      <c r="K44" s="118" t="n">
        <v>152.86</v>
      </c>
      <c r="L44" s="119" t="n">
        <v>35.00022896918075</v>
      </c>
      <c r="M44" s="119" t="n">
        <v>53.84669578695224</v>
      </c>
      <c r="N44" s="121" t="n"/>
      <c r="O44" s="121" t="n"/>
      <c r="P44" s="166" t="inlineStr"/>
      <c r="Q44" s="167" t="inlineStr"/>
    </row>
    <row r="45">
      <c r="A45" s="122" t="inlineStr">
        <is>
          <t>Balliu</t>
        </is>
      </c>
      <c r="B45" s="122" t="inlineStr">
        <is>
          <t>Capri Mesa</t>
        </is>
      </c>
      <c r="C45" s="122" t="inlineStr">
        <is>
          <t>70X70 Mesa Alta Tablero Hpl Gd</t>
        </is>
      </c>
      <c r="D45" s="123" t="inlineStr">
        <is>
          <t>G2</t>
        </is>
      </c>
      <c r="E45" s="168" t="inlineStr">
        <is>
          <t>COMPLETO</t>
        </is>
      </c>
      <c r="F45" s="124" t="n">
        <v>317.28</v>
      </c>
      <c r="G45" s="123" t="inlineStr">
        <is>
          <t>2026-03-30</t>
        </is>
      </c>
      <c r="H45" s="124" t="n">
        <v>488.12</v>
      </c>
      <c r="I45" s="124" t="n">
        <v>590.63</v>
      </c>
      <c r="J45" s="123" t="inlineStr">
        <is>
          <t>2026-05-07</t>
        </is>
      </c>
      <c r="K45" s="124" t="n">
        <v>170.84</v>
      </c>
      <c r="L45" s="125" t="n">
        <v>34.99959026468902</v>
      </c>
      <c r="M45" s="125" t="n">
        <v>53.84518406454868</v>
      </c>
      <c r="N45" s="127" t="n"/>
      <c r="O45" s="127" t="n"/>
      <c r="P45" s="169" t="inlineStr"/>
      <c r="Q45" s="170" t="inlineStr"/>
    </row>
    <row r="46">
      <c r="A46" s="116" t="inlineStr">
        <is>
          <t>Balliu</t>
        </is>
      </c>
      <c r="B46" s="116" t="inlineStr">
        <is>
          <t>Capri Mesa</t>
        </is>
      </c>
      <c r="C46" s="116" t="inlineStr">
        <is>
          <t>70X70 Pie Simple Tablero Hpl</t>
        </is>
      </c>
      <c r="D46" s="117" t="inlineStr">
        <is>
          <t>G2</t>
        </is>
      </c>
      <c r="E46" s="165" t="inlineStr">
        <is>
          <t>COMPLETO</t>
        </is>
      </c>
      <c r="F46" s="118" t="n">
        <v>203.29</v>
      </c>
      <c r="G46" s="117" t="inlineStr">
        <is>
          <t>2026-03-30</t>
        </is>
      </c>
      <c r="H46" s="118" t="n">
        <v>312.75</v>
      </c>
      <c r="I46" s="118" t="n">
        <v>378.43</v>
      </c>
      <c r="J46" s="117" t="inlineStr">
        <is>
          <t>2026-05-07</t>
        </is>
      </c>
      <c r="K46" s="118" t="n">
        <v>109.46</v>
      </c>
      <c r="L46" s="119" t="n">
        <v>34.99920063948841</v>
      </c>
      <c r="M46" s="119" t="n">
        <v>53.8442618918786</v>
      </c>
      <c r="N46" s="121" t="n"/>
      <c r="O46" s="121" t="n"/>
      <c r="P46" s="166" t="inlineStr"/>
      <c r="Q46" s="167" t="inlineStr"/>
    </row>
    <row r="47">
      <c r="A47" s="122" t="inlineStr">
        <is>
          <t>Balliu</t>
        </is>
      </c>
      <c r="B47" s="122" t="inlineStr">
        <is>
          <t>Capri Mesa</t>
        </is>
      </c>
      <c r="C47" s="122" t="inlineStr">
        <is>
          <t>70X70 Pie Simple Tablero Hpl Gd</t>
        </is>
      </c>
      <c r="D47" s="123" t="inlineStr">
        <is>
          <t>G2</t>
        </is>
      </c>
      <c r="E47" s="168" t="inlineStr">
        <is>
          <t>COMPLETO</t>
        </is>
      </c>
      <c r="F47" s="124" t="n">
        <v>232.21</v>
      </c>
      <c r="G47" s="123" t="inlineStr">
        <is>
          <t>2026-03-30</t>
        </is>
      </c>
      <c r="H47" s="124" t="n">
        <v>357.25</v>
      </c>
      <c r="I47" s="124" t="n">
        <v>432.27</v>
      </c>
      <c r="J47" s="123" t="inlineStr">
        <is>
          <t>2026-05-07</t>
        </is>
      </c>
      <c r="K47" s="124" t="n">
        <v>125.04</v>
      </c>
      <c r="L47" s="125" t="n">
        <v>35.00069979006298</v>
      </c>
      <c r="M47" s="125" t="n">
        <v>53.84781017182721</v>
      </c>
      <c r="N47" s="127" t="n"/>
      <c r="O47" s="127" t="n"/>
      <c r="P47" s="169" t="inlineStr"/>
      <c r="Q47" s="170" t="inlineStr"/>
    </row>
    <row r="48">
      <c r="A48" s="116" t="inlineStr">
        <is>
          <t>Balliu</t>
        </is>
      </c>
      <c r="B48" s="116" t="inlineStr">
        <is>
          <t>Capri Mesa</t>
        </is>
      </c>
      <c r="C48" s="116" t="inlineStr">
        <is>
          <t>80X80 Pie Simple Tablero Hpl</t>
        </is>
      </c>
      <c r="D48" s="117" t="inlineStr">
        <is>
          <t>G2</t>
        </is>
      </c>
      <c r="E48" s="165" t="inlineStr">
        <is>
          <t>COMPLETO</t>
        </is>
      </c>
      <c r="F48" s="118" t="n">
        <v>218.28</v>
      </c>
      <c r="G48" s="117" t="inlineStr">
        <is>
          <t>2026-03-30</t>
        </is>
      </c>
      <c r="H48" s="118" t="n">
        <v>335.82</v>
      </c>
      <c r="I48" s="118" t="n">
        <v>406.34</v>
      </c>
      <c r="J48" s="117" t="inlineStr">
        <is>
          <t>2026-05-07</t>
        </is>
      </c>
      <c r="K48" s="118" t="n">
        <v>117.54</v>
      </c>
      <c r="L48" s="119" t="n">
        <v>35.00089333571556</v>
      </c>
      <c r="M48" s="119" t="n">
        <v>53.84826827927432</v>
      </c>
      <c r="N48" s="121" t="n"/>
      <c r="O48" s="121" t="n"/>
      <c r="P48" s="166" t="inlineStr"/>
      <c r="Q48" s="167" t="inlineStr"/>
    </row>
    <row r="49">
      <c r="A49" s="122" t="inlineStr">
        <is>
          <t>Balliu</t>
        </is>
      </c>
      <c r="B49" s="122" t="inlineStr">
        <is>
          <t>Capri Mesa</t>
        </is>
      </c>
      <c r="C49" s="122" t="inlineStr">
        <is>
          <t>80X80 Pie Simple Tablero Hpl Gd</t>
        </is>
      </c>
      <c r="D49" s="123" t="inlineStr">
        <is>
          <t>G2</t>
        </is>
      </c>
      <c r="E49" s="168" t="inlineStr">
        <is>
          <t>COMPLETO</t>
        </is>
      </c>
      <c r="F49" s="124" t="n">
        <v>228.9</v>
      </c>
      <c r="G49" s="123" t="inlineStr">
        <is>
          <t>2026-03-30</t>
        </is>
      </c>
      <c r="H49" s="124" t="n">
        <v>352.15</v>
      </c>
      <c r="I49" s="124" t="n">
        <v>426.1</v>
      </c>
      <c r="J49" s="123" t="inlineStr">
        <is>
          <t>2026-05-07</t>
        </is>
      </c>
      <c r="K49" s="124" t="n">
        <v>123.25</v>
      </c>
      <c r="L49" s="125" t="n">
        <v>34.99929007525201</v>
      </c>
      <c r="M49" s="125" t="n">
        <v>53.8444735692442</v>
      </c>
      <c r="N49" s="127" t="n"/>
      <c r="O49" s="127" t="n"/>
      <c r="P49" s="169" t="inlineStr"/>
      <c r="Q49" s="170" t="inlineStr"/>
    </row>
    <row r="50">
      <c r="A50" s="116" t="inlineStr">
        <is>
          <t>Balliu</t>
        </is>
      </c>
      <c r="B50" s="116" t="inlineStr">
        <is>
          <t>Capri Mesa</t>
        </is>
      </c>
      <c r="C50" s="116" t="inlineStr">
        <is>
          <t>Diam. 70 Mesa Alta Tablero Hpl</t>
        </is>
      </c>
      <c r="D50" s="117" t="inlineStr">
        <is>
          <t>G2</t>
        </is>
      </c>
      <c r="E50" s="165" t="inlineStr">
        <is>
          <t>COMPLETO</t>
        </is>
      </c>
      <c r="F50" s="118" t="n">
        <v>273.99</v>
      </c>
      <c r="G50" s="117" t="inlineStr">
        <is>
          <t>2026-03-30</t>
        </is>
      </c>
      <c r="H50" s="118" t="n">
        <v>421.53</v>
      </c>
      <c r="I50" s="118" t="n">
        <v>510.05</v>
      </c>
      <c r="J50" s="117" t="inlineStr">
        <is>
          <t>2026-05-07</t>
        </is>
      </c>
      <c r="K50" s="118" t="n">
        <v>147.54</v>
      </c>
      <c r="L50" s="119" t="n">
        <v>35.00106753967688</v>
      </c>
      <c r="M50" s="119" t="n">
        <v>53.84868060878133</v>
      </c>
      <c r="N50" s="121" t="n"/>
      <c r="O50" s="121" t="n"/>
      <c r="P50" s="166" t="inlineStr"/>
      <c r="Q50" s="167" t="inlineStr"/>
    </row>
    <row r="51">
      <c r="A51" s="122" t="inlineStr">
        <is>
          <t>Balliu</t>
        </is>
      </c>
      <c r="B51" s="122" t="inlineStr">
        <is>
          <t>Capri Mesa</t>
        </is>
      </c>
      <c r="C51" s="122" t="inlineStr">
        <is>
          <t>Diam. 70 Mesa Alta Tablero Hpl Gd</t>
        </is>
      </c>
      <c r="D51" s="123" t="inlineStr">
        <is>
          <t>G2</t>
        </is>
      </c>
      <c r="E51" s="168" t="inlineStr">
        <is>
          <t>COMPLETO</t>
        </is>
      </c>
      <c r="F51" s="124" t="n">
        <v>279.99</v>
      </c>
      <c r="G51" s="123" t="inlineStr">
        <is>
          <t>2026-03-30</t>
        </is>
      </c>
      <c r="H51" s="124" t="n">
        <v>430.75</v>
      </c>
      <c r="I51" s="124" t="n">
        <v>521.21</v>
      </c>
      <c r="J51" s="123" t="inlineStr">
        <is>
          <t>2026-05-07</t>
        </is>
      </c>
      <c r="K51" s="124" t="n">
        <v>150.76</v>
      </c>
      <c r="L51" s="125" t="n">
        <v>34.99941961694718</v>
      </c>
      <c r="M51" s="125" t="n">
        <v>53.84478017072038</v>
      </c>
      <c r="N51" s="127" t="n"/>
      <c r="O51" s="127" t="n"/>
      <c r="P51" s="169" t="inlineStr"/>
      <c r="Q51" s="170" t="inlineStr"/>
    </row>
    <row r="52">
      <c r="A52" s="116" t="inlineStr">
        <is>
          <t>Balliu</t>
        </is>
      </c>
      <c r="B52" s="116" t="inlineStr">
        <is>
          <t>Capri Mesa</t>
        </is>
      </c>
      <c r="C52" s="116" t="inlineStr">
        <is>
          <t>Diam. 70 Mesa Tablero Hpl</t>
        </is>
      </c>
      <c r="D52" s="117" t="inlineStr">
        <is>
          <t>G2</t>
        </is>
      </c>
      <c r="E52" s="165" t="inlineStr">
        <is>
          <t>COMPLETO</t>
        </is>
      </c>
      <c r="F52" s="118" t="n">
        <v>187.58</v>
      </c>
      <c r="G52" s="117" t="inlineStr">
        <is>
          <t>2026-03-30</t>
        </is>
      </c>
      <c r="H52" s="118" t="n">
        <v>288.59</v>
      </c>
      <c r="I52" s="118" t="n">
        <v>349.19</v>
      </c>
      <c r="J52" s="117" t="inlineStr">
        <is>
          <t>2026-05-07</t>
        </is>
      </c>
      <c r="K52" s="118" t="n">
        <v>101.01</v>
      </c>
      <c r="L52" s="119" t="n">
        <v>35.00121279323607</v>
      </c>
      <c r="M52" s="119" t="n">
        <v>53.84902441624904</v>
      </c>
      <c r="N52" s="121" t="n"/>
      <c r="O52" s="121" t="n"/>
      <c r="P52" s="166" t="inlineStr"/>
      <c r="Q52" s="167" t="inlineStr"/>
    </row>
    <row r="53">
      <c r="A53" s="122" t="inlineStr">
        <is>
          <t>Balliu</t>
        </is>
      </c>
      <c r="B53" s="122" t="inlineStr">
        <is>
          <t>Capri Mesa</t>
        </is>
      </c>
      <c r="C53" s="122" t="inlineStr">
        <is>
          <t>Diam. 70 Mesa Tablero Hpl Gd</t>
        </is>
      </c>
      <c r="D53" s="123" t="inlineStr">
        <is>
          <t>G2</t>
        </is>
      </c>
      <c r="E53" s="168" t="inlineStr">
        <is>
          <t>COMPLETO</t>
        </is>
      </c>
      <c r="F53" s="124" t="n">
        <v>208.21</v>
      </c>
      <c r="G53" s="123" t="inlineStr">
        <is>
          <t>2026-03-30</t>
        </is>
      </c>
      <c r="H53" s="124" t="n">
        <v>320.32</v>
      </c>
      <c r="I53" s="124" t="n">
        <v>387.59</v>
      </c>
      <c r="J53" s="123" t="inlineStr">
        <is>
          <t>2026-05-07</t>
        </is>
      </c>
      <c r="K53" s="124" t="n">
        <v>112.11</v>
      </c>
      <c r="L53" s="125" t="n">
        <v>34.99937562437562</v>
      </c>
      <c r="M53" s="125" t="n">
        <v>53.84467604822054</v>
      </c>
      <c r="N53" s="127" t="n"/>
      <c r="O53" s="127" t="n"/>
      <c r="P53" s="169" t="inlineStr"/>
      <c r="Q53" s="170" t="inlineStr"/>
    </row>
    <row r="54">
      <c r="A54" s="116" t="inlineStr">
        <is>
          <t>Balliu</t>
        </is>
      </c>
      <c r="B54" s="116" t="inlineStr">
        <is>
          <t>Capri Mesa</t>
        </is>
      </c>
      <c r="C54" s="116" t="inlineStr">
        <is>
          <t>Diam. 80 Mesa Tablero Hpl</t>
        </is>
      </c>
      <c r="D54" s="117" t="inlineStr">
        <is>
          <t>G2</t>
        </is>
      </c>
      <c r="E54" s="165" t="inlineStr">
        <is>
          <t>COMPLETO</t>
        </is>
      </c>
      <c r="F54" s="118" t="n">
        <v>207.97</v>
      </c>
      <c r="G54" s="117" t="inlineStr">
        <is>
          <t>2026-03-30</t>
        </is>
      </c>
      <c r="H54" s="118" t="n">
        <v>319.95</v>
      </c>
      <c r="I54" s="118" t="n">
        <v>387.14</v>
      </c>
      <c r="J54" s="117" t="inlineStr">
        <is>
          <t>2026-05-07</t>
        </is>
      </c>
      <c r="K54" s="118" t="n">
        <v>111.98</v>
      </c>
      <c r="L54" s="119" t="n">
        <v>34.99921862791061</v>
      </c>
      <c r="M54" s="119" t="n">
        <v>53.84430446699042</v>
      </c>
      <c r="N54" s="121" t="n"/>
      <c r="O54" s="121" t="n"/>
      <c r="P54" s="166" t="inlineStr"/>
      <c r="Q54" s="167" t="inlineStr"/>
    </row>
    <row r="55">
      <c r="A55" s="122" t="inlineStr">
        <is>
          <t>Balliu</t>
        </is>
      </c>
      <c r="B55" s="122" t="inlineStr">
        <is>
          <t>Capri Mesa</t>
        </is>
      </c>
      <c r="C55" s="122" t="inlineStr">
        <is>
          <t>Diam. 80 Mesa Tablero Hpl Gd</t>
        </is>
      </c>
      <c r="D55" s="123" t="inlineStr">
        <is>
          <t>G2</t>
        </is>
      </c>
      <c r="E55" s="168" t="inlineStr">
        <is>
          <t>COMPLETO</t>
        </is>
      </c>
      <c r="F55" s="124" t="n">
        <v>235.95</v>
      </c>
      <c r="G55" s="123" t="inlineStr">
        <is>
          <t>2026-03-30</t>
        </is>
      </c>
      <c r="H55" s="124" t="n">
        <v>363.01</v>
      </c>
      <c r="I55" s="124" t="n">
        <v>439.24</v>
      </c>
      <c r="J55" s="123" t="inlineStr">
        <is>
          <t>2026-05-07</t>
        </is>
      </c>
      <c r="K55" s="124" t="n">
        <v>127.06</v>
      </c>
      <c r="L55" s="125" t="n">
        <v>35.00179058428143</v>
      </c>
      <c r="M55" s="125" t="n">
        <v>53.85039203221022</v>
      </c>
      <c r="N55" s="127" t="n"/>
      <c r="O55" s="127" t="n"/>
      <c r="P55" s="169" t="inlineStr"/>
      <c r="Q55" s="170" t="inlineStr"/>
    </row>
    <row r="56">
      <c r="A56" s="116" t="inlineStr">
        <is>
          <t>Balliu</t>
        </is>
      </c>
      <c r="B56" s="116" t="inlineStr">
        <is>
          <t>Capri Mesa</t>
        </is>
      </c>
      <c r="C56" s="116" t="inlineStr">
        <is>
          <t>Diam. 90 Table Hpl Table Top</t>
        </is>
      </c>
      <c r="D56" s="117" t="inlineStr">
        <is>
          <t>G2</t>
        </is>
      </c>
      <c r="E56" s="165" t="inlineStr">
        <is>
          <t>COMPLETO</t>
        </is>
      </c>
      <c r="F56" s="118" t="n">
        <v>209.41</v>
      </c>
      <c r="G56" s="117" t="inlineStr">
        <is>
          <t>2026-03-30</t>
        </is>
      </c>
      <c r="H56" s="118" t="n">
        <v>322.18</v>
      </c>
      <c r="I56" s="118" t="n">
        <v>389.84</v>
      </c>
      <c r="J56" s="117" t="inlineStr">
        <is>
          <t>2026-05-07</t>
        </is>
      </c>
      <c r="K56" s="118" t="n">
        <v>112.77</v>
      </c>
      <c r="L56" s="119" t="n">
        <v>35.00217269849153</v>
      </c>
      <c r="M56" s="119" t="n">
        <v>53.8512964996896</v>
      </c>
      <c r="N56" s="121" t="n"/>
      <c r="O56" s="121" t="n"/>
      <c r="P56" s="166" t="inlineStr"/>
      <c r="Q56" s="167" t="inlineStr"/>
    </row>
    <row r="57">
      <c r="A57" s="122" t="inlineStr">
        <is>
          <t>Balliu</t>
        </is>
      </c>
      <c r="B57" s="122" t="inlineStr">
        <is>
          <t>Capri Mesa</t>
        </is>
      </c>
      <c r="C57" s="122" t="inlineStr">
        <is>
          <t>Diam. 90 Table Hpl Table Top Gd</t>
        </is>
      </c>
      <c r="D57" s="123" t="inlineStr">
        <is>
          <t>G2</t>
        </is>
      </c>
      <c r="E57" s="168" t="inlineStr">
        <is>
          <t>COMPLETO</t>
        </is>
      </c>
      <c r="F57" s="124" t="n">
        <v>237.88</v>
      </c>
      <c r="G57" s="123" t="inlineStr">
        <is>
          <t>2026-03-30</t>
        </is>
      </c>
      <c r="H57" s="124" t="n">
        <v>365.97</v>
      </c>
      <c r="I57" s="124" t="n">
        <v>442.82</v>
      </c>
      <c r="J57" s="123" t="inlineStr">
        <is>
          <t>2026-05-07</t>
        </is>
      </c>
      <c r="K57" s="124" t="n">
        <v>128.09</v>
      </c>
      <c r="L57" s="125" t="n">
        <v>35.00013662322049</v>
      </c>
      <c r="M57" s="125" t="n">
        <v>53.84647721540274</v>
      </c>
      <c r="N57" s="127" t="n"/>
      <c r="O57" s="127" t="n"/>
      <c r="P57" s="169" t="inlineStr"/>
      <c r="Q57" s="170" t="inlineStr"/>
    </row>
    <row r="58">
      <c r="A58" s="116" t="inlineStr">
        <is>
          <t>Balliu</t>
        </is>
      </c>
      <c r="B58" s="116" t="inlineStr">
        <is>
          <t>Carmen Tumbona</t>
        </is>
      </c>
      <c r="C58" s="116" t="inlineStr">
        <is>
          <t>Chasis Blanco/Tablillas</t>
        </is>
      </c>
      <c r="D58" s="117" t="inlineStr">
        <is>
          <t>G1</t>
        </is>
      </c>
      <c r="E58" s="165" t="inlineStr">
        <is>
          <t>COMPLETO</t>
        </is>
      </c>
      <c r="F58" s="118" t="n">
        <v>107.1</v>
      </c>
      <c r="G58" s="117" t="inlineStr">
        <is>
          <t>2026-03-30</t>
        </is>
      </c>
      <c r="H58" s="118" t="n">
        <v>172.75</v>
      </c>
      <c r="I58" s="118" t="n">
        <v>209.03</v>
      </c>
      <c r="J58" s="117" t="inlineStr">
        <is>
          <t>2026-05-07</t>
        </is>
      </c>
      <c r="K58" s="118" t="n">
        <v>65.65000000000001</v>
      </c>
      <c r="L58" s="119" t="n">
        <v>38.00289435600579</v>
      </c>
      <c r="M58" s="119" t="n">
        <v>61.29785247432307</v>
      </c>
      <c r="N58" s="121" t="n"/>
      <c r="O58" s="121" t="n"/>
      <c r="P58" s="166" t="inlineStr"/>
      <c r="Q58" s="167" t="inlineStr"/>
    </row>
    <row r="59">
      <c r="A59" s="122" t="inlineStr">
        <is>
          <t>Balliu</t>
        </is>
      </c>
      <c r="B59" s="122" t="inlineStr">
        <is>
          <t>Carmen Tumbona</t>
        </is>
      </c>
      <c r="C59" s="122" t="inlineStr">
        <is>
          <t>Chasis Blanco/Tela Balliu</t>
        </is>
      </c>
      <c r="D59" s="123" t="inlineStr">
        <is>
          <t>G1</t>
        </is>
      </c>
      <c r="E59" s="168" t="inlineStr">
        <is>
          <t>COMPLETO</t>
        </is>
      </c>
      <c r="F59" s="124" t="n">
        <v>93.89</v>
      </c>
      <c r="G59" s="123" t="inlineStr">
        <is>
          <t>2026-03-30</t>
        </is>
      </c>
      <c r="H59" s="124" t="n">
        <v>151.43</v>
      </c>
      <c r="I59" s="124" t="n">
        <v>183.23</v>
      </c>
      <c r="J59" s="123" t="inlineStr">
        <is>
          <t>2026-05-07</t>
        </is>
      </c>
      <c r="K59" s="124" t="n">
        <v>57.54000000000001</v>
      </c>
      <c r="L59" s="125" t="n">
        <v>37.99775473816285</v>
      </c>
      <c r="M59" s="125" t="n">
        <v>61.2844818404516</v>
      </c>
      <c r="N59" s="127" t="n"/>
      <c r="O59" s="127" t="n"/>
      <c r="P59" s="169" t="inlineStr"/>
      <c r="Q59" s="170" t="inlineStr"/>
    </row>
    <row r="60">
      <c r="A60" s="116" t="inlineStr">
        <is>
          <t>Balliu</t>
        </is>
      </c>
      <c r="B60" s="116" t="inlineStr">
        <is>
          <t>Carmen Tumbona</t>
        </is>
      </c>
      <c r="C60" s="116" t="inlineStr">
        <is>
          <t>Chasis Prestige/Tablillas</t>
        </is>
      </c>
      <c r="D60" s="117" t="inlineStr">
        <is>
          <t>G1</t>
        </is>
      </c>
      <c r="E60" s="165" t="inlineStr">
        <is>
          <t>COMPLETO</t>
        </is>
      </c>
      <c r="F60" s="118" t="n">
        <v>112.55</v>
      </c>
      <c r="G60" s="117" t="inlineStr">
        <is>
          <t>2026-03-30</t>
        </is>
      </c>
      <c r="H60" s="118" t="n">
        <v>181.54</v>
      </c>
      <c r="I60" s="118" t="n">
        <v>219.66</v>
      </c>
      <c r="J60" s="117" t="inlineStr">
        <is>
          <t>2026-05-07</t>
        </is>
      </c>
      <c r="K60" s="118" t="n">
        <v>68.98999999999999</v>
      </c>
      <c r="L60" s="119" t="n">
        <v>38.00264404538945</v>
      </c>
      <c r="M60" s="119" t="n">
        <v>61.2972012438916</v>
      </c>
      <c r="N60" s="121" t="n"/>
      <c r="O60" s="121" t="n"/>
      <c r="P60" s="166" t="inlineStr"/>
      <c r="Q60" s="167" t="inlineStr"/>
    </row>
    <row r="61">
      <c r="A61" s="122" t="inlineStr">
        <is>
          <t>Balliu</t>
        </is>
      </c>
      <c r="B61" s="122" t="inlineStr">
        <is>
          <t>Carmen Tumbona</t>
        </is>
      </c>
      <c r="C61" s="122" t="inlineStr">
        <is>
          <t>Chasis Prestige/Tela Balliu</t>
        </is>
      </c>
      <c r="D61" s="123" t="inlineStr">
        <is>
          <t>G1</t>
        </is>
      </c>
      <c r="E61" s="168" t="inlineStr">
        <is>
          <t>COMPLETO</t>
        </is>
      </c>
      <c r="F61" s="124" t="n">
        <v>96.47</v>
      </c>
      <c r="G61" s="123" t="inlineStr">
        <is>
          <t>2026-03-30</t>
        </is>
      </c>
      <c r="H61" s="124" t="n">
        <v>155.6</v>
      </c>
      <c r="I61" s="124" t="n">
        <v>188.28</v>
      </c>
      <c r="J61" s="123" t="inlineStr">
        <is>
          <t>2026-05-07</t>
        </is>
      </c>
      <c r="K61" s="124" t="n">
        <v>59.13</v>
      </c>
      <c r="L61" s="125" t="n">
        <v>38.0012853470437</v>
      </c>
      <c r="M61" s="125" t="n">
        <v>61.29366642479527</v>
      </c>
      <c r="N61" s="127" t="n"/>
      <c r="O61" s="127" t="n"/>
      <c r="P61" s="169" t="inlineStr"/>
      <c r="Q61" s="170" t="inlineStr"/>
    </row>
    <row r="62">
      <c r="A62" s="116" t="inlineStr">
        <is>
          <t>Balliu</t>
        </is>
      </c>
      <c r="B62" s="116" t="inlineStr">
        <is>
          <t>Cojin</t>
        </is>
      </c>
      <c r="C62" s="116" t="inlineStr">
        <is>
          <t>40X40 Cojin cuadral</t>
        </is>
      </c>
      <c r="D62" s="117" t="inlineStr">
        <is>
          <t>G2</t>
        </is>
      </c>
      <c r="E62" s="165" t="inlineStr">
        <is>
          <t>COMPLETO</t>
        </is>
      </c>
      <c r="F62" s="118" t="n">
        <v>28.69</v>
      </c>
      <c r="G62" s="117" t="inlineStr">
        <is>
          <t>2026-03-30</t>
        </is>
      </c>
      <c r="H62" s="118" t="n">
        <v>44.14</v>
      </c>
      <c r="I62" s="118" t="n">
        <v>53.41</v>
      </c>
      <c r="J62" s="117" t="inlineStr">
        <is>
          <t>2026-05-07</t>
        </is>
      </c>
      <c r="K62" s="118" t="n">
        <v>15.45</v>
      </c>
      <c r="L62" s="119" t="n">
        <v>35.0022655188038</v>
      </c>
      <c r="M62" s="119" t="n">
        <v>53.85151620773788</v>
      </c>
      <c r="N62" s="121" t="n"/>
      <c r="O62" s="121" t="n"/>
      <c r="P62" s="166" t="inlineStr"/>
      <c r="Q62" s="167" t="inlineStr"/>
    </row>
    <row r="63">
      <c r="A63" s="122" t="inlineStr">
        <is>
          <t>Balliu</t>
        </is>
      </c>
      <c r="B63" s="122" t="inlineStr">
        <is>
          <t>Colchoneta Tumbona</t>
        </is>
      </c>
      <c r="C63" s="122" t="inlineStr">
        <is>
          <t>Tejido acrilico</t>
        </is>
      </c>
      <c r="D63" s="123" t="inlineStr">
        <is>
          <t>G2</t>
        </is>
      </c>
      <c r="E63" s="168" t="inlineStr">
        <is>
          <t>COMPLETO</t>
        </is>
      </c>
      <c r="F63" s="124" t="n">
        <v>70.56999999999999</v>
      </c>
      <c r="G63" s="123" t="inlineStr">
        <is>
          <t>2026-03-30</t>
        </is>
      </c>
      <c r="H63" s="124" t="n">
        <v>108.57</v>
      </c>
      <c r="I63" s="124" t="n">
        <v>131.37</v>
      </c>
      <c r="J63" s="123" t="inlineStr">
        <is>
          <t>2026-05-07</t>
        </is>
      </c>
      <c r="K63" s="124" t="n">
        <v>38</v>
      </c>
      <c r="L63" s="125" t="n">
        <v>35.00046053237543</v>
      </c>
      <c r="M63" s="125" t="n">
        <v>53.84724387133343</v>
      </c>
      <c r="N63" s="127" t="n"/>
      <c r="O63" s="127" t="n"/>
      <c r="P63" s="169" t="inlineStr"/>
      <c r="Q63" s="170" t="inlineStr"/>
    </row>
    <row r="64">
      <c r="A64" s="116" t="inlineStr">
        <is>
          <t>Balliu</t>
        </is>
      </c>
      <c r="B64" s="116" t="inlineStr">
        <is>
          <t>Colchoneta Tumbona</t>
        </is>
      </c>
      <c r="C64" s="116" t="inlineStr">
        <is>
          <t>Tela Balliu / Dryfeel</t>
        </is>
      </c>
      <c r="D64" s="117" t="inlineStr">
        <is>
          <t>G2</t>
        </is>
      </c>
      <c r="E64" s="165" t="inlineStr">
        <is>
          <t>COMPLETO</t>
        </is>
      </c>
      <c r="F64" s="118" t="n">
        <v>102.54</v>
      </c>
      <c r="G64" s="117" t="inlineStr">
        <is>
          <t>2026-03-30</t>
        </is>
      </c>
      <c r="H64" s="118" t="n">
        <v>157.75</v>
      </c>
      <c r="I64" s="118" t="n">
        <v>190.88</v>
      </c>
      <c r="J64" s="117" t="inlineStr">
        <is>
          <t>2026-05-07</t>
        </is>
      </c>
      <c r="K64" s="118" t="n">
        <v>55.20999999999999</v>
      </c>
      <c r="L64" s="119" t="n">
        <v>34.99841521394612</v>
      </c>
      <c r="M64" s="119" t="n">
        <v>53.84240296469669</v>
      </c>
      <c r="N64" s="121" t="n"/>
      <c r="O64" s="121" t="n"/>
      <c r="P64" s="166" t="inlineStr"/>
      <c r="Q64" s="167" t="inlineStr"/>
    </row>
    <row r="65">
      <c r="A65" s="122" t="inlineStr">
        <is>
          <t>Balliu</t>
        </is>
      </c>
      <c r="B65" s="122" t="inlineStr">
        <is>
          <t>Colchoneta Tumbona</t>
        </is>
      </c>
      <c r="C65" s="122" t="inlineStr">
        <is>
          <t>Tela Balliu / Guata</t>
        </is>
      </c>
      <c r="D65" s="123" t="inlineStr">
        <is>
          <t>G2</t>
        </is>
      </c>
      <c r="E65" s="168" t="inlineStr">
        <is>
          <t>COMPLETO</t>
        </is>
      </c>
      <c r="F65" s="124" t="n">
        <v>62.07</v>
      </c>
      <c r="G65" s="123" t="inlineStr">
        <is>
          <t>2026-03-30</t>
        </is>
      </c>
      <c r="H65" s="124" t="n">
        <v>95.5</v>
      </c>
      <c r="I65" s="124" t="n">
        <v>115.55</v>
      </c>
      <c r="J65" s="123" t="inlineStr">
        <is>
          <t>2026-05-07</t>
        </is>
      </c>
      <c r="K65" s="124" t="n">
        <v>33.43</v>
      </c>
      <c r="L65" s="125" t="n">
        <v>35.00523560209425</v>
      </c>
      <c r="M65" s="125" t="n">
        <v>53.85854680199774</v>
      </c>
      <c r="N65" s="127" t="n"/>
      <c r="O65" s="127" t="n"/>
      <c r="P65" s="169" t="inlineStr"/>
      <c r="Q65" s="170" t="inlineStr"/>
    </row>
    <row r="66">
      <c r="A66" s="116" t="inlineStr">
        <is>
          <t>Balliu</t>
        </is>
      </c>
      <c r="B66" s="116" t="inlineStr">
        <is>
          <t>Dalia Silla</t>
        </is>
      </c>
      <c r="C66" s="116" t="inlineStr">
        <is>
          <t>Con Brazos</t>
        </is>
      </c>
      <c r="D66" s="117" t="inlineStr">
        <is>
          <t>G3</t>
        </is>
      </c>
      <c r="E66" s="165" t="inlineStr">
        <is>
          <t>COMPLETO</t>
        </is>
      </c>
      <c r="F66" s="118" t="n">
        <v>122.56</v>
      </c>
      <c r="G66" s="117" t="inlineStr">
        <is>
          <t>2026-03-30</t>
        </is>
      </c>
      <c r="H66" s="118" t="n">
        <v>163.41</v>
      </c>
      <c r="I66" s="118" t="n">
        <v>197.73</v>
      </c>
      <c r="J66" s="117" t="inlineStr">
        <is>
          <t>2026-05-07</t>
        </is>
      </c>
      <c r="K66" s="118" t="n">
        <v>40.84999999999999</v>
      </c>
      <c r="L66" s="119" t="n">
        <v>24.99847010586867</v>
      </c>
      <c r="M66" s="119" t="n">
        <v>33.33061357702349</v>
      </c>
      <c r="N66" s="121" t="n"/>
      <c r="O66" s="121" t="n"/>
      <c r="P66" s="166" t="inlineStr"/>
      <c r="Q66" s="167" t="inlineStr"/>
    </row>
    <row r="67">
      <c r="A67" s="122" t="inlineStr">
        <is>
          <t>Balliu</t>
        </is>
      </c>
      <c r="B67" s="122" t="inlineStr">
        <is>
          <t>Etna Mesa central</t>
        </is>
      </c>
      <c r="C67" s="122" t="inlineStr">
        <is>
          <t>Tablero Hpl</t>
        </is>
      </c>
      <c r="D67" s="123" t="inlineStr">
        <is>
          <t>G2</t>
        </is>
      </c>
      <c r="E67" s="168" t="inlineStr">
        <is>
          <t>COMPLETO</t>
        </is>
      </c>
      <c r="F67" s="124" t="n">
        <v>194.7</v>
      </c>
      <c r="G67" s="123" t="inlineStr">
        <is>
          <t>2026-03-30</t>
        </is>
      </c>
      <c r="H67" s="124" t="n">
        <v>299.54</v>
      </c>
      <c r="I67" s="124" t="n">
        <v>362.44</v>
      </c>
      <c r="J67" s="123" t="inlineStr">
        <is>
          <t>2026-05-07</t>
        </is>
      </c>
      <c r="K67" s="124" t="n">
        <v>104.84</v>
      </c>
      <c r="L67" s="125" t="n">
        <v>35.00033384522936</v>
      </c>
      <c r="M67" s="125" t="n">
        <v>53.84694401643556</v>
      </c>
      <c r="N67" s="127" t="n"/>
      <c r="O67" s="127" t="n"/>
      <c r="P67" s="169" t="inlineStr"/>
      <c r="Q67" s="170" t="inlineStr"/>
    </row>
    <row r="68">
      <c r="A68" s="116" t="inlineStr">
        <is>
          <t>Balliu</t>
        </is>
      </c>
      <c r="B68" s="116" t="inlineStr">
        <is>
          <t>Etna Mesa central</t>
        </is>
      </c>
      <c r="C68" s="116" t="inlineStr">
        <is>
          <t>Tablero Hpl Gd</t>
        </is>
      </c>
      <c r="D68" s="117" t="inlineStr">
        <is>
          <t>G2</t>
        </is>
      </c>
      <c r="E68" s="165" t="inlineStr">
        <is>
          <t>COMPLETO</t>
        </is>
      </c>
      <c r="F68" s="118" t="n">
        <v>226.66</v>
      </c>
      <c r="G68" s="117" t="inlineStr">
        <is>
          <t>2026-03-30</t>
        </is>
      </c>
      <c r="H68" s="118" t="n">
        <v>348.72</v>
      </c>
      <c r="I68" s="118" t="n">
        <v>421.95</v>
      </c>
      <c r="J68" s="117" t="inlineStr">
        <is>
          <t>2026-05-07</t>
        </is>
      </c>
      <c r="K68" s="118" t="n">
        <v>122.06</v>
      </c>
      <c r="L68" s="119" t="n">
        <v>35.00229410415233</v>
      </c>
      <c r="M68" s="119" t="n">
        <v>53.85158387011384</v>
      </c>
      <c r="N68" s="121" t="n"/>
      <c r="O68" s="121" t="n"/>
      <c r="P68" s="166" t="inlineStr"/>
      <c r="Q68" s="167" t="inlineStr"/>
    </row>
    <row r="69">
      <c r="A69" s="122" t="inlineStr">
        <is>
          <t>Balliu</t>
        </is>
      </c>
      <c r="B69" s="122" t="inlineStr">
        <is>
          <t>Etna Silla</t>
        </is>
      </c>
      <c r="C69" s="122" t="inlineStr">
        <is>
          <t>Alta Con Brazos</t>
        </is>
      </c>
      <c r="D69" s="123" t="inlineStr">
        <is>
          <t>G2</t>
        </is>
      </c>
      <c r="E69" s="168" t="inlineStr">
        <is>
          <t>COMPLETO</t>
        </is>
      </c>
      <c r="F69" s="124" t="n">
        <v>102.17</v>
      </c>
      <c r="G69" s="123" t="inlineStr">
        <is>
          <t>2026-03-30</t>
        </is>
      </c>
      <c r="H69" s="124" t="n">
        <v>157.19</v>
      </c>
      <c r="I69" s="124" t="n">
        <v>190.2</v>
      </c>
      <c r="J69" s="123" t="inlineStr">
        <is>
          <t>2026-05-07</t>
        </is>
      </c>
      <c r="K69" s="124" t="n">
        <v>55.02</v>
      </c>
      <c r="L69" s="125" t="n">
        <v>35.00222660474584</v>
      </c>
      <c r="M69" s="125" t="n">
        <v>53.85142409709307</v>
      </c>
      <c r="N69" s="127" t="n"/>
      <c r="O69" s="127" t="n"/>
      <c r="P69" s="169" t="inlineStr"/>
      <c r="Q69" s="170" t="inlineStr"/>
    </row>
    <row r="70">
      <c r="A70" s="116" t="inlineStr">
        <is>
          <t>Balliu</t>
        </is>
      </c>
      <c r="B70" s="116" t="inlineStr">
        <is>
          <t>Etna Silla</t>
        </is>
      </c>
      <c r="C70" s="116" t="inlineStr">
        <is>
          <t>Con Brazos</t>
        </is>
      </c>
      <c r="D70" s="117" t="inlineStr">
        <is>
          <t>G2</t>
        </is>
      </c>
      <c r="E70" s="165" t="inlineStr">
        <is>
          <t>COMPLETO</t>
        </is>
      </c>
      <c r="F70" s="118" t="n">
        <v>97.70999999999999</v>
      </c>
      <c r="G70" s="117" t="inlineStr">
        <is>
          <t>2026-03-30</t>
        </is>
      </c>
      <c r="H70" s="118" t="n">
        <v>150.32</v>
      </c>
      <c r="I70" s="118" t="n">
        <v>181.89</v>
      </c>
      <c r="J70" s="117" t="inlineStr">
        <is>
          <t>2026-05-07</t>
        </is>
      </c>
      <c r="K70" s="118" t="n">
        <v>52.61</v>
      </c>
      <c r="L70" s="119" t="n">
        <v>34.99866950505588</v>
      </c>
      <c r="M70" s="119" t="n">
        <v>53.84300481015249</v>
      </c>
      <c r="N70" s="121" t="n"/>
      <c r="O70" s="121" t="n"/>
      <c r="P70" s="166" t="inlineStr"/>
      <c r="Q70" s="167" t="inlineStr"/>
    </row>
    <row r="71">
      <c r="A71" s="122" t="inlineStr">
        <is>
          <t>Balliu</t>
        </is>
      </c>
      <c r="B71" s="122" t="inlineStr">
        <is>
          <t>Etna Silla</t>
        </is>
      </c>
      <c r="C71" s="122" t="inlineStr">
        <is>
          <t>Taburete Etna aluminio</t>
        </is>
      </c>
      <c r="D71" s="123" t="inlineStr">
        <is>
          <t>G2</t>
        </is>
      </c>
      <c r="E71" s="168" t="inlineStr">
        <is>
          <t>COMPLETO</t>
        </is>
      </c>
      <c r="F71" s="124" t="n">
        <v>100.25</v>
      </c>
      <c r="G71" s="123" t="inlineStr">
        <is>
          <t>2026-03-30</t>
        </is>
      </c>
      <c r="H71" s="124" t="n">
        <v>154.23</v>
      </c>
      <c r="I71" s="124" t="n">
        <v>186.62</v>
      </c>
      <c r="J71" s="123" t="inlineStr">
        <is>
          <t>2026-05-07</t>
        </is>
      </c>
      <c r="K71" s="124" t="n">
        <v>53.97999999999999</v>
      </c>
      <c r="L71" s="125" t="n">
        <v>34.9996758088569</v>
      </c>
      <c r="M71" s="125" t="n">
        <v>53.84538653366583</v>
      </c>
      <c r="N71" s="127" t="n"/>
      <c r="O71" s="127" t="n"/>
      <c r="P71" s="169" t="inlineStr"/>
      <c r="Q71" s="170" t="inlineStr"/>
    </row>
    <row r="72">
      <c r="A72" s="116" t="inlineStr">
        <is>
          <t>Balliu</t>
        </is>
      </c>
      <c r="B72" s="116" t="inlineStr">
        <is>
          <t>Etna Tumbona</t>
        </is>
      </c>
      <c r="C72" s="116" t="inlineStr">
        <is>
          <t>Tela Balliu</t>
        </is>
      </c>
      <c r="D72" s="117" t="inlineStr">
        <is>
          <t>G2</t>
        </is>
      </c>
      <c r="E72" s="165" t="inlineStr">
        <is>
          <t>COMPLETO</t>
        </is>
      </c>
      <c r="F72" s="118" t="n">
        <v>229.08</v>
      </c>
      <c r="G72" s="117" t="inlineStr">
        <is>
          <t>2026-03-30</t>
        </is>
      </c>
      <c r="H72" s="118" t="n">
        <v>352.43</v>
      </c>
      <c r="I72" s="118" t="n">
        <v>426.44</v>
      </c>
      <c r="J72" s="117" t="inlineStr">
        <is>
          <t>2026-05-07</t>
        </is>
      </c>
      <c r="K72" s="118" t="n">
        <v>123.35</v>
      </c>
      <c r="L72" s="119" t="n">
        <v>34.99985812785518</v>
      </c>
      <c r="M72" s="119" t="n">
        <v>53.845818054828</v>
      </c>
      <c r="N72" s="121" t="n"/>
      <c r="O72" s="121" t="n"/>
      <c r="P72" s="166" t="inlineStr"/>
      <c r="Q72" s="167" t="inlineStr"/>
    </row>
    <row r="73">
      <c r="A73" s="122" t="inlineStr">
        <is>
          <t>Balliu</t>
        </is>
      </c>
      <c r="B73" s="122" t="inlineStr">
        <is>
          <t>Etna Tumbona</t>
        </is>
      </c>
      <c r="C73" s="122" t="inlineStr">
        <is>
          <t>Tela Balliu con ruedas</t>
        </is>
      </c>
      <c r="D73" s="123" t="inlineStr">
        <is>
          <t>G2</t>
        </is>
      </c>
      <c r="E73" s="168" t="inlineStr">
        <is>
          <t>COMPLETO</t>
        </is>
      </c>
      <c r="F73" s="124" t="n">
        <v>252.74</v>
      </c>
      <c r="G73" s="123" t="inlineStr">
        <is>
          <t>2026-03-30</t>
        </is>
      </c>
      <c r="H73" s="124" t="n">
        <v>388.83</v>
      </c>
      <c r="I73" s="124" t="n">
        <v>470.48</v>
      </c>
      <c r="J73" s="123" t="inlineStr">
        <is>
          <t>2026-05-07</t>
        </is>
      </c>
      <c r="K73" s="124" t="n">
        <v>136.09</v>
      </c>
      <c r="L73" s="125" t="n">
        <v>34.99987140909909</v>
      </c>
      <c r="M73" s="125" t="n">
        <v>53.84584948959403</v>
      </c>
      <c r="N73" s="127" t="n"/>
      <c r="O73" s="127" t="n"/>
      <c r="P73" s="169" t="inlineStr"/>
      <c r="Q73" s="170" t="inlineStr"/>
    </row>
    <row r="74">
      <c r="A74" s="116" t="inlineStr">
        <is>
          <t>Balliu</t>
        </is>
      </c>
      <c r="B74" s="116" t="inlineStr">
        <is>
          <t>Etna Tumbona alta</t>
        </is>
      </c>
      <c r="C74" s="116" t="inlineStr">
        <is>
          <t>Tela Balliu</t>
        </is>
      </c>
      <c r="D74" s="117" t="inlineStr">
        <is>
          <t>G2</t>
        </is>
      </c>
      <c r="E74" s="165" t="inlineStr">
        <is>
          <t>COMPLETO</t>
        </is>
      </c>
      <c r="F74" s="118" t="n">
        <v>248.76</v>
      </c>
      <c r="G74" s="117" t="inlineStr">
        <is>
          <t>2026-03-30</t>
        </is>
      </c>
      <c r="H74" s="118" t="n">
        <v>382.7</v>
      </c>
      <c r="I74" s="118" t="n">
        <v>463.07</v>
      </c>
      <c r="J74" s="117" t="inlineStr">
        <is>
          <t>2026-05-07</t>
        </is>
      </c>
      <c r="K74" s="118" t="n">
        <v>133.94</v>
      </c>
      <c r="L74" s="119" t="n">
        <v>34.99869349359812</v>
      </c>
      <c r="M74" s="119" t="n">
        <v>53.8430615854639</v>
      </c>
      <c r="N74" s="121" t="n"/>
      <c r="O74" s="121" t="n"/>
      <c r="P74" s="166" t="inlineStr"/>
      <c r="Q74" s="167" t="inlineStr"/>
    </row>
    <row r="75">
      <c r="A75" s="122" t="inlineStr">
        <is>
          <t>Balliu</t>
        </is>
      </c>
      <c r="B75" s="122" t="inlineStr">
        <is>
          <t>Etna Tumbona alta</t>
        </is>
      </c>
      <c r="C75" s="122" t="inlineStr">
        <is>
          <t>Tela Balliu con ruedas</t>
        </is>
      </c>
      <c r="D75" s="123" t="inlineStr">
        <is>
          <t>G2</t>
        </is>
      </c>
      <c r="E75" s="168" t="inlineStr">
        <is>
          <t>COMPLETO</t>
        </is>
      </c>
      <c r="F75" s="124" t="n">
        <v>266.56</v>
      </c>
      <c r="G75" s="123" t="inlineStr">
        <is>
          <t>2026-03-30</t>
        </is>
      </c>
      <c r="H75" s="124" t="n">
        <v>410.09</v>
      </c>
      <c r="I75" s="124" t="n">
        <v>496.21</v>
      </c>
      <c r="J75" s="123" t="inlineStr">
        <is>
          <t>2026-05-07</t>
        </is>
      </c>
      <c r="K75" s="124" t="n">
        <v>143.53</v>
      </c>
      <c r="L75" s="125" t="n">
        <v>34.99963422663318</v>
      </c>
      <c r="M75" s="125" t="n">
        <v>53.84528811524609</v>
      </c>
      <c r="N75" s="127" t="n"/>
      <c r="O75" s="127" t="n"/>
      <c r="P75" s="169" t="inlineStr"/>
      <c r="Q75" s="170" t="inlineStr"/>
    </row>
    <row r="76">
      <c r="A76" s="116" t="inlineStr">
        <is>
          <t>Balliu</t>
        </is>
      </c>
      <c r="B76" s="116" t="inlineStr">
        <is>
          <t>Eva Pro Tumbona</t>
        </is>
      </c>
      <c r="C76" s="116" t="inlineStr">
        <is>
          <t>Chasis Blanco/Tablillas Mario Eskenazi</t>
        </is>
      </c>
      <c r="D76" s="117" t="inlineStr">
        <is>
          <t>G1</t>
        </is>
      </c>
      <c r="E76" s="165" t="inlineStr">
        <is>
          <t>COMPLETO</t>
        </is>
      </c>
      <c r="F76" s="118" t="n">
        <v>112.55</v>
      </c>
      <c r="G76" s="117" t="inlineStr">
        <is>
          <t>2026-03-30</t>
        </is>
      </c>
      <c r="H76" s="118" t="n">
        <v>181.54</v>
      </c>
      <c r="I76" s="118" t="n">
        <v>219.66</v>
      </c>
      <c r="J76" s="117" t="inlineStr">
        <is>
          <t>2026-05-07</t>
        </is>
      </c>
      <c r="K76" s="118" t="n">
        <v>68.98999999999999</v>
      </c>
      <c r="L76" s="119" t="n">
        <v>38.00264404538945</v>
      </c>
      <c r="M76" s="119" t="n">
        <v>61.2972012438916</v>
      </c>
      <c r="N76" s="121" t="n"/>
      <c r="O76" s="121" t="n"/>
      <c r="P76" s="166" t="inlineStr"/>
      <c r="Q76" s="167" t="inlineStr"/>
    </row>
    <row r="77">
      <c r="A77" s="122" t="inlineStr">
        <is>
          <t>Balliu</t>
        </is>
      </c>
      <c r="B77" s="122" t="inlineStr">
        <is>
          <t>Eva Pro Tumbona</t>
        </is>
      </c>
      <c r="C77" s="122" t="inlineStr">
        <is>
          <t>Chasis Blanco/Tela Balliu</t>
        </is>
      </c>
      <c r="D77" s="123" t="inlineStr">
        <is>
          <t>G1</t>
        </is>
      </c>
      <c r="E77" s="168" t="inlineStr">
        <is>
          <t>COMPLETO</t>
        </is>
      </c>
      <c r="F77" s="124" t="n">
        <v>117.05</v>
      </c>
      <c r="G77" s="123" t="inlineStr">
        <is>
          <t>2026-03-30</t>
        </is>
      </c>
      <c r="H77" s="124" t="n">
        <v>188.79</v>
      </c>
      <c r="I77" s="124" t="n">
        <v>228.44</v>
      </c>
      <c r="J77" s="123" t="inlineStr">
        <is>
          <t>2026-05-07</t>
        </is>
      </c>
      <c r="K77" s="124" t="n">
        <v>71.73999999999999</v>
      </c>
      <c r="L77" s="125" t="n">
        <v>37.9998940621855</v>
      </c>
      <c r="M77" s="125" t="n">
        <v>61.29004698846646</v>
      </c>
      <c r="N77" s="127" t="n"/>
      <c r="O77" s="127" t="n"/>
      <c r="P77" s="169" t="inlineStr"/>
      <c r="Q77" s="170" t="inlineStr"/>
    </row>
    <row r="78">
      <c r="A78" s="116" t="inlineStr">
        <is>
          <t>Balliu</t>
        </is>
      </c>
      <c r="B78" s="116" t="inlineStr">
        <is>
          <t>Eva Pro Tumbona</t>
        </is>
      </c>
      <c r="C78" s="116" t="inlineStr">
        <is>
          <t>Chasis Prestige/Tela Balliu</t>
        </is>
      </c>
      <c r="D78" s="117" t="inlineStr">
        <is>
          <t>G1</t>
        </is>
      </c>
      <c r="E78" s="165" t="inlineStr">
        <is>
          <t>COMPLETO</t>
        </is>
      </c>
      <c r="F78" s="118" t="n">
        <v>124.07</v>
      </c>
      <c r="G78" s="117" t="inlineStr">
        <is>
          <t>2026-03-30</t>
        </is>
      </c>
      <c r="H78" s="118" t="n">
        <v>200.11</v>
      </c>
      <c r="I78" s="118" t="n">
        <v>242.13</v>
      </c>
      <c r="J78" s="117" t="inlineStr">
        <is>
          <t>2026-05-07</t>
        </is>
      </c>
      <c r="K78" s="118" t="n">
        <v>76.04000000000002</v>
      </c>
      <c r="L78" s="119" t="n">
        <v>37.99910049472791</v>
      </c>
      <c r="M78" s="119" t="n">
        <v>61.28798259047314</v>
      </c>
      <c r="N78" s="121" t="n"/>
      <c r="O78" s="121" t="n"/>
      <c r="P78" s="166" t="inlineStr"/>
      <c r="Q78" s="167" t="inlineStr"/>
    </row>
    <row r="79">
      <c r="A79" s="122" t="inlineStr">
        <is>
          <t>Balliu</t>
        </is>
      </c>
      <c r="B79" s="122" t="inlineStr">
        <is>
          <t>Eva R Tumbona</t>
        </is>
      </c>
      <c r="C79" s="122" t="inlineStr">
        <is>
          <t>Chasis Blanco/Tela Balliu</t>
        </is>
      </c>
      <c r="D79" s="123" t="inlineStr">
        <is>
          <t>G1</t>
        </is>
      </c>
      <c r="E79" s="168" t="inlineStr">
        <is>
          <t>COMPLETO</t>
        </is>
      </c>
      <c r="F79" s="124" t="n">
        <v>82.84999999999999</v>
      </c>
      <c r="G79" s="123" t="inlineStr">
        <is>
          <t>2026-03-30</t>
        </is>
      </c>
      <c r="H79" s="124" t="n">
        <v>133.63</v>
      </c>
      <c r="I79" s="124" t="n">
        <v>161.69</v>
      </c>
      <c r="J79" s="123" t="inlineStr">
        <is>
          <t>2026-05-07</t>
        </is>
      </c>
      <c r="K79" s="124" t="n">
        <v>50.78</v>
      </c>
      <c r="L79" s="125" t="n">
        <v>38.00044900097284</v>
      </c>
      <c r="M79" s="125" t="n">
        <v>61.29149064574533</v>
      </c>
      <c r="N79" s="127" t="n"/>
      <c r="O79" s="127" t="n"/>
      <c r="P79" s="169" t="inlineStr"/>
      <c r="Q79" s="170" t="inlineStr"/>
    </row>
    <row r="80">
      <c r="A80" s="116" t="inlineStr">
        <is>
          <t>Balliu</t>
        </is>
      </c>
      <c r="B80" s="116" t="inlineStr">
        <is>
          <t>Eva RG Tumbona</t>
        </is>
      </c>
      <c r="C80" s="116" t="inlineStr">
        <is>
          <t>Chasis Arena/Tela Balliu</t>
        </is>
      </c>
      <c r="D80" s="117" t="inlineStr">
        <is>
          <t>G1</t>
        </is>
      </c>
      <c r="E80" s="165" t="inlineStr">
        <is>
          <t>COMPLETO</t>
        </is>
      </c>
      <c r="F80" s="118" t="n">
        <v>98.52</v>
      </c>
      <c r="G80" s="117" t="inlineStr">
        <is>
          <t>2026-03-30</t>
        </is>
      </c>
      <c r="H80" s="118" t="n">
        <v>158.9</v>
      </c>
      <c r="I80" s="118" t="n">
        <v>192.27</v>
      </c>
      <c r="J80" s="117" t="inlineStr">
        <is>
          <t>2026-05-07</t>
        </is>
      </c>
      <c r="K80" s="118" t="n">
        <v>60.38000000000001</v>
      </c>
      <c r="L80" s="119" t="n">
        <v>37.99874134675898</v>
      </c>
      <c r="M80" s="119" t="n">
        <v>61.28704831506294</v>
      </c>
      <c r="N80" s="121" t="n"/>
      <c r="O80" s="121" t="n"/>
      <c r="P80" s="166" t="inlineStr"/>
      <c r="Q80" s="167" t="inlineStr"/>
    </row>
    <row r="81">
      <c r="A81" s="122" t="inlineStr">
        <is>
          <t>Balliu</t>
        </is>
      </c>
      <c r="B81" s="122" t="inlineStr">
        <is>
          <t>Eva RG Tumbona</t>
        </is>
      </c>
      <c r="C81" s="122" t="inlineStr">
        <is>
          <t>Chasis Blanco/Tela Balliu</t>
        </is>
      </c>
      <c r="D81" s="123" t="inlineStr">
        <is>
          <t>G1</t>
        </is>
      </c>
      <c r="E81" s="168" t="inlineStr">
        <is>
          <t>COMPLETO</t>
        </is>
      </c>
      <c r="F81" s="124" t="n">
        <v>94.7</v>
      </c>
      <c r="G81" s="123" t="inlineStr">
        <is>
          <t>2026-03-30</t>
        </is>
      </c>
      <c r="H81" s="124" t="n">
        <v>152.75</v>
      </c>
      <c r="I81" s="124" t="n">
        <v>184.83</v>
      </c>
      <c r="J81" s="123" t="inlineStr">
        <is>
          <t>2026-05-07</t>
        </is>
      </c>
      <c r="K81" s="124" t="n">
        <v>58.05</v>
      </c>
      <c r="L81" s="125" t="n">
        <v>38.00327332242225</v>
      </c>
      <c r="M81" s="125" t="n">
        <v>61.29883843717001</v>
      </c>
      <c r="N81" s="127" t="n"/>
      <c r="O81" s="127" t="n"/>
      <c r="P81" s="169" t="inlineStr"/>
      <c r="Q81" s="170" t="inlineStr"/>
    </row>
    <row r="82">
      <c r="A82" s="116" t="inlineStr">
        <is>
          <t>Balliu</t>
        </is>
      </c>
      <c r="B82" s="116" t="inlineStr">
        <is>
          <t>Eva Rt Tumbona</t>
        </is>
      </c>
      <c r="C82" s="116" t="inlineStr">
        <is>
          <t>Chasis Blanco/Tablillas</t>
        </is>
      </c>
      <c r="D82" s="117" t="inlineStr">
        <is>
          <t>G1</t>
        </is>
      </c>
      <c r="E82" s="165" t="inlineStr">
        <is>
          <t>COMPLETO</t>
        </is>
      </c>
      <c r="F82" s="118" t="n">
        <v>89.39</v>
      </c>
      <c r="G82" s="117" t="inlineStr">
        <is>
          <t>2026-03-30</t>
        </is>
      </c>
      <c r="H82" s="118" t="n">
        <v>144.18</v>
      </c>
      <c r="I82" s="118" t="n">
        <v>174.46</v>
      </c>
      <c r="J82" s="117" t="inlineStr">
        <is>
          <t>2026-05-07</t>
        </is>
      </c>
      <c r="K82" s="118" t="n">
        <v>54.79000000000001</v>
      </c>
      <c r="L82" s="119" t="n">
        <v>38.00110972395617</v>
      </c>
      <c r="M82" s="119" t="n">
        <v>61.29320953126749</v>
      </c>
      <c r="N82" s="121" t="n"/>
      <c r="O82" s="121" t="n"/>
      <c r="P82" s="166" t="inlineStr"/>
      <c r="Q82" s="167" t="inlineStr"/>
    </row>
    <row r="83">
      <c r="A83" s="122" t="inlineStr">
        <is>
          <t>Balliu</t>
        </is>
      </c>
      <c r="B83" s="122" t="inlineStr">
        <is>
          <t>Eva Rtg Tumbona</t>
        </is>
      </c>
      <c r="C83" s="122" t="inlineStr">
        <is>
          <t>Chasis Blanco/Tablillas</t>
        </is>
      </c>
      <c r="D83" s="123" t="inlineStr">
        <is>
          <t>G1</t>
        </is>
      </c>
      <c r="E83" s="168" t="inlineStr">
        <is>
          <t>COMPLETO</t>
        </is>
      </c>
      <c r="F83" s="124" t="n">
        <v>97.43000000000001</v>
      </c>
      <c r="G83" s="123" t="inlineStr">
        <is>
          <t>2026-03-30</t>
        </is>
      </c>
      <c r="H83" s="124" t="n">
        <v>157.14</v>
      </c>
      <c r="I83" s="124" t="n">
        <v>190.14</v>
      </c>
      <c r="J83" s="123" t="inlineStr">
        <is>
          <t>2026-05-07</t>
        </is>
      </c>
      <c r="K83" s="124" t="n">
        <v>59.70999999999998</v>
      </c>
      <c r="L83" s="125" t="n">
        <v>37.99796359933816</v>
      </c>
      <c r="M83" s="125" t="n">
        <v>61.28502514625883</v>
      </c>
      <c r="N83" s="127" t="n"/>
      <c r="O83" s="127" t="n"/>
      <c r="P83" s="169" t="inlineStr"/>
      <c r="Q83" s="170" t="inlineStr"/>
    </row>
    <row r="84">
      <c r="A84" s="116" t="inlineStr">
        <is>
          <t>Balliu</t>
        </is>
      </c>
      <c r="B84" s="116" t="inlineStr">
        <is>
          <t>Funda Parasol</t>
        </is>
      </c>
      <c r="C84" s="116" t="inlineStr">
        <is>
          <t>1 Unidades acrilico</t>
        </is>
      </c>
      <c r="D84" s="117" t="inlineStr">
        <is>
          <t>G2</t>
        </is>
      </c>
      <c r="E84" s="165" t="inlineStr">
        <is>
          <t>COMPLETO</t>
        </is>
      </c>
      <c r="F84" s="118" t="n">
        <v>19.68</v>
      </c>
      <c r="G84" s="117" t="inlineStr">
        <is>
          <t>2026-03-30</t>
        </is>
      </c>
      <c r="H84" s="118" t="n">
        <v>30.27</v>
      </c>
      <c r="I84" s="118" t="n">
        <v>36.63</v>
      </c>
      <c r="J84" s="117" t="inlineStr">
        <is>
          <t>2026-05-07</t>
        </is>
      </c>
      <c r="K84" s="118" t="n">
        <v>10.59</v>
      </c>
      <c r="L84" s="119" t="n">
        <v>34.98513379583746</v>
      </c>
      <c r="M84" s="119" t="n">
        <v>53.8109756097561</v>
      </c>
      <c r="N84" s="121" t="n"/>
      <c r="O84" s="121" t="n"/>
      <c r="P84" s="166" t="inlineStr"/>
      <c r="Q84" s="167" t="inlineStr"/>
    </row>
    <row r="85">
      <c r="A85" s="122" t="inlineStr">
        <is>
          <t>Balliu</t>
        </is>
      </c>
      <c r="B85" s="122" t="inlineStr">
        <is>
          <t>Funda Silla</t>
        </is>
      </c>
      <c r="C85" s="122" t="inlineStr">
        <is>
          <t>6 Unidades</t>
        </is>
      </c>
      <c r="D85" s="123" t="inlineStr">
        <is>
          <t>G2</t>
        </is>
      </c>
      <c r="E85" s="168" t="inlineStr">
        <is>
          <t>COMPLETO</t>
        </is>
      </c>
      <c r="F85" s="124" t="n">
        <v>45.21</v>
      </c>
      <c r="G85" s="123" t="inlineStr">
        <is>
          <t>2026-03-30</t>
        </is>
      </c>
      <c r="H85" s="124" t="n">
        <v>69.55</v>
      </c>
      <c r="I85" s="124" t="n">
        <v>84.16</v>
      </c>
      <c r="J85" s="123" t="inlineStr">
        <is>
          <t>2026-05-07</t>
        </is>
      </c>
      <c r="K85" s="124" t="n">
        <v>24.34</v>
      </c>
      <c r="L85" s="125" t="n">
        <v>34.99640546369518</v>
      </c>
      <c r="M85" s="125" t="n">
        <v>53.83764653837646</v>
      </c>
      <c r="N85" s="127" t="n"/>
      <c r="O85" s="127" t="n"/>
      <c r="P85" s="169" t="inlineStr"/>
      <c r="Q85" s="170" t="inlineStr"/>
    </row>
    <row r="86">
      <c r="A86" s="116" t="inlineStr">
        <is>
          <t>Balliu</t>
        </is>
      </c>
      <c r="B86" s="116" t="inlineStr">
        <is>
          <t>Funda Tumbona</t>
        </is>
      </c>
      <c r="C86" s="116" t="inlineStr">
        <is>
          <t>12 Unidades</t>
        </is>
      </c>
      <c r="D86" s="117" t="inlineStr">
        <is>
          <t>G2</t>
        </is>
      </c>
      <c r="E86" s="165" t="inlineStr">
        <is>
          <t>COMPLETO</t>
        </is>
      </c>
      <c r="F86" s="118" t="n">
        <v>137.94</v>
      </c>
      <c r="G86" s="117" t="inlineStr">
        <is>
          <t>2026-03-30</t>
        </is>
      </c>
      <c r="H86" s="118" t="n">
        <v>212.22</v>
      </c>
      <c r="I86" s="118" t="n">
        <v>256.79</v>
      </c>
      <c r="J86" s="117" t="inlineStr">
        <is>
          <t>2026-05-07</t>
        </is>
      </c>
      <c r="K86" s="118" t="n">
        <v>74.28</v>
      </c>
      <c r="L86" s="119" t="n">
        <v>35.00141362736782</v>
      </c>
      <c r="M86" s="119" t="n">
        <v>53.84949978251414</v>
      </c>
      <c r="N86" s="121" t="n"/>
      <c r="O86" s="121" t="n"/>
      <c r="P86" s="166" t="inlineStr"/>
      <c r="Q86" s="167" t="inlineStr"/>
    </row>
    <row r="87">
      <c r="A87" s="122" t="inlineStr">
        <is>
          <t>Balliu</t>
        </is>
      </c>
      <c r="B87" s="122" t="inlineStr">
        <is>
          <t>Funda Tumbona</t>
        </is>
      </c>
      <c r="C87" s="122" t="inlineStr">
        <is>
          <t>2 Unidades</t>
        </is>
      </c>
      <c r="D87" s="123" t="inlineStr">
        <is>
          <t>G2</t>
        </is>
      </c>
      <c r="E87" s="168" t="inlineStr">
        <is>
          <t>COMPLETO</t>
        </is>
      </c>
      <c r="F87" s="124" t="n">
        <v>42.82</v>
      </c>
      <c r="G87" s="123" t="inlineStr">
        <is>
          <t>2026-03-30</t>
        </is>
      </c>
      <c r="H87" s="124" t="n">
        <v>65.88</v>
      </c>
      <c r="I87" s="124" t="n">
        <v>79.70999999999999</v>
      </c>
      <c r="J87" s="123" t="inlineStr">
        <is>
          <t>2026-05-07</t>
        </is>
      </c>
      <c r="K87" s="124" t="n">
        <v>23.06</v>
      </c>
      <c r="L87" s="125" t="n">
        <v>35.00303582270795</v>
      </c>
      <c r="M87" s="125" t="n">
        <v>53.85333956095282</v>
      </c>
      <c r="N87" s="127" t="n"/>
      <c r="O87" s="127" t="n"/>
      <c r="P87" s="169" t="inlineStr"/>
      <c r="Q87" s="170" t="inlineStr"/>
    </row>
    <row r="88">
      <c r="A88" s="116" t="inlineStr">
        <is>
          <t>Balliu</t>
        </is>
      </c>
      <c r="B88" s="116" t="inlineStr">
        <is>
          <t>Funda Tumbona</t>
        </is>
      </c>
      <c r="C88" s="116" t="inlineStr">
        <is>
          <t>24 Unidades</t>
        </is>
      </c>
      <c r="D88" s="117" t="inlineStr">
        <is>
          <t>G2</t>
        </is>
      </c>
      <c r="E88" s="165" t="inlineStr">
        <is>
          <t>COMPLETO</t>
        </is>
      </c>
      <c r="F88" s="118" t="n">
        <v>176.97</v>
      </c>
      <c r="G88" s="117" t="inlineStr">
        <is>
          <t>2026-03-30</t>
        </is>
      </c>
      <c r="H88" s="118" t="n">
        <v>272.25</v>
      </c>
      <c r="I88" s="118" t="n">
        <v>329.42</v>
      </c>
      <c r="J88" s="117" t="inlineStr">
        <is>
          <t>2026-05-07</t>
        </is>
      </c>
      <c r="K88" s="118" t="n">
        <v>95.28</v>
      </c>
      <c r="L88" s="119" t="n">
        <v>34.99724517906336</v>
      </c>
      <c r="M88" s="119" t="n">
        <v>53.83963383624343</v>
      </c>
      <c r="N88" s="121" t="n"/>
      <c r="O88" s="121" t="n"/>
      <c r="P88" s="166" t="inlineStr"/>
      <c r="Q88" s="167" t="inlineStr"/>
    </row>
    <row r="89">
      <c r="A89" s="122" t="inlineStr">
        <is>
          <t>Balliu</t>
        </is>
      </c>
      <c r="B89" s="122" t="inlineStr">
        <is>
          <t>Funda sofá</t>
        </is>
      </c>
      <c r="C89" s="122" t="inlineStr">
        <is>
          <t>Sofá doble</t>
        </is>
      </c>
      <c r="D89" s="123" t="inlineStr">
        <is>
          <t>G2</t>
        </is>
      </c>
      <c r="E89" s="168" t="inlineStr">
        <is>
          <t>COMPLETO</t>
        </is>
      </c>
      <c r="F89" s="124" t="n">
        <v>99.95</v>
      </c>
      <c r="G89" s="123" t="inlineStr">
        <is>
          <t>2026-03-30</t>
        </is>
      </c>
      <c r="H89" s="124" t="n">
        <v>153.77</v>
      </c>
      <c r="I89" s="124" t="n">
        <v>186.06</v>
      </c>
      <c r="J89" s="123" t="inlineStr">
        <is>
          <t>2026-05-07</t>
        </is>
      </c>
      <c r="K89" s="124" t="n">
        <v>53.82000000000001</v>
      </c>
      <c r="L89" s="125" t="n">
        <v>35.00032516095467</v>
      </c>
      <c r="M89" s="125" t="n">
        <v>53.84692346173087</v>
      </c>
      <c r="N89" s="127" t="n"/>
      <c r="O89" s="127" t="n"/>
      <c r="P89" s="169" t="inlineStr"/>
      <c r="Q89" s="170" t="inlineStr"/>
    </row>
    <row r="90">
      <c r="A90" s="116" t="inlineStr">
        <is>
          <t>Balliu</t>
        </is>
      </c>
      <c r="B90" s="116" t="inlineStr">
        <is>
          <t>Funda sofá</t>
        </is>
      </c>
      <c r="C90" s="116" t="inlineStr">
        <is>
          <t>Sofá individual</t>
        </is>
      </c>
      <c r="D90" s="117" t="inlineStr">
        <is>
          <t>G2</t>
        </is>
      </c>
      <c r="E90" s="165" t="inlineStr">
        <is>
          <t>COMPLETO</t>
        </is>
      </c>
      <c r="F90" s="118" t="n">
        <v>69.70999999999999</v>
      </c>
      <c r="G90" s="117" t="inlineStr">
        <is>
          <t>2026-03-30</t>
        </is>
      </c>
      <c r="H90" s="118" t="n">
        <v>107.24</v>
      </c>
      <c r="I90" s="118" t="n">
        <v>129.76</v>
      </c>
      <c r="J90" s="117" t="inlineStr">
        <is>
          <t>2026-05-07</t>
        </is>
      </c>
      <c r="K90" s="118" t="n">
        <v>37.53</v>
      </c>
      <c r="L90" s="119" t="n">
        <v>34.99627004848937</v>
      </c>
      <c r="M90" s="119" t="n">
        <v>53.83732606512696</v>
      </c>
      <c r="N90" s="121" t="n"/>
      <c r="O90" s="121" t="n"/>
      <c r="P90" s="166" t="inlineStr"/>
      <c r="Q90" s="167" t="inlineStr"/>
    </row>
    <row r="91">
      <c r="A91" s="122" t="inlineStr">
        <is>
          <t>Balliu</t>
        </is>
      </c>
      <c r="B91" s="122" t="inlineStr">
        <is>
          <t>Funda sofá</t>
        </is>
      </c>
      <c r="C91" s="122" t="inlineStr">
        <is>
          <t>sofá triple</t>
        </is>
      </c>
      <c r="D91" s="123" t="inlineStr">
        <is>
          <t>G2</t>
        </is>
      </c>
      <c r="E91" s="168" t="inlineStr">
        <is>
          <t>COMPLETO</t>
        </is>
      </c>
      <c r="F91" s="124" t="n">
        <v>122.35</v>
      </c>
      <c r="G91" s="123" t="inlineStr">
        <is>
          <t>2026-03-30</t>
        </is>
      </c>
      <c r="H91" s="124" t="n">
        <v>188.24</v>
      </c>
      <c r="I91" s="124" t="n">
        <v>227.77</v>
      </c>
      <c r="J91" s="123" t="inlineStr">
        <is>
          <t>2026-05-07</t>
        </is>
      </c>
      <c r="K91" s="124" t="n">
        <v>65.89000000000001</v>
      </c>
      <c r="L91" s="125" t="n">
        <v>35.0031874203145</v>
      </c>
      <c r="M91" s="125" t="n">
        <v>53.85369840621171</v>
      </c>
      <c r="N91" s="127" t="n"/>
      <c r="O91" s="127" t="n"/>
      <c r="P91" s="169" t="inlineStr"/>
      <c r="Q91" s="170" t="inlineStr"/>
    </row>
    <row r="92">
      <c r="A92" s="116" t="inlineStr">
        <is>
          <t>Balliu</t>
        </is>
      </c>
      <c r="B92" s="116" t="inlineStr">
        <is>
          <t>Greta Mesa</t>
        </is>
      </c>
      <c r="C92" s="116" t="inlineStr">
        <is>
          <t>Tablero Aluminio</t>
        </is>
      </c>
      <c r="D92" s="117" t="inlineStr">
        <is>
          <t>G3</t>
        </is>
      </c>
      <c r="E92" s="165" t="inlineStr">
        <is>
          <t>COMPLETO</t>
        </is>
      </c>
      <c r="F92" s="118" t="n">
        <v>67.33</v>
      </c>
      <c r="G92" s="117" t="inlineStr">
        <is>
          <t>2026-03-30</t>
        </is>
      </c>
      <c r="H92" s="118" t="n">
        <v>89.78</v>
      </c>
      <c r="I92" s="118" t="n">
        <v>108.63</v>
      </c>
      <c r="J92" s="117" t="inlineStr">
        <is>
          <t>2026-05-07</t>
        </is>
      </c>
      <c r="K92" s="118" t="n">
        <v>22.45</v>
      </c>
      <c r="L92" s="119" t="n">
        <v>25.00556916907998</v>
      </c>
      <c r="M92" s="119" t="n">
        <v>33.34323481360464</v>
      </c>
      <c r="N92" s="121" t="n"/>
      <c r="O92" s="121" t="n"/>
      <c r="P92" s="166" t="inlineStr"/>
      <c r="Q92" s="167" t="inlineStr"/>
    </row>
    <row r="93">
      <c r="A93" s="122" t="inlineStr">
        <is>
          <t>Balliu</t>
        </is>
      </c>
      <c r="B93" s="122" t="inlineStr">
        <is>
          <t>Greta Silla</t>
        </is>
      </c>
      <c r="C93" s="122" t="inlineStr">
        <is>
          <t>Aluminio</t>
        </is>
      </c>
      <c r="D93" s="123" t="inlineStr">
        <is>
          <t>G3</t>
        </is>
      </c>
      <c r="E93" s="168" t="inlineStr">
        <is>
          <t>COMPLETO</t>
        </is>
      </c>
      <c r="F93" s="124" t="n">
        <v>96.11</v>
      </c>
      <c r="G93" s="123" t="inlineStr">
        <is>
          <t>2026-03-30</t>
        </is>
      </c>
      <c r="H93" s="124" t="n">
        <v>128.15</v>
      </c>
      <c r="I93" s="124" t="n">
        <v>155.06</v>
      </c>
      <c r="J93" s="123" t="inlineStr">
        <is>
          <t>2026-05-07</t>
        </is>
      </c>
      <c r="K93" s="124" t="n">
        <v>32.04000000000001</v>
      </c>
      <c r="L93" s="125" t="n">
        <v>25.00195083886072</v>
      </c>
      <c r="M93" s="125" t="n">
        <v>33.33680158152118</v>
      </c>
      <c r="N93" s="127" t="n"/>
      <c r="O93" s="127" t="n"/>
      <c r="P93" s="169" t="inlineStr"/>
      <c r="Q93" s="170" t="inlineStr"/>
    </row>
    <row r="94">
      <c r="A94" s="116" t="inlineStr">
        <is>
          <t>Balliu</t>
        </is>
      </c>
      <c r="B94" s="116" t="inlineStr">
        <is>
          <t>Iris Tumbona</t>
        </is>
      </c>
      <c r="C94" s="116" t="inlineStr">
        <is>
          <t>Con Ruedas</t>
        </is>
      </c>
      <c r="D94" s="117" t="inlineStr">
        <is>
          <t>G2</t>
        </is>
      </c>
      <c r="E94" s="165" t="inlineStr">
        <is>
          <t>COMPLETO</t>
        </is>
      </c>
      <c r="F94" s="118" t="n">
        <v>337.77</v>
      </c>
      <c r="G94" s="117" t="inlineStr">
        <is>
          <t>2026-03-30</t>
        </is>
      </c>
      <c r="H94" s="118" t="n">
        <v>519.64</v>
      </c>
      <c r="I94" s="118" t="n">
        <v>628.76</v>
      </c>
      <c r="J94" s="117" t="inlineStr">
        <is>
          <t>2026-05-07</t>
        </is>
      </c>
      <c r="K94" s="118" t="n">
        <v>181.87</v>
      </c>
      <c r="L94" s="119" t="n">
        <v>34.99923023631745</v>
      </c>
      <c r="M94" s="119" t="n">
        <v>53.84433194185393</v>
      </c>
      <c r="N94" s="121" t="n"/>
      <c r="O94" s="121" t="n"/>
      <c r="P94" s="166" t="inlineStr"/>
      <c r="Q94" s="167" t="inlineStr"/>
    </row>
    <row r="95">
      <c r="A95" s="122" t="inlineStr">
        <is>
          <t>Balliu</t>
        </is>
      </c>
      <c r="B95" s="122" t="inlineStr">
        <is>
          <t>Lola Tumbona</t>
        </is>
      </c>
      <c r="C95" s="122" t="inlineStr">
        <is>
          <t>Chasis Blanco/Tablillas</t>
        </is>
      </c>
      <c r="D95" s="123" t="inlineStr">
        <is>
          <t>G1</t>
        </is>
      </c>
      <c r="E95" s="168" t="inlineStr">
        <is>
          <t>COMPLETO</t>
        </is>
      </c>
      <c r="F95" s="124" t="n">
        <v>106.97</v>
      </c>
      <c r="G95" s="123" t="inlineStr">
        <is>
          <t>2026-03-30</t>
        </is>
      </c>
      <c r="H95" s="124" t="n">
        <v>172.53</v>
      </c>
      <c r="I95" s="124" t="n">
        <v>208.76</v>
      </c>
      <c r="J95" s="123" t="inlineStr">
        <is>
          <t>2026-05-07</t>
        </is>
      </c>
      <c r="K95" s="124" t="n">
        <v>65.56</v>
      </c>
      <c r="L95" s="125" t="n">
        <v>37.99918854691938</v>
      </c>
      <c r="M95" s="125" t="n">
        <v>61.28821164812565</v>
      </c>
      <c r="N95" s="127" t="n"/>
      <c r="O95" s="127" t="n"/>
      <c r="P95" s="169" t="inlineStr"/>
      <c r="Q95" s="170" t="inlineStr"/>
    </row>
    <row r="96">
      <c r="A96" s="116" t="inlineStr">
        <is>
          <t>Balliu</t>
        </is>
      </c>
      <c r="B96" s="116" t="inlineStr">
        <is>
          <t>Lola Tumbona</t>
        </is>
      </c>
      <c r="C96" s="116" t="inlineStr">
        <is>
          <t>Chasis Blanco/Tela Balliu</t>
        </is>
      </c>
      <c r="D96" s="117" t="inlineStr">
        <is>
          <t>G1</t>
        </is>
      </c>
      <c r="E96" s="165" t="inlineStr">
        <is>
          <t>COMPLETO</t>
        </is>
      </c>
      <c r="F96" s="118" t="n">
        <v>93.34</v>
      </c>
      <c r="G96" s="117" t="inlineStr">
        <is>
          <t>2026-03-30</t>
        </is>
      </c>
      <c r="H96" s="118" t="n">
        <v>150.55</v>
      </c>
      <c r="I96" s="118" t="n">
        <v>182.17</v>
      </c>
      <c r="J96" s="117" t="inlineStr">
        <is>
          <t>2026-05-07</t>
        </is>
      </c>
      <c r="K96" s="118" t="n">
        <v>57.21000000000001</v>
      </c>
      <c r="L96" s="119" t="n">
        <v>38.00066423115244</v>
      </c>
      <c r="M96" s="119" t="n">
        <v>61.29205056781659</v>
      </c>
      <c r="N96" s="121" t="n"/>
      <c r="O96" s="121" t="n"/>
      <c r="P96" s="166" t="inlineStr"/>
      <c r="Q96" s="167" t="inlineStr"/>
    </row>
    <row r="97">
      <c r="A97" s="122" t="inlineStr">
        <is>
          <t>Balliu</t>
        </is>
      </c>
      <c r="B97" s="122" t="inlineStr">
        <is>
          <t>Lola Tumbona</t>
        </is>
      </c>
      <c r="C97" s="122" t="inlineStr">
        <is>
          <t>Chasis Prestige/Tablillas</t>
        </is>
      </c>
      <c r="D97" s="123" t="inlineStr">
        <is>
          <t>G1</t>
        </is>
      </c>
      <c r="E97" s="168" t="inlineStr">
        <is>
          <t>COMPLETO</t>
        </is>
      </c>
      <c r="F97" s="124" t="n">
        <v>108.81</v>
      </c>
      <c r="G97" s="123" t="inlineStr">
        <is>
          <t>2026-03-30</t>
        </is>
      </c>
      <c r="H97" s="124" t="n">
        <v>175.49</v>
      </c>
      <c r="I97" s="124" t="n">
        <v>212.34</v>
      </c>
      <c r="J97" s="123" t="inlineStr">
        <is>
          <t>2026-05-07</t>
        </is>
      </c>
      <c r="K97" s="124" t="n">
        <v>66.68000000000001</v>
      </c>
      <c r="L97" s="125" t="n">
        <v>37.9964670351587</v>
      </c>
      <c r="M97" s="125" t="n">
        <v>61.28113224887419</v>
      </c>
      <c r="N97" s="127" t="n"/>
      <c r="O97" s="127" t="n"/>
      <c r="P97" s="169" t="inlineStr"/>
      <c r="Q97" s="170" t="inlineStr"/>
    </row>
    <row r="98">
      <c r="A98" s="116" t="inlineStr">
        <is>
          <t>Balliu</t>
        </is>
      </c>
      <c r="B98" s="116" t="inlineStr">
        <is>
          <t>Lola Tumbona</t>
        </is>
      </c>
      <c r="C98" s="116" t="inlineStr">
        <is>
          <t>Chasis Prestige/Tela Balliu</t>
        </is>
      </c>
      <c r="D98" s="117" t="inlineStr">
        <is>
          <t>G1</t>
        </is>
      </c>
      <c r="E98" s="165" t="inlineStr">
        <is>
          <t>COMPLETO</t>
        </is>
      </c>
      <c r="F98" s="118" t="n">
        <v>96.2</v>
      </c>
      <c r="G98" s="117" t="inlineStr">
        <is>
          <t>2026-03-30</t>
        </is>
      </c>
      <c r="H98" s="118" t="n">
        <v>155.16</v>
      </c>
      <c r="I98" s="118" t="n">
        <v>187.74</v>
      </c>
      <c r="J98" s="117" t="inlineStr">
        <is>
          <t>2026-05-07</t>
        </is>
      </c>
      <c r="K98" s="118" t="n">
        <v>58.95999999999999</v>
      </c>
      <c r="L98" s="119" t="n">
        <v>37.9994844031967</v>
      </c>
      <c r="M98" s="119" t="n">
        <v>61.28898128898128</v>
      </c>
      <c r="N98" s="121" t="n"/>
      <c r="O98" s="121" t="n"/>
      <c r="P98" s="166" t="inlineStr"/>
      <c r="Q98" s="167" t="inlineStr"/>
    </row>
    <row r="99">
      <c r="A99" s="122" t="inlineStr">
        <is>
          <t>Balliu</t>
        </is>
      </c>
      <c r="B99" s="122" t="inlineStr">
        <is>
          <t>Marina Mini Tumbona</t>
        </is>
      </c>
      <c r="C99" s="122" t="inlineStr">
        <is>
          <t>Mini Tumbona Marina Fija</t>
        </is>
      </c>
      <c r="D99" s="123" t="inlineStr">
        <is>
          <t>G2</t>
        </is>
      </c>
      <c r="E99" s="168" t="inlineStr">
        <is>
          <t>COMPLETO</t>
        </is>
      </c>
      <c r="F99" s="124" t="n">
        <v>114.6</v>
      </c>
      <c r="G99" s="123" t="inlineStr">
        <is>
          <t>2026-03-30</t>
        </is>
      </c>
      <c r="H99" s="124" t="n">
        <v>176.31</v>
      </c>
      <c r="I99" s="124" t="n">
        <v>213.34</v>
      </c>
      <c r="J99" s="123" t="inlineStr">
        <is>
          <t>2026-05-07</t>
        </is>
      </c>
      <c r="K99" s="124" t="n">
        <v>61.71000000000001</v>
      </c>
      <c r="L99" s="125" t="n">
        <v>35.00085077420453</v>
      </c>
      <c r="M99" s="125" t="n">
        <v>53.84816753926702</v>
      </c>
      <c r="N99" s="127" t="n"/>
      <c r="O99" s="127" t="n"/>
      <c r="P99" s="169" t="inlineStr"/>
      <c r="Q99" s="170" t="inlineStr"/>
    </row>
    <row r="100">
      <c r="A100" s="116" t="inlineStr">
        <is>
          <t>Balliu</t>
        </is>
      </c>
      <c r="B100" s="116" t="inlineStr">
        <is>
          <t>Marina Tumbona</t>
        </is>
      </c>
      <c r="C100" s="116" t="inlineStr">
        <is>
          <t>Tela Balliu</t>
        </is>
      </c>
      <c r="D100" s="117" t="inlineStr">
        <is>
          <t>G2</t>
        </is>
      </c>
      <c r="E100" s="165" t="inlineStr">
        <is>
          <t>COMPLETO</t>
        </is>
      </c>
      <c r="F100" s="118" t="n">
        <v>173.92</v>
      </c>
      <c r="G100" s="117" t="inlineStr">
        <is>
          <t>2026-03-30</t>
        </is>
      </c>
      <c r="H100" s="118" t="n">
        <v>267.57</v>
      </c>
      <c r="I100" s="118" t="n">
        <v>323.76</v>
      </c>
      <c r="J100" s="117" t="inlineStr">
        <is>
          <t>2026-05-07</t>
        </is>
      </c>
      <c r="K100" s="118" t="n">
        <v>93.65000000000001</v>
      </c>
      <c r="L100" s="119" t="n">
        <v>35.00018686698808</v>
      </c>
      <c r="M100" s="119" t="n">
        <v>53.84659613615456</v>
      </c>
      <c r="N100" s="121" t="n"/>
      <c r="O100" s="121" t="n"/>
      <c r="P100" s="166" t="inlineStr"/>
      <c r="Q100" s="167" t="inlineStr"/>
    </row>
    <row r="101">
      <c r="A101" s="122" t="inlineStr">
        <is>
          <t>Balliu</t>
        </is>
      </c>
      <c r="B101" s="122" t="inlineStr">
        <is>
          <t>Mesa Altea</t>
        </is>
      </c>
      <c r="C101" s="122" t="inlineStr">
        <is>
          <t>120 X 80 Hpl</t>
        </is>
      </c>
      <c r="D101" s="123" t="inlineStr">
        <is>
          <t>G2</t>
        </is>
      </c>
      <c r="E101" s="168" t="inlineStr">
        <is>
          <t>COMPLETO</t>
        </is>
      </c>
      <c r="F101" s="124" t="n">
        <v>361.89</v>
      </c>
      <c r="G101" s="123" t="inlineStr">
        <is>
          <t>2026-03-30</t>
        </is>
      </c>
      <c r="H101" s="124" t="n">
        <v>556.76</v>
      </c>
      <c r="I101" s="124" t="n">
        <v>673.6799999999999</v>
      </c>
      <c r="J101" s="123" t="inlineStr">
        <is>
          <t>2026-05-07</t>
        </is>
      </c>
      <c r="K101" s="124" t="n">
        <v>194.87</v>
      </c>
      <c r="L101" s="125" t="n">
        <v>35.00071844241684</v>
      </c>
      <c r="M101" s="125" t="n">
        <v>53.8478543203736</v>
      </c>
      <c r="N101" s="127" t="n"/>
      <c r="O101" s="127" t="n"/>
      <c r="P101" s="169" t="inlineStr"/>
      <c r="Q101" s="170" t="inlineStr"/>
    </row>
    <row r="102">
      <c r="A102" s="116" t="inlineStr">
        <is>
          <t>Balliu</t>
        </is>
      </c>
      <c r="B102" s="116" t="inlineStr">
        <is>
          <t>Mesa Altea</t>
        </is>
      </c>
      <c r="C102" s="116" t="inlineStr">
        <is>
          <t>120 X 80 Hpl Gd</t>
        </is>
      </c>
      <c r="D102" s="117" t="inlineStr">
        <is>
          <t>G2</t>
        </is>
      </c>
      <c r="E102" s="165" t="inlineStr">
        <is>
          <t>COMPLETO</t>
        </is>
      </c>
      <c r="F102" s="118" t="n">
        <v>368.6</v>
      </c>
      <c r="G102" s="117" t="inlineStr">
        <is>
          <t>2026-03-30</t>
        </is>
      </c>
      <c r="H102" s="118" t="n">
        <v>567.0700000000001</v>
      </c>
      <c r="I102" s="118" t="n">
        <v>686.15</v>
      </c>
      <c r="J102" s="117" t="inlineStr">
        <is>
          <t>2026-05-07</t>
        </is>
      </c>
      <c r="K102" s="118" t="n">
        <v>198.47</v>
      </c>
      <c r="L102" s="119" t="n">
        <v>34.99920644717584</v>
      </c>
      <c r="M102" s="119" t="n">
        <v>53.84427563754748</v>
      </c>
      <c r="N102" s="121" t="n"/>
      <c r="O102" s="121" t="n"/>
      <c r="P102" s="166" t="inlineStr"/>
      <c r="Q102" s="167" t="inlineStr"/>
    </row>
    <row r="103">
      <c r="A103" s="122" t="inlineStr">
        <is>
          <t>Balliu</t>
        </is>
      </c>
      <c r="B103" s="122" t="inlineStr">
        <is>
          <t>Mesa Altea</t>
        </is>
      </c>
      <c r="C103" s="122" t="inlineStr">
        <is>
          <t>70 X 70 Hpl Gd</t>
        </is>
      </c>
      <c r="D103" s="123" t="inlineStr">
        <is>
          <t>G2</t>
        </is>
      </c>
      <c r="E103" s="168" t="inlineStr">
        <is>
          <t>COMPLETO</t>
        </is>
      </c>
      <c r="F103" s="124" t="n">
        <v>258.36</v>
      </c>
      <c r="G103" s="123" t="inlineStr">
        <is>
          <t>2026-03-30</t>
        </is>
      </c>
      <c r="H103" s="124" t="n">
        <v>397.47</v>
      </c>
      <c r="I103" s="124" t="n">
        <v>480.94</v>
      </c>
      <c r="J103" s="123" t="inlineStr">
        <is>
          <t>2026-05-07</t>
        </is>
      </c>
      <c r="K103" s="124" t="n">
        <v>139.11</v>
      </c>
      <c r="L103" s="125" t="n">
        <v>34.9988678390822</v>
      </c>
      <c r="M103" s="125" t="n">
        <v>53.8434742220158</v>
      </c>
      <c r="N103" s="127" t="n"/>
      <c r="O103" s="127" t="n"/>
      <c r="P103" s="169" t="inlineStr"/>
      <c r="Q103" s="170" t="inlineStr"/>
    </row>
    <row r="104">
      <c r="A104" s="116" t="inlineStr">
        <is>
          <t>Balliu</t>
        </is>
      </c>
      <c r="B104" s="116" t="inlineStr">
        <is>
          <t>Mesa Altea</t>
        </is>
      </c>
      <c r="C104" s="116" t="inlineStr">
        <is>
          <t>70X70 Hpl</t>
        </is>
      </c>
      <c r="D104" s="117" t="inlineStr">
        <is>
          <t>G2</t>
        </is>
      </c>
      <c r="E104" s="165" t="inlineStr">
        <is>
          <t>COMPLETO</t>
        </is>
      </c>
      <c r="F104" s="118" t="n">
        <v>226.39</v>
      </c>
      <c r="G104" s="117" t="inlineStr">
        <is>
          <t>2026-03-30</t>
        </is>
      </c>
      <c r="H104" s="118" t="n">
        <v>348.29</v>
      </c>
      <c r="I104" s="118" t="n">
        <v>421.43</v>
      </c>
      <c r="J104" s="117" t="inlineStr">
        <is>
          <t>2026-05-07</t>
        </is>
      </c>
      <c r="K104" s="118" t="n">
        <v>121.9</v>
      </c>
      <c r="L104" s="119" t="n">
        <v>34.99956932441357</v>
      </c>
      <c r="M104" s="119" t="n">
        <v>53.84513450240737</v>
      </c>
      <c r="N104" s="121" t="n"/>
      <c r="O104" s="121" t="n"/>
      <c r="P104" s="166" t="inlineStr"/>
      <c r="Q104" s="167" t="inlineStr"/>
    </row>
    <row r="105">
      <c r="A105" s="122" t="inlineStr">
        <is>
          <t>Balliu</t>
        </is>
      </c>
      <c r="B105" s="122" t="inlineStr">
        <is>
          <t>Mesa Altea</t>
        </is>
      </c>
      <c r="C105" s="122" t="inlineStr">
        <is>
          <t>80 X 80 Hpl</t>
        </is>
      </c>
      <c r="D105" s="123" t="inlineStr">
        <is>
          <t>G2</t>
        </is>
      </c>
      <c r="E105" s="168" t="inlineStr">
        <is>
          <t>COMPLETO</t>
        </is>
      </c>
      <c r="F105" s="124" t="n">
        <v>226.79</v>
      </c>
      <c r="G105" s="123" t="inlineStr">
        <is>
          <t>2026-03-30</t>
        </is>
      </c>
      <c r="H105" s="124" t="n">
        <v>348.9</v>
      </c>
      <c r="I105" s="124" t="n">
        <v>422.17</v>
      </c>
      <c r="J105" s="123" t="inlineStr">
        <is>
          <t>2026-05-07</t>
        </is>
      </c>
      <c r="K105" s="124" t="n">
        <v>122.11</v>
      </c>
      <c r="L105" s="125" t="n">
        <v>34.99856692462023</v>
      </c>
      <c r="M105" s="125" t="n">
        <v>53.84276202654438</v>
      </c>
      <c r="N105" s="127" t="n"/>
      <c r="O105" s="127" t="n"/>
      <c r="P105" s="169" t="inlineStr"/>
      <c r="Q105" s="170" t="inlineStr"/>
    </row>
    <row r="106">
      <c r="A106" s="116" t="inlineStr">
        <is>
          <t>Balliu</t>
        </is>
      </c>
      <c r="B106" s="116" t="inlineStr">
        <is>
          <t>Mesa Altea</t>
        </is>
      </c>
      <c r="C106" s="116" t="inlineStr">
        <is>
          <t>80 X 80 Hpl Gd</t>
        </is>
      </c>
      <c r="D106" s="117" t="inlineStr">
        <is>
          <t>G2</t>
        </is>
      </c>
      <c r="E106" s="165" t="inlineStr">
        <is>
          <t>COMPLETO</t>
        </is>
      </c>
      <c r="F106" s="118" t="n">
        <v>258.75</v>
      </c>
      <c r="G106" s="117" t="inlineStr">
        <is>
          <t>2026-03-30</t>
        </is>
      </c>
      <c r="H106" s="118" t="n">
        <v>398.08</v>
      </c>
      <c r="I106" s="118" t="n">
        <v>481.68</v>
      </c>
      <c r="J106" s="117" t="inlineStr">
        <is>
          <t>2026-05-07</t>
        </is>
      </c>
      <c r="K106" s="118" t="n">
        <v>139.33</v>
      </c>
      <c r="L106" s="119" t="n">
        <v>35.00050241157556</v>
      </c>
      <c r="M106" s="119" t="n">
        <v>53.84734299516908</v>
      </c>
      <c r="N106" s="121" t="n"/>
      <c r="O106" s="121" t="n"/>
      <c r="P106" s="166" t="inlineStr"/>
      <c r="Q106" s="167" t="inlineStr"/>
    </row>
    <row r="107">
      <c r="A107" s="122" t="inlineStr">
        <is>
          <t>Balliu</t>
        </is>
      </c>
      <c r="B107" s="122" t="inlineStr">
        <is>
          <t>Mesa Altea</t>
        </is>
      </c>
      <c r="C107" s="122" t="inlineStr">
        <is>
          <t>Diam. 80 Hpl</t>
        </is>
      </c>
      <c r="D107" s="123" t="inlineStr">
        <is>
          <t>G2</t>
        </is>
      </c>
      <c r="E107" s="168" t="inlineStr">
        <is>
          <t>COMPLETO</t>
        </is>
      </c>
      <c r="F107" s="124" t="n">
        <v>205.19</v>
      </c>
      <c r="G107" s="123" t="inlineStr">
        <is>
          <t>2026-03-30</t>
        </is>
      </c>
      <c r="H107" s="124" t="n">
        <v>315.68</v>
      </c>
      <c r="I107" s="124" t="n">
        <v>381.97</v>
      </c>
      <c r="J107" s="123" t="inlineStr">
        <is>
          <t>2026-05-07</t>
        </is>
      </c>
      <c r="K107" s="124" t="n">
        <v>110.49</v>
      </c>
      <c r="L107" s="125" t="n">
        <v>35.00063355296503</v>
      </c>
      <c r="M107" s="125" t="n">
        <v>53.84765339441494</v>
      </c>
      <c r="N107" s="127" t="n"/>
      <c r="O107" s="127" t="n"/>
      <c r="P107" s="169" t="inlineStr"/>
      <c r="Q107" s="170" t="inlineStr"/>
    </row>
    <row r="108">
      <c r="A108" s="116" t="inlineStr">
        <is>
          <t>Balliu</t>
        </is>
      </c>
      <c r="B108" s="116" t="inlineStr">
        <is>
          <t>Mesa Altea</t>
        </is>
      </c>
      <c r="C108" s="116" t="inlineStr">
        <is>
          <t>Diam. 80 Hpl Gd</t>
        </is>
      </c>
      <c r="D108" s="117" t="inlineStr">
        <is>
          <t>G2</t>
        </is>
      </c>
      <c r="E108" s="165" t="inlineStr">
        <is>
          <t>COMPLETO</t>
        </is>
      </c>
      <c r="F108" s="118" t="n">
        <v>211.05</v>
      </c>
      <c r="G108" s="117" t="inlineStr">
        <is>
          <t>2026-03-30</t>
        </is>
      </c>
      <c r="H108" s="118" t="n">
        <v>324.68</v>
      </c>
      <c r="I108" s="118" t="n">
        <v>392.86</v>
      </c>
      <c r="J108" s="117" t="inlineStr">
        <is>
          <t>2026-05-07</t>
        </is>
      </c>
      <c r="K108" s="118" t="n">
        <v>113.63</v>
      </c>
      <c r="L108" s="119" t="n">
        <v>34.99753603548108</v>
      </c>
      <c r="M108" s="119" t="n">
        <v>53.84032219853115</v>
      </c>
      <c r="N108" s="121" t="n"/>
      <c r="O108" s="121" t="n"/>
      <c r="P108" s="166" t="inlineStr"/>
      <c r="Q108" s="167" t="inlineStr"/>
    </row>
    <row r="109">
      <c r="A109" s="122" t="inlineStr">
        <is>
          <t>Balliu</t>
        </is>
      </c>
      <c r="B109" s="122" t="inlineStr">
        <is>
          <t>Mesa Auxiliar Etna</t>
        </is>
      </c>
      <c r="C109" s="122" t="inlineStr">
        <is>
          <t>Tablero Hpl</t>
        </is>
      </c>
      <c r="D109" s="123" t="inlineStr">
        <is>
          <t>G2</t>
        </is>
      </c>
      <c r="E109" s="168" t="inlineStr">
        <is>
          <t>COMPLETO</t>
        </is>
      </c>
      <c r="F109" s="124" t="n">
        <v>89.70999999999999</v>
      </c>
      <c r="G109" s="123" t="inlineStr">
        <is>
          <t>2026-03-30</t>
        </is>
      </c>
      <c r="H109" s="124" t="n">
        <v>138.02</v>
      </c>
      <c r="I109" s="124" t="n">
        <v>167</v>
      </c>
      <c r="J109" s="123" t="inlineStr">
        <is>
          <t>2026-05-07</t>
        </is>
      </c>
      <c r="K109" s="124" t="n">
        <v>48.31000000000002</v>
      </c>
      <c r="L109" s="125" t="n">
        <v>35.00217359802928</v>
      </c>
      <c r="M109" s="125" t="n">
        <v>53.85129862891541</v>
      </c>
      <c r="N109" s="127" t="n"/>
      <c r="O109" s="127" t="n"/>
      <c r="P109" s="169" t="inlineStr"/>
      <c r="Q109" s="170" t="inlineStr"/>
    </row>
    <row r="110">
      <c r="A110" s="116" t="inlineStr">
        <is>
          <t>Balliu</t>
        </is>
      </c>
      <c r="B110" s="116" t="inlineStr">
        <is>
          <t>Mesa Auxiliar Etna</t>
        </is>
      </c>
      <c r="C110" s="116" t="inlineStr">
        <is>
          <t>Tablero Hpl Gd</t>
        </is>
      </c>
      <c r="D110" s="117" t="inlineStr">
        <is>
          <t>G2</t>
        </is>
      </c>
      <c r="E110" s="165" t="inlineStr">
        <is>
          <t>COMPLETO</t>
        </is>
      </c>
      <c r="F110" s="118" t="n">
        <v>94.05</v>
      </c>
      <c r="G110" s="117" t="inlineStr">
        <is>
          <t>2026-03-30</t>
        </is>
      </c>
      <c r="H110" s="118" t="n">
        <v>144.68</v>
      </c>
      <c r="I110" s="118" t="n">
        <v>175.06</v>
      </c>
      <c r="J110" s="117" t="inlineStr">
        <is>
          <t>2026-05-07</t>
        </is>
      </c>
      <c r="K110" s="118" t="n">
        <v>50.63000000000001</v>
      </c>
      <c r="L110" s="119" t="n">
        <v>34.99447055570916</v>
      </c>
      <c r="M110" s="119" t="n">
        <v>53.83306751727805</v>
      </c>
      <c r="N110" s="121" t="n"/>
      <c r="O110" s="121" t="n"/>
      <c r="P110" s="166" t="inlineStr"/>
      <c r="Q110" s="167" t="inlineStr"/>
    </row>
    <row r="111">
      <c r="A111" s="122" t="inlineStr">
        <is>
          <t>Balliu</t>
        </is>
      </c>
      <c r="B111" s="122" t="inlineStr">
        <is>
          <t>Mesa Java</t>
        </is>
      </c>
      <c r="C111" s="122" t="inlineStr">
        <is>
          <t>140/180X100 Extensible Hpl</t>
        </is>
      </c>
      <c r="D111" s="123" t="inlineStr">
        <is>
          <t>G3</t>
        </is>
      </c>
      <c r="E111" s="168" t="inlineStr">
        <is>
          <t>COMPLETO</t>
        </is>
      </c>
      <c r="F111" s="124" t="n">
        <v>975.21</v>
      </c>
      <c r="G111" s="123" t="inlineStr">
        <is>
          <t>2026-03-30</t>
        </is>
      </c>
      <c r="H111" s="124" t="n">
        <v>1300.28</v>
      </c>
      <c r="I111" s="124" t="n">
        <v>1573.34</v>
      </c>
      <c r="J111" s="123" t="inlineStr">
        <is>
          <t>2026-05-07</t>
        </is>
      </c>
      <c r="K111" s="124" t="n">
        <v>325.0699999999999</v>
      </c>
      <c r="L111" s="125" t="n">
        <v>24.99999999999999</v>
      </c>
      <c r="M111" s="125" t="n">
        <v>33.33333333333333</v>
      </c>
      <c r="N111" s="127" t="n"/>
      <c r="O111" s="127" t="n"/>
      <c r="P111" s="169" t="inlineStr"/>
      <c r="Q111" s="170" t="inlineStr"/>
    </row>
    <row r="112">
      <c r="A112" s="116" t="inlineStr">
        <is>
          <t>Balliu</t>
        </is>
      </c>
      <c r="B112" s="116" t="inlineStr">
        <is>
          <t>Mesa Java</t>
        </is>
      </c>
      <c r="C112" s="116" t="inlineStr">
        <is>
          <t>140/180X100 Extensible Hpl Gd</t>
        </is>
      </c>
      <c r="D112" s="117" t="inlineStr">
        <is>
          <t>G3</t>
        </is>
      </c>
      <c r="E112" s="165" t="inlineStr">
        <is>
          <t>COMPLETO</t>
        </is>
      </c>
      <c r="F112" s="118" t="n">
        <v>987.5599999999999</v>
      </c>
      <c r="G112" s="117" t="inlineStr">
        <is>
          <t>2026-03-30</t>
        </is>
      </c>
      <c r="H112" s="118" t="n">
        <v>1316.74</v>
      </c>
      <c r="I112" s="118" t="n">
        <v>1593.26</v>
      </c>
      <c r="J112" s="117" t="inlineStr">
        <is>
          <t>2026-05-07</t>
        </is>
      </c>
      <c r="K112" s="118" t="n">
        <v>329.1800000000001</v>
      </c>
      <c r="L112" s="119" t="n">
        <v>24.99962027431384</v>
      </c>
      <c r="M112" s="119" t="n">
        <v>33.33265826886468</v>
      </c>
      <c r="N112" s="121" t="n"/>
      <c r="O112" s="121" t="n"/>
      <c r="P112" s="166" t="inlineStr"/>
      <c r="Q112" s="167" t="inlineStr"/>
    </row>
    <row r="113">
      <c r="A113" s="122" t="inlineStr">
        <is>
          <t>Balliu</t>
        </is>
      </c>
      <c r="B113" s="122" t="inlineStr">
        <is>
          <t>Mesa Java</t>
        </is>
      </c>
      <c r="C113" s="122" t="inlineStr">
        <is>
          <t>200/260X100 Extensible Hpl</t>
        </is>
      </c>
      <c r="D113" s="123" t="inlineStr">
        <is>
          <t>G3</t>
        </is>
      </c>
      <c r="E113" s="168" t="inlineStr">
        <is>
          <t>COMPLETO</t>
        </is>
      </c>
      <c r="F113" s="124" t="n">
        <v>1250.19</v>
      </c>
      <c r="G113" s="123" t="inlineStr">
        <is>
          <t>2026-03-30</t>
        </is>
      </c>
      <c r="H113" s="124" t="n">
        <v>1666.92</v>
      </c>
      <c r="I113" s="124" t="n">
        <v>2016.97</v>
      </c>
      <c r="J113" s="123" t="inlineStr">
        <is>
          <t>2026-05-07</t>
        </is>
      </c>
      <c r="K113" s="124" t="n">
        <v>416.73</v>
      </c>
      <c r="L113" s="125" t="n">
        <v>25</v>
      </c>
      <c r="M113" s="125" t="n">
        <v>33.33333333333333</v>
      </c>
      <c r="N113" s="127" t="n"/>
      <c r="O113" s="127" t="n"/>
      <c r="P113" s="169" t="inlineStr"/>
      <c r="Q113" s="170" t="inlineStr"/>
    </row>
    <row r="114">
      <c r="A114" s="116" t="inlineStr">
        <is>
          <t>Balliu</t>
        </is>
      </c>
      <c r="B114" s="116" t="inlineStr">
        <is>
          <t>Mesa Java</t>
        </is>
      </c>
      <c r="C114" s="116" t="inlineStr">
        <is>
          <t>200/260X100 Extensible Hpl Gd</t>
        </is>
      </c>
      <c r="D114" s="117" t="inlineStr">
        <is>
          <t>G3</t>
        </is>
      </c>
      <c r="E114" s="165" t="inlineStr">
        <is>
          <t>COMPLETO</t>
        </is>
      </c>
      <c r="F114" s="118" t="n">
        <v>1423.37</v>
      </c>
      <c r="G114" s="117" t="inlineStr">
        <is>
          <t>2026-03-30</t>
        </is>
      </c>
      <c r="H114" s="118" t="n">
        <v>1897.82</v>
      </c>
      <c r="I114" s="118" t="n">
        <v>2296.36</v>
      </c>
      <c r="J114" s="117" t="inlineStr">
        <is>
          <t>2026-05-07</t>
        </is>
      </c>
      <c r="K114" s="118" t="n">
        <v>474.45</v>
      </c>
      <c r="L114" s="119" t="n">
        <v>24.99973653981938</v>
      </c>
      <c r="M114" s="119" t="n">
        <v>33.33286496132419</v>
      </c>
      <c r="N114" s="121" t="n"/>
      <c r="O114" s="121" t="n"/>
      <c r="P114" s="166" t="inlineStr"/>
      <c r="Q114" s="167" t="inlineStr"/>
    </row>
    <row r="115">
      <c r="A115" s="122" t="inlineStr">
        <is>
          <t>Balliu</t>
        </is>
      </c>
      <c r="B115" s="122" t="inlineStr">
        <is>
          <t>Mila Silla</t>
        </is>
      </c>
      <c r="C115" s="122" t="inlineStr">
        <is>
          <t>Con Brazos</t>
        </is>
      </c>
      <c r="D115" s="123" t="inlineStr">
        <is>
          <t>G3</t>
        </is>
      </c>
      <c r="E115" s="168" t="inlineStr">
        <is>
          <t>COMPLETO</t>
        </is>
      </c>
      <c r="F115" s="124" t="n">
        <v>60.67</v>
      </c>
      <c r="G115" s="123" t="inlineStr">
        <is>
          <t>2026-03-30</t>
        </is>
      </c>
      <c r="H115" s="124" t="n">
        <v>80.89</v>
      </c>
      <c r="I115" s="124" t="n">
        <v>97.88</v>
      </c>
      <c r="J115" s="123" t="inlineStr">
        <is>
          <t>2026-05-07</t>
        </is>
      </c>
      <c r="K115" s="124" t="n">
        <v>20.22</v>
      </c>
      <c r="L115" s="125" t="n">
        <v>24.99690938311287</v>
      </c>
      <c r="M115" s="125" t="n">
        <v>33.32783912971814</v>
      </c>
      <c r="N115" s="127" t="n"/>
      <c r="O115" s="127" t="n"/>
      <c r="P115" s="169" t="inlineStr"/>
      <c r="Q115" s="170" t="inlineStr"/>
    </row>
    <row r="116">
      <c r="A116" s="116" t="inlineStr">
        <is>
          <t>Balliu</t>
        </is>
      </c>
      <c r="B116" s="116" t="inlineStr">
        <is>
          <t>Mini Mesa</t>
        </is>
      </c>
      <c r="C116" s="116" t="inlineStr">
        <is>
          <t>Color Blanco</t>
        </is>
      </c>
      <c r="D116" s="117" t="inlineStr">
        <is>
          <t>G1</t>
        </is>
      </c>
      <c r="E116" s="165" t="inlineStr">
        <is>
          <t>COMPLETO</t>
        </is>
      </c>
      <c r="F116" s="118" t="n">
        <v>14.17</v>
      </c>
      <c r="G116" s="117" t="inlineStr">
        <is>
          <t>2026-03-30</t>
        </is>
      </c>
      <c r="H116" s="118" t="n">
        <v>22.86</v>
      </c>
      <c r="I116" s="118" t="n">
        <v>27.66</v>
      </c>
      <c r="J116" s="117" t="inlineStr">
        <is>
          <t>2026-05-07</t>
        </is>
      </c>
      <c r="K116" s="118" t="n">
        <v>8.69</v>
      </c>
      <c r="L116" s="119" t="n">
        <v>38.01399825021872</v>
      </c>
      <c r="M116" s="119" t="n">
        <v>61.32674664784756</v>
      </c>
      <c r="N116" s="121" t="n"/>
      <c r="O116" s="121" t="n"/>
      <c r="P116" s="166" t="inlineStr"/>
      <c r="Q116" s="167" t="inlineStr"/>
    </row>
    <row r="117">
      <c r="A117" s="122" t="inlineStr">
        <is>
          <t>Balliu</t>
        </is>
      </c>
      <c r="B117" s="122" t="inlineStr">
        <is>
          <t>Mini Mesa</t>
        </is>
      </c>
      <c r="C117" s="122" t="inlineStr">
        <is>
          <t>Color Natural/Prestige/Estandar</t>
        </is>
      </c>
      <c r="D117" s="123" t="inlineStr">
        <is>
          <t>G1</t>
        </is>
      </c>
      <c r="E117" s="168" t="inlineStr">
        <is>
          <t>COMPLETO</t>
        </is>
      </c>
      <c r="F117" s="124" t="n">
        <v>14.95</v>
      </c>
      <c r="G117" s="123" t="inlineStr">
        <is>
          <t>2026-03-30</t>
        </is>
      </c>
      <c r="H117" s="124" t="n">
        <v>24.11</v>
      </c>
      <c r="I117" s="124" t="n">
        <v>29.17</v>
      </c>
      <c r="J117" s="123" t="inlineStr">
        <is>
          <t>2026-05-07</t>
        </is>
      </c>
      <c r="K117" s="124" t="n">
        <v>9.16</v>
      </c>
      <c r="L117" s="125" t="n">
        <v>37.99253421816673</v>
      </c>
      <c r="M117" s="125" t="n">
        <v>61.27090301003345</v>
      </c>
      <c r="N117" s="127" t="n"/>
      <c r="O117" s="127" t="n"/>
      <c r="P117" s="169" t="inlineStr"/>
      <c r="Q117" s="170" t="inlineStr"/>
    </row>
    <row r="118">
      <c r="A118" s="116" t="inlineStr">
        <is>
          <t>Balliu</t>
        </is>
      </c>
      <c r="B118" s="116" t="inlineStr">
        <is>
          <t>Mini Mesa Eva Pro</t>
        </is>
      </c>
      <c r="C118" s="116" t="inlineStr">
        <is>
          <t>Color Blanco</t>
        </is>
      </c>
      <c r="D118" s="117" t="inlineStr">
        <is>
          <t>G1</t>
        </is>
      </c>
      <c r="E118" s="165" t="inlineStr">
        <is>
          <t>COMPLETO</t>
        </is>
      </c>
      <c r="F118" s="118" t="n">
        <v>17.13</v>
      </c>
      <c r="G118" s="117" t="inlineStr">
        <is>
          <t>2026-03-30</t>
        </is>
      </c>
      <c r="H118" s="118" t="n">
        <v>27.63</v>
      </c>
      <c r="I118" s="118" t="n">
        <v>33.43</v>
      </c>
      <c r="J118" s="117" t="inlineStr">
        <is>
          <t>2026-05-07</t>
        </is>
      </c>
      <c r="K118" s="118" t="n">
        <v>10.5</v>
      </c>
      <c r="L118" s="119" t="n">
        <v>38.00217155266015</v>
      </c>
      <c r="M118" s="119" t="n">
        <v>61.29597197898424</v>
      </c>
      <c r="N118" s="121" t="n"/>
      <c r="O118" s="121" t="n"/>
      <c r="P118" s="166" t="inlineStr"/>
      <c r="Q118" s="167" t="inlineStr"/>
    </row>
    <row r="119">
      <c r="A119" s="122" t="inlineStr">
        <is>
          <t>Balliu</t>
        </is>
      </c>
      <c r="B119" s="122" t="inlineStr">
        <is>
          <t>Mini Mesa Eva Pro</t>
        </is>
      </c>
      <c r="C119" s="122" t="inlineStr">
        <is>
          <t>Color Natural/Pr Estige</t>
        </is>
      </c>
      <c r="D119" s="123" t="inlineStr">
        <is>
          <t>G1</t>
        </is>
      </c>
      <c r="E119" s="168" t="inlineStr">
        <is>
          <t>COMPLETO</t>
        </is>
      </c>
      <c r="F119" s="124" t="n">
        <v>17.63</v>
      </c>
      <c r="G119" s="123" t="inlineStr">
        <is>
          <t>2026-03-30</t>
        </is>
      </c>
      <c r="H119" s="124" t="n">
        <v>28.44</v>
      </c>
      <c r="I119" s="124" t="n">
        <v>34.41</v>
      </c>
      <c r="J119" s="123" t="inlineStr">
        <is>
          <t>2026-05-07</t>
        </is>
      </c>
      <c r="K119" s="124" t="n">
        <v>10.81</v>
      </c>
      <c r="L119" s="125" t="n">
        <v>38.0098452883263</v>
      </c>
      <c r="M119" s="125" t="n">
        <v>61.31593874078277</v>
      </c>
      <c r="N119" s="127" t="n"/>
      <c r="O119" s="127" t="n"/>
      <c r="P119" s="169" t="inlineStr"/>
      <c r="Q119" s="170" t="inlineStr"/>
    </row>
    <row r="120">
      <c r="A120" s="116" t="inlineStr">
        <is>
          <t>Balliu</t>
        </is>
      </c>
      <c r="B120" s="116" t="inlineStr">
        <is>
          <t>Noa Auxiliar Mesa</t>
        </is>
      </c>
      <c r="C120" s="116" t="inlineStr">
        <is>
          <t>Color Blanco</t>
        </is>
      </c>
      <c r="D120" s="117" t="inlineStr">
        <is>
          <t>G2</t>
        </is>
      </c>
      <c r="E120" s="165" t="inlineStr">
        <is>
          <t>COMPLETO</t>
        </is>
      </c>
      <c r="F120" s="118" t="n">
        <v>69.97</v>
      </c>
      <c r="G120" s="117" t="inlineStr">
        <is>
          <t>2026-03-30</t>
        </is>
      </c>
      <c r="H120" s="118" t="n">
        <v>107.64</v>
      </c>
      <c r="I120" s="118" t="n">
        <v>130.24</v>
      </c>
      <c r="J120" s="117" t="inlineStr">
        <is>
          <t>2026-05-07</t>
        </is>
      </c>
      <c r="K120" s="118" t="n">
        <v>37.67</v>
      </c>
      <c r="L120" s="119" t="n">
        <v>34.99628390932739</v>
      </c>
      <c r="M120" s="119" t="n">
        <v>53.83735886808633</v>
      </c>
      <c r="N120" s="121" t="n"/>
      <c r="O120" s="121" t="n"/>
      <c r="P120" s="166" t="inlineStr"/>
      <c r="Q120" s="167" t="inlineStr"/>
    </row>
    <row r="121">
      <c r="A121" s="122" t="inlineStr">
        <is>
          <t>Balliu</t>
        </is>
      </c>
      <c r="B121" s="122" t="inlineStr">
        <is>
          <t>Noa Auxiliar Mesa</t>
        </is>
      </c>
      <c r="C121" s="122" t="inlineStr">
        <is>
          <t>Color Natural/Prestige</t>
        </is>
      </c>
      <c r="D121" s="123" t="inlineStr">
        <is>
          <t>G2</t>
        </is>
      </c>
      <c r="E121" s="168" t="inlineStr">
        <is>
          <t>COMPLETO</t>
        </is>
      </c>
      <c r="F121" s="124" t="n">
        <v>73.58</v>
      </c>
      <c r="G121" s="123" t="inlineStr">
        <is>
          <t>2026-03-30</t>
        </is>
      </c>
      <c r="H121" s="124" t="n">
        <v>113.21</v>
      </c>
      <c r="I121" s="124" t="n">
        <v>136.98</v>
      </c>
      <c r="J121" s="123" t="inlineStr">
        <is>
          <t>2026-05-07</t>
        </is>
      </c>
      <c r="K121" s="124" t="n">
        <v>39.63</v>
      </c>
      <c r="L121" s="125" t="n">
        <v>35.00574154226658</v>
      </c>
      <c r="M121" s="125" t="n">
        <v>53.8597444957869</v>
      </c>
      <c r="N121" s="127" t="n"/>
      <c r="O121" s="127" t="n"/>
      <c r="P121" s="169" t="inlineStr"/>
      <c r="Q121" s="170" t="inlineStr"/>
    </row>
    <row r="122">
      <c r="A122" s="116" t="inlineStr">
        <is>
          <t>Balliu</t>
        </is>
      </c>
      <c r="B122" s="116" t="inlineStr">
        <is>
          <t>Noa Tumbona Apilable</t>
        </is>
      </c>
      <c r="C122" s="116" t="inlineStr">
        <is>
          <t>Chasis Blanco/Tela Balliu</t>
        </is>
      </c>
      <c r="D122" s="117" t="inlineStr">
        <is>
          <t>G4</t>
        </is>
      </c>
      <c r="E122" s="165" t="inlineStr">
        <is>
          <t>COMPLETO</t>
        </is>
      </c>
      <c r="F122" s="118" t="n">
        <v>215.24</v>
      </c>
      <c r="G122" s="117" t="inlineStr">
        <is>
          <t>2026-03-30</t>
        </is>
      </c>
      <c r="H122" s="118" t="n">
        <v>331.14</v>
      </c>
      <c r="I122" s="118" t="n">
        <v>400.68</v>
      </c>
      <c r="J122" s="117" t="inlineStr">
        <is>
          <t>2026-05-07</t>
        </is>
      </c>
      <c r="K122" s="118" t="n">
        <v>115.9</v>
      </c>
      <c r="L122" s="119" t="n">
        <v>35.00030198707495</v>
      </c>
      <c r="M122" s="119" t="n">
        <v>53.84686861178218</v>
      </c>
      <c r="N122" s="121" t="n"/>
      <c r="O122" s="121" t="n"/>
      <c r="P122" s="166" t="inlineStr"/>
      <c r="Q122" s="167" t="inlineStr"/>
    </row>
    <row r="123">
      <c r="A123" s="122" t="inlineStr">
        <is>
          <t>Balliu</t>
        </is>
      </c>
      <c r="B123" s="122" t="inlineStr">
        <is>
          <t>Noa Tumbona Apilable</t>
        </is>
      </c>
      <c r="C123" s="122" t="inlineStr">
        <is>
          <t>Chasis Prestige/Tela Balliu</t>
        </is>
      </c>
      <c r="D123" s="123" t="inlineStr">
        <is>
          <t>G4</t>
        </is>
      </c>
      <c r="E123" s="168" t="inlineStr">
        <is>
          <t>COMPLETO</t>
        </is>
      </c>
      <c r="F123" s="124" t="n">
        <v>225.25</v>
      </c>
      <c r="G123" s="123" t="inlineStr">
        <is>
          <t>2026-03-30</t>
        </is>
      </c>
      <c r="H123" s="124" t="n">
        <v>346.54</v>
      </c>
      <c r="I123" s="124" t="n">
        <v>419.31</v>
      </c>
      <c r="J123" s="123" t="inlineStr">
        <is>
          <t>2026-05-07</t>
        </is>
      </c>
      <c r="K123" s="124" t="n">
        <v>121.29</v>
      </c>
      <c r="L123" s="125" t="n">
        <v>35.0002885669764</v>
      </c>
      <c r="M123" s="125" t="n">
        <v>53.84683684794673</v>
      </c>
      <c r="N123" s="127" t="n"/>
      <c r="O123" s="127" t="n"/>
      <c r="P123" s="169" t="inlineStr"/>
      <c r="Q123" s="170" t="inlineStr"/>
    </row>
    <row r="124">
      <c r="A124" s="116" t="inlineStr">
        <is>
          <t>Balliu</t>
        </is>
      </c>
      <c r="B124" s="116" t="inlineStr">
        <is>
          <t>Nora Mesa</t>
        </is>
      </c>
      <c r="C124" s="116" t="inlineStr">
        <is>
          <t>Diametro 70 Aluminio</t>
        </is>
      </c>
      <c r="D124" s="117" t="inlineStr">
        <is>
          <t>G2</t>
        </is>
      </c>
      <c r="E124" s="165" t="inlineStr">
        <is>
          <t>COMPLETO</t>
        </is>
      </c>
      <c r="F124" s="118" t="n">
        <v>120.39</v>
      </c>
      <c r="G124" s="117" t="inlineStr">
        <is>
          <t>2026-03-30</t>
        </is>
      </c>
      <c r="H124" s="118" t="n">
        <v>185.21</v>
      </c>
      <c r="I124" s="118" t="n">
        <v>224.1</v>
      </c>
      <c r="J124" s="117" t="inlineStr">
        <is>
          <t>2026-05-07</t>
        </is>
      </c>
      <c r="K124" s="118" t="n">
        <v>64.82000000000001</v>
      </c>
      <c r="L124" s="119" t="n">
        <v>34.99811025322607</v>
      </c>
      <c r="M124" s="119" t="n">
        <v>53.84168120275771</v>
      </c>
      <c r="N124" s="121" t="n"/>
      <c r="O124" s="121" t="n"/>
      <c r="P124" s="166" t="inlineStr"/>
      <c r="Q124" s="167" t="inlineStr"/>
    </row>
    <row r="125">
      <c r="A125" s="122" t="inlineStr">
        <is>
          <t>Balliu</t>
        </is>
      </c>
      <c r="B125" s="122" t="inlineStr">
        <is>
          <t>Ocean Parasol</t>
        </is>
      </c>
      <c r="C125" s="122" t="inlineStr">
        <is>
          <t>Parasol tela Balliu</t>
        </is>
      </c>
      <c r="D125" s="123" t="inlineStr">
        <is>
          <t>G2</t>
        </is>
      </c>
      <c r="E125" s="168" t="inlineStr">
        <is>
          <t>COMPLETO</t>
        </is>
      </c>
      <c r="F125" s="124" t="n">
        <v>163.38</v>
      </c>
      <c r="G125" s="123" t="inlineStr">
        <is>
          <t>2026-03-30</t>
        </is>
      </c>
      <c r="H125" s="124" t="n">
        <v>251.35</v>
      </c>
      <c r="I125" s="124" t="n">
        <v>304.13</v>
      </c>
      <c r="J125" s="123" t="inlineStr">
        <is>
          <t>2026-05-07</t>
        </is>
      </c>
      <c r="K125" s="124" t="n">
        <v>87.97</v>
      </c>
      <c r="L125" s="125" t="n">
        <v>34.99900537099661</v>
      </c>
      <c r="M125" s="125" t="n">
        <v>53.84379973068919</v>
      </c>
      <c r="N125" s="127" t="n"/>
      <c r="O125" s="127" t="n"/>
      <c r="P125" s="169" t="inlineStr"/>
      <c r="Q125" s="170" t="inlineStr"/>
    </row>
    <row r="126">
      <c r="A126" s="116" t="inlineStr">
        <is>
          <t>Balliu</t>
        </is>
      </c>
      <c r="B126" s="116" t="inlineStr">
        <is>
          <t>Ocean Parasol</t>
        </is>
      </c>
      <c r="C126" s="116" t="inlineStr">
        <is>
          <t>Parasol tela Balliu 250 cm.</t>
        </is>
      </c>
      <c r="D126" s="117" t="inlineStr">
        <is>
          <t>G2</t>
        </is>
      </c>
      <c r="E126" s="165" t="inlineStr">
        <is>
          <t>COMPLETO</t>
        </is>
      </c>
      <c r="F126" s="118" t="n">
        <v>204.95</v>
      </c>
      <c r="G126" s="117" t="inlineStr">
        <is>
          <t>2026-03-30</t>
        </is>
      </c>
      <c r="H126" s="118" t="n">
        <v>315.32</v>
      </c>
      <c r="I126" s="118" t="n">
        <v>381.54</v>
      </c>
      <c r="J126" s="117" t="inlineStr">
        <is>
          <t>2026-05-07</t>
        </is>
      </c>
      <c r="K126" s="118" t="n">
        <v>110.37</v>
      </c>
      <c r="L126" s="119" t="n">
        <v>35.00253710516301</v>
      </c>
      <c r="M126" s="119" t="n">
        <v>53.85215906318614</v>
      </c>
      <c r="N126" s="121" t="n"/>
      <c r="O126" s="121" t="n"/>
      <c r="P126" s="166" t="inlineStr"/>
      <c r="Q126" s="167" t="inlineStr"/>
    </row>
    <row r="127">
      <c r="A127" s="122" t="inlineStr">
        <is>
          <t>Balliu</t>
        </is>
      </c>
      <c r="B127" s="122" t="inlineStr">
        <is>
          <t>Ocean Parasol</t>
        </is>
      </c>
      <c r="C127" s="122" t="inlineStr">
        <is>
          <t>Parasol tela acrílica</t>
        </is>
      </c>
      <c r="D127" s="123" t="inlineStr">
        <is>
          <t>G2</t>
        </is>
      </c>
      <c r="E127" s="168" t="inlineStr">
        <is>
          <t>COMPLETO</t>
        </is>
      </c>
      <c r="F127" s="124" t="n">
        <v>213.86</v>
      </c>
      <c r="G127" s="123" t="inlineStr">
        <is>
          <t>2026-03-30</t>
        </is>
      </c>
      <c r="H127" s="124" t="n">
        <v>329.01</v>
      </c>
      <c r="I127" s="124" t="n">
        <v>398.1</v>
      </c>
      <c r="J127" s="123" t="inlineStr">
        <is>
          <t>2026-05-07</t>
        </is>
      </c>
      <c r="K127" s="124" t="n">
        <v>115.15</v>
      </c>
      <c r="L127" s="125" t="n">
        <v>34.99893620254703</v>
      </c>
      <c r="M127" s="125" t="n">
        <v>53.84363602356681</v>
      </c>
      <c r="N127" s="127" t="n"/>
      <c r="O127" s="127" t="n"/>
      <c r="P127" s="169" t="inlineStr"/>
      <c r="Q127" s="170" t="inlineStr"/>
    </row>
    <row r="128">
      <c r="A128" s="116" t="inlineStr">
        <is>
          <t>Balliu</t>
        </is>
      </c>
      <c r="B128" s="116" t="inlineStr">
        <is>
          <t>Ocean Parasol</t>
        </is>
      </c>
      <c r="C128" s="116" t="inlineStr">
        <is>
          <t>Parasol tela acrílica 250 cm.</t>
        </is>
      </c>
      <c r="D128" s="117" t="inlineStr">
        <is>
          <t>G2</t>
        </is>
      </c>
      <c r="E128" s="165" t="inlineStr">
        <is>
          <t>COMPLETO</t>
        </is>
      </c>
      <c r="F128" s="118" t="n">
        <v>222.76</v>
      </c>
      <c r="G128" s="117" t="inlineStr">
        <is>
          <t>2026-03-30</t>
        </is>
      </c>
      <c r="H128" s="118" t="n">
        <v>342.7</v>
      </c>
      <c r="I128" s="118" t="n">
        <v>414.67</v>
      </c>
      <c r="J128" s="117" t="inlineStr">
        <is>
          <t>2026-05-07</t>
        </is>
      </c>
      <c r="K128" s="118" t="n">
        <v>119.94</v>
      </c>
      <c r="L128" s="119" t="n">
        <v>34.9985409979574</v>
      </c>
      <c r="M128" s="119" t="n">
        <v>53.84270066439218</v>
      </c>
      <c r="N128" s="121" t="n"/>
      <c r="O128" s="121" t="n"/>
      <c r="P128" s="166" t="inlineStr"/>
      <c r="Q128" s="167" t="inlineStr"/>
    </row>
    <row r="129">
      <c r="A129" s="122" t="inlineStr">
        <is>
          <t>Balliu</t>
        </is>
      </c>
      <c r="B129" s="122" t="inlineStr">
        <is>
          <t>Olimpia Auxiliar Mesa</t>
        </is>
      </c>
      <c r="C129" s="122" t="inlineStr">
        <is>
          <t>Mesa auxiliar Tela Balliu</t>
        </is>
      </c>
      <c r="D129" s="123" t="inlineStr">
        <is>
          <t>G2</t>
        </is>
      </c>
      <c r="E129" s="168" t="inlineStr">
        <is>
          <t>COMPLETO</t>
        </is>
      </c>
      <c r="F129" s="124" t="n">
        <v>84.68000000000001</v>
      </c>
      <c r="G129" s="123" t="inlineStr">
        <is>
          <t>2026-03-30</t>
        </is>
      </c>
      <c r="H129" s="124" t="n">
        <v>130.27</v>
      </c>
      <c r="I129" s="124" t="n">
        <v>157.63</v>
      </c>
      <c r="J129" s="123" t="inlineStr">
        <is>
          <t>2026-05-07</t>
        </is>
      </c>
      <c r="K129" s="124" t="n">
        <v>45.59</v>
      </c>
      <c r="L129" s="125" t="n">
        <v>34.9965456359868</v>
      </c>
      <c r="M129" s="125" t="n">
        <v>53.8379782711384</v>
      </c>
      <c r="N129" s="127" t="n"/>
      <c r="O129" s="127" t="n"/>
      <c r="P129" s="169" t="inlineStr"/>
      <c r="Q129" s="170" t="inlineStr"/>
    </row>
    <row r="130">
      <c r="A130" s="116" t="inlineStr">
        <is>
          <t>Balliu</t>
        </is>
      </c>
      <c r="B130" s="116" t="inlineStr">
        <is>
          <t>Olimpia Mesa</t>
        </is>
      </c>
      <c r="C130" s="116" t="inlineStr">
        <is>
          <t>Central tablero Hpl</t>
        </is>
      </c>
      <c r="D130" s="117" t="inlineStr">
        <is>
          <t>G2</t>
        </is>
      </c>
      <c r="E130" s="165" t="inlineStr">
        <is>
          <t>COMPLETO</t>
        </is>
      </c>
      <c r="F130" s="118" t="n">
        <v>122.04</v>
      </c>
      <c r="G130" s="117" t="inlineStr">
        <is>
          <t>2026-03-30</t>
        </is>
      </c>
      <c r="H130" s="118" t="n">
        <v>187.75</v>
      </c>
      <c r="I130" s="118" t="n">
        <v>227.18</v>
      </c>
      <c r="J130" s="117" t="inlineStr">
        <is>
          <t>2026-05-07</t>
        </is>
      </c>
      <c r="K130" s="118" t="n">
        <v>65.70999999999999</v>
      </c>
      <c r="L130" s="119" t="n">
        <v>34.99866844207722</v>
      </c>
      <c r="M130" s="119" t="n">
        <v>53.84300229432972</v>
      </c>
      <c r="N130" s="121" t="n"/>
      <c r="O130" s="121" t="n"/>
      <c r="P130" s="166" t="inlineStr"/>
      <c r="Q130" s="167" t="inlineStr"/>
    </row>
    <row r="131">
      <c r="A131" s="122" t="inlineStr">
        <is>
          <t>Balliu</t>
        </is>
      </c>
      <c r="B131" s="122" t="inlineStr">
        <is>
          <t>Olimpia Mesa</t>
        </is>
      </c>
      <c r="C131" s="122" t="inlineStr">
        <is>
          <t>Central tablero Hpl Gd</t>
        </is>
      </c>
      <c r="D131" s="123" t="inlineStr">
        <is>
          <t>G2</t>
        </is>
      </c>
      <c r="E131" s="168" t="inlineStr">
        <is>
          <t>COMPLETO</t>
        </is>
      </c>
      <c r="F131" s="124" t="n">
        <v>130.35</v>
      </c>
      <c r="G131" s="123" t="inlineStr">
        <is>
          <t>2026-03-30</t>
        </is>
      </c>
      <c r="H131" s="124" t="n">
        <v>200.54</v>
      </c>
      <c r="I131" s="124" t="n">
        <v>242.65</v>
      </c>
      <c r="J131" s="123" t="inlineStr">
        <is>
          <t>2026-05-07</t>
        </is>
      </c>
      <c r="K131" s="124" t="n">
        <v>70.19</v>
      </c>
      <c r="L131" s="125" t="n">
        <v>35.00049865363518</v>
      </c>
      <c r="M131" s="125" t="n">
        <v>53.84733410049866</v>
      </c>
      <c r="N131" s="127" t="n"/>
      <c r="O131" s="127" t="n"/>
      <c r="P131" s="169" t="inlineStr"/>
      <c r="Q131" s="170" t="inlineStr"/>
    </row>
    <row r="132">
      <c r="A132" s="116" t="inlineStr">
        <is>
          <t>Balliu</t>
        </is>
      </c>
      <c r="B132" s="116" t="inlineStr">
        <is>
          <t>Olimpia Mesa</t>
        </is>
      </c>
      <c r="C132" s="116" t="inlineStr">
        <is>
          <t>Esquinera tablero Hpl</t>
        </is>
      </c>
      <c r="D132" s="117" t="inlineStr">
        <is>
          <t>G2</t>
        </is>
      </c>
      <c r="E132" s="165" t="inlineStr">
        <is>
          <t>COMPLETO</t>
        </is>
      </c>
      <c r="F132" s="118" t="n">
        <v>123.32</v>
      </c>
      <c r="G132" s="117" t="inlineStr">
        <is>
          <t>2026-03-30</t>
        </is>
      </c>
      <c r="H132" s="118" t="n">
        <v>189.72</v>
      </c>
      <c r="I132" s="118" t="n">
        <v>229.56</v>
      </c>
      <c r="J132" s="117" t="inlineStr">
        <is>
          <t>2026-05-07</t>
        </is>
      </c>
      <c r="K132" s="118" t="n">
        <v>66.40000000000001</v>
      </c>
      <c r="L132" s="119" t="n">
        <v>34.9989458148851</v>
      </c>
      <c r="M132" s="119" t="n">
        <v>53.84365877392151</v>
      </c>
      <c r="N132" s="121" t="n"/>
      <c r="O132" s="121" t="n"/>
      <c r="P132" s="166" t="inlineStr"/>
      <c r="Q132" s="167" t="inlineStr"/>
    </row>
    <row r="133">
      <c r="A133" s="122" t="inlineStr">
        <is>
          <t>Balliu</t>
        </is>
      </c>
      <c r="B133" s="122" t="inlineStr">
        <is>
          <t>Olimpia Mesa</t>
        </is>
      </c>
      <c r="C133" s="122" t="inlineStr">
        <is>
          <t>Esquinera tablero Hpl Gd</t>
        </is>
      </c>
      <c r="D133" s="123" t="inlineStr">
        <is>
          <t>G2</t>
        </is>
      </c>
      <c r="E133" s="168" t="inlineStr">
        <is>
          <t>COMPLETO</t>
        </is>
      </c>
      <c r="F133" s="124" t="n">
        <v>136.79</v>
      </c>
      <c r="G133" s="123" t="inlineStr">
        <is>
          <t>2026-03-30</t>
        </is>
      </c>
      <c r="H133" s="124" t="n">
        <v>210.45</v>
      </c>
      <c r="I133" s="124" t="n">
        <v>254.64</v>
      </c>
      <c r="J133" s="123" t="inlineStr">
        <is>
          <t>2026-05-07</t>
        </is>
      </c>
      <c r="K133" s="124" t="n">
        <v>73.66</v>
      </c>
      <c r="L133" s="125" t="n">
        <v>35.00118793062485</v>
      </c>
      <c r="M133" s="125" t="n">
        <v>53.84896556765846</v>
      </c>
      <c r="N133" s="127" t="n"/>
      <c r="O133" s="127" t="n"/>
      <c r="P133" s="169" t="inlineStr"/>
      <c r="Q133" s="170" t="inlineStr"/>
    </row>
    <row r="134">
      <c r="A134" s="116" t="inlineStr">
        <is>
          <t>Balliu</t>
        </is>
      </c>
      <c r="B134" s="116" t="inlineStr">
        <is>
          <t>Olimpia S Tumbona Apilable</t>
        </is>
      </c>
      <c r="C134" s="116" t="inlineStr">
        <is>
          <t>Con Ruedas</t>
        </is>
      </c>
      <c r="D134" s="117" t="inlineStr">
        <is>
          <t>G2</t>
        </is>
      </c>
      <c r="E134" s="165" t="inlineStr">
        <is>
          <t>COMPLETO</t>
        </is>
      </c>
      <c r="F134" s="118" t="n">
        <v>315.63</v>
      </c>
      <c r="G134" s="117" t="inlineStr">
        <is>
          <t>2026-03-30</t>
        </is>
      </c>
      <c r="H134" s="118" t="n">
        <v>485.59</v>
      </c>
      <c r="I134" s="118" t="n">
        <v>587.5599999999999</v>
      </c>
      <c r="J134" s="117" t="inlineStr">
        <is>
          <t>2026-05-07</t>
        </is>
      </c>
      <c r="K134" s="118" t="n">
        <v>169.96</v>
      </c>
      <c r="L134" s="119" t="n">
        <v>35.00072077266829</v>
      </c>
      <c r="M134" s="119" t="n">
        <v>53.84785983588378</v>
      </c>
      <c r="N134" s="121" t="n"/>
      <c r="O134" s="121" t="n"/>
      <c r="P134" s="166" t="inlineStr"/>
      <c r="Q134" s="167" t="inlineStr"/>
    </row>
    <row r="135">
      <c r="A135" s="122" t="inlineStr">
        <is>
          <t>Balliu</t>
        </is>
      </c>
      <c r="B135" s="122" t="inlineStr">
        <is>
          <t>Olimpia S Tumbona Apilable</t>
        </is>
      </c>
      <c r="C135" s="122" t="inlineStr">
        <is>
          <t>Sin Ruedas</t>
        </is>
      </c>
      <c r="D135" s="123" t="inlineStr">
        <is>
          <t>G2</t>
        </is>
      </c>
      <c r="E135" s="168" t="inlineStr">
        <is>
          <t>COMPLETO</t>
        </is>
      </c>
      <c r="F135" s="124" t="n">
        <v>287.64</v>
      </c>
      <c r="G135" s="123" t="inlineStr">
        <is>
          <t>2026-03-30</t>
        </is>
      </c>
      <c r="H135" s="124" t="n">
        <v>442.52</v>
      </c>
      <c r="I135" s="124" t="n">
        <v>535.45</v>
      </c>
      <c r="J135" s="123" t="inlineStr">
        <is>
          <t>2026-05-07</t>
        </is>
      </c>
      <c r="K135" s="124" t="n">
        <v>154.88</v>
      </c>
      <c r="L135" s="125" t="n">
        <v>34.9995480430263</v>
      </c>
      <c r="M135" s="125" t="n">
        <v>53.84508413294395</v>
      </c>
      <c r="N135" s="127" t="n"/>
      <c r="O135" s="127" t="n"/>
      <c r="P135" s="169" t="inlineStr"/>
      <c r="Q135" s="170" t="inlineStr"/>
    </row>
    <row r="136">
      <c r="A136" s="116" t="inlineStr">
        <is>
          <t>Balliu</t>
        </is>
      </c>
      <c r="B136" s="116" t="inlineStr">
        <is>
          <t>Olimpia Sofa</t>
        </is>
      </c>
      <c r="C136" s="116" t="inlineStr">
        <is>
          <t>Doble Tela Balliu</t>
        </is>
      </c>
      <c r="D136" s="117" t="inlineStr">
        <is>
          <t>G2</t>
        </is>
      </c>
      <c r="E136" s="165" t="inlineStr">
        <is>
          <t>COMPLETO</t>
        </is>
      </c>
      <c r="F136" s="118" t="n">
        <v>356.97</v>
      </c>
      <c r="G136" s="117" t="inlineStr">
        <is>
          <t>2026-03-30</t>
        </is>
      </c>
      <c r="H136" s="118" t="n">
        <v>549.1900000000001</v>
      </c>
      <c r="I136" s="118" t="n">
        <v>664.52</v>
      </c>
      <c r="J136" s="117" t="inlineStr">
        <is>
          <t>2026-05-07</t>
        </is>
      </c>
      <c r="K136" s="118" t="n">
        <v>192.22</v>
      </c>
      <c r="L136" s="119" t="n">
        <v>35.00063730220871</v>
      </c>
      <c r="M136" s="119" t="n">
        <v>53.84766226853797</v>
      </c>
      <c r="N136" s="121" t="n"/>
      <c r="O136" s="121" t="n"/>
      <c r="P136" s="166" t="inlineStr"/>
      <c r="Q136" s="167" t="inlineStr"/>
    </row>
    <row r="137">
      <c r="A137" s="122" t="inlineStr">
        <is>
          <t>Balliu</t>
        </is>
      </c>
      <c r="B137" s="122" t="inlineStr">
        <is>
          <t>Olimpia Sofa</t>
        </is>
      </c>
      <c r="C137" s="122" t="inlineStr">
        <is>
          <t>Individual Tela Balliu</t>
        </is>
      </c>
      <c r="D137" s="123" t="inlineStr">
        <is>
          <t>G2</t>
        </is>
      </c>
      <c r="E137" s="168" t="inlineStr">
        <is>
          <t>COMPLETO</t>
        </is>
      </c>
      <c r="F137" s="124" t="n">
        <v>279.44</v>
      </c>
      <c r="G137" s="123" t="inlineStr">
        <is>
          <t>2026-03-30</t>
        </is>
      </c>
      <c r="H137" s="124" t="n">
        <v>429.91</v>
      </c>
      <c r="I137" s="124" t="n">
        <v>520.1900000000001</v>
      </c>
      <c r="J137" s="123" t="inlineStr">
        <is>
          <t>2026-05-07</t>
        </is>
      </c>
      <c r="K137" s="124" t="n">
        <v>150.47</v>
      </c>
      <c r="L137" s="125" t="n">
        <v>35.00034891023703</v>
      </c>
      <c r="M137" s="125" t="n">
        <v>53.84697967363299</v>
      </c>
      <c r="N137" s="127" t="n"/>
      <c r="O137" s="127" t="n"/>
      <c r="P137" s="169" t="inlineStr"/>
      <c r="Q137" s="170" t="inlineStr"/>
    </row>
    <row r="138">
      <c r="A138" s="116" t="inlineStr">
        <is>
          <t>Balliu</t>
        </is>
      </c>
      <c r="B138" s="116" t="inlineStr">
        <is>
          <t>Olimpia Sofa</t>
        </is>
      </c>
      <c r="C138" s="116" t="inlineStr">
        <is>
          <t>Triple Tela Balliu</t>
        </is>
      </c>
      <c r="D138" s="117" t="inlineStr">
        <is>
          <t>G2</t>
        </is>
      </c>
      <c r="E138" s="165" t="inlineStr">
        <is>
          <t>COMPLETO</t>
        </is>
      </c>
      <c r="F138" s="118" t="n">
        <v>534.41</v>
      </c>
      <c r="G138" s="117" t="inlineStr">
        <is>
          <t>2026-03-30</t>
        </is>
      </c>
      <c r="H138" s="118" t="n">
        <v>822.16</v>
      </c>
      <c r="I138" s="118" t="n">
        <v>994.8099999999999</v>
      </c>
      <c r="J138" s="117" t="inlineStr">
        <is>
          <t>2026-05-07</t>
        </is>
      </c>
      <c r="K138" s="118" t="n">
        <v>287.75</v>
      </c>
      <c r="L138" s="119" t="n">
        <v>34.9992702150433</v>
      </c>
      <c r="M138" s="119" t="n">
        <v>53.84442656387418</v>
      </c>
      <c r="N138" s="121" t="n"/>
      <c r="O138" s="121" t="n"/>
      <c r="P138" s="166" t="inlineStr"/>
      <c r="Q138" s="167" t="inlineStr"/>
    </row>
    <row r="139">
      <c r="A139" s="122" t="inlineStr">
        <is>
          <t>Balliu</t>
        </is>
      </c>
      <c r="B139" s="122" t="inlineStr">
        <is>
          <t>Pamela Parasol</t>
        </is>
      </c>
      <c r="C139" s="122" t="inlineStr">
        <is>
          <t>Parasol tela Balliu</t>
        </is>
      </c>
      <c r="D139" s="123" t="inlineStr">
        <is>
          <t>G2</t>
        </is>
      </c>
      <c r="E139" s="168" t="inlineStr">
        <is>
          <t>COMPLETO</t>
        </is>
      </c>
      <c r="F139" s="124" t="n">
        <v>206.48</v>
      </c>
      <c r="G139" s="123" t="inlineStr">
        <is>
          <t>2026-03-30</t>
        </is>
      </c>
      <c r="H139" s="124" t="n">
        <v>317.66</v>
      </c>
      <c r="I139" s="124" t="n">
        <v>384.37</v>
      </c>
      <c r="J139" s="123" t="inlineStr">
        <is>
          <t>2026-05-07</t>
        </is>
      </c>
      <c r="K139" s="124" t="n">
        <v>111.18</v>
      </c>
      <c r="L139" s="125" t="n">
        <v>34.99968519801046</v>
      </c>
      <c r="M139" s="125" t="n">
        <v>53.84540875629603</v>
      </c>
      <c r="N139" s="127" t="n"/>
      <c r="O139" s="127" t="n"/>
      <c r="P139" s="169" t="inlineStr"/>
      <c r="Q139" s="170" t="inlineStr"/>
    </row>
    <row r="140">
      <c r="A140" s="116" t="inlineStr">
        <is>
          <t>Balliu</t>
        </is>
      </c>
      <c r="B140" s="116" t="inlineStr">
        <is>
          <t>Pamela Parasol</t>
        </is>
      </c>
      <c r="C140" s="116" t="inlineStr">
        <is>
          <t>Parasol tela acrílica</t>
        </is>
      </c>
      <c r="D140" s="117" t="inlineStr">
        <is>
          <t>G2</t>
        </is>
      </c>
      <c r="E140" s="165" t="inlineStr">
        <is>
          <t>COMPLETO</t>
        </is>
      </c>
      <c r="F140" s="118" t="n">
        <v>221.96</v>
      </c>
      <c r="G140" s="117" t="inlineStr">
        <is>
          <t>2026-03-30</t>
        </is>
      </c>
      <c r="H140" s="118" t="n">
        <v>341.48</v>
      </c>
      <c r="I140" s="118" t="n">
        <v>413.19</v>
      </c>
      <c r="J140" s="117" t="inlineStr">
        <is>
          <t>2026-05-07</t>
        </is>
      </c>
      <c r="K140" s="118" t="n">
        <v>119.52</v>
      </c>
      <c r="L140" s="119" t="n">
        <v>35.00058568583812</v>
      </c>
      <c r="M140" s="119" t="n">
        <v>53.84754009731484</v>
      </c>
      <c r="N140" s="121" t="n"/>
      <c r="O140" s="121" t="n"/>
      <c r="P140" s="166" t="inlineStr"/>
      <c r="Q140" s="167" t="inlineStr"/>
    </row>
    <row r="141">
      <c r="A141" s="122" t="inlineStr">
        <is>
          <t>Balliu</t>
        </is>
      </c>
      <c r="B141" s="122" t="inlineStr">
        <is>
          <t>Parasol Brisa</t>
        </is>
      </c>
      <c r="C141" s="122" t="inlineStr">
        <is>
          <t>Parasol tela Balliu 300X300 cm.</t>
        </is>
      </c>
      <c r="D141" s="123" t="inlineStr">
        <is>
          <t>G2</t>
        </is>
      </c>
      <c r="E141" s="168" t="inlineStr">
        <is>
          <t>COMPLETO</t>
        </is>
      </c>
      <c r="F141" s="124" t="n">
        <v>561.54</v>
      </c>
      <c r="G141" s="123" t="inlineStr">
        <is>
          <t>2026-03-30</t>
        </is>
      </c>
      <c r="H141" s="124" t="n">
        <v>863.9</v>
      </c>
      <c r="I141" s="124" t="n">
        <v>1045.32</v>
      </c>
      <c r="J141" s="123" t="inlineStr">
        <is>
          <t>2026-05-07</t>
        </is>
      </c>
      <c r="K141" s="124" t="n">
        <v>302.36</v>
      </c>
      <c r="L141" s="125" t="n">
        <v>34.99942122930895</v>
      </c>
      <c r="M141" s="125" t="n">
        <v>53.8447839868932</v>
      </c>
      <c r="N141" s="127" t="n"/>
      <c r="O141" s="127" t="n"/>
      <c r="P141" s="169" t="inlineStr"/>
      <c r="Q141" s="170" t="inlineStr"/>
    </row>
    <row r="142">
      <c r="A142" s="116" t="inlineStr">
        <is>
          <t>Balliu</t>
        </is>
      </c>
      <c r="B142" s="116" t="inlineStr">
        <is>
          <t>Parasol Garbí</t>
        </is>
      </c>
      <c r="C142" s="116" t="inlineStr">
        <is>
          <t>Central Diam. 300 Cm Tela Balliu</t>
        </is>
      </c>
      <c r="D142" s="117" t="inlineStr">
        <is>
          <t>G2</t>
        </is>
      </c>
      <c r="E142" s="165" t="inlineStr">
        <is>
          <t>COMPLETO</t>
        </is>
      </c>
      <c r="F142" s="118" t="n">
        <v>561.54</v>
      </c>
      <c r="G142" s="117" t="inlineStr">
        <is>
          <t>2026-03-30</t>
        </is>
      </c>
      <c r="H142" s="118" t="n">
        <v>863.9</v>
      </c>
      <c r="I142" s="118" t="n">
        <v>1045.32</v>
      </c>
      <c r="J142" s="117" t="inlineStr">
        <is>
          <t>2026-05-07</t>
        </is>
      </c>
      <c r="K142" s="118" t="n">
        <v>302.36</v>
      </c>
      <c r="L142" s="119" t="n">
        <v>34.99942122930895</v>
      </c>
      <c r="M142" s="119" t="n">
        <v>53.8447839868932</v>
      </c>
      <c r="N142" s="121" t="n"/>
      <c r="O142" s="121" t="n"/>
      <c r="P142" s="166" t="inlineStr"/>
      <c r="Q142" s="167" t="inlineStr"/>
    </row>
    <row r="143">
      <c r="A143" s="122" t="inlineStr">
        <is>
          <t>Balliu</t>
        </is>
      </c>
      <c r="B143" s="122" t="inlineStr">
        <is>
          <t>Parasol Roma</t>
        </is>
      </c>
      <c r="C143" s="122" t="inlineStr">
        <is>
          <t>Lateral 300X300 Cm</t>
        </is>
      </c>
      <c r="D143" s="123" t="inlineStr">
        <is>
          <t>G2</t>
        </is>
      </c>
      <c r="E143" s="168" t="inlineStr">
        <is>
          <t>COMPLETO</t>
        </is>
      </c>
      <c r="F143" s="124" t="n">
        <v>1019.5</v>
      </c>
      <c r="G143" s="123" t="inlineStr">
        <is>
          <t>2026-03-30</t>
        </is>
      </c>
      <c r="H143" s="124" t="n">
        <v>1568.47</v>
      </c>
      <c r="I143" s="124" t="n">
        <v>1897.85</v>
      </c>
      <c r="J143" s="123" t="inlineStr">
        <is>
          <t>2026-05-07</t>
        </is>
      </c>
      <c r="K143" s="124" t="n">
        <v>548.97</v>
      </c>
      <c r="L143" s="125" t="n">
        <v>35.00035066019752</v>
      </c>
      <c r="M143" s="125" t="n">
        <v>53.84698381559588</v>
      </c>
      <c r="N143" s="127" t="n"/>
      <c r="O143" s="127" t="n"/>
      <c r="P143" s="169" t="inlineStr"/>
      <c r="Q143" s="170" t="inlineStr"/>
    </row>
    <row r="144">
      <c r="A144" s="116" t="inlineStr">
        <is>
          <t>Balliu</t>
        </is>
      </c>
      <c r="B144" s="116" t="inlineStr">
        <is>
          <t>Pasarela Resina</t>
        </is>
      </c>
      <c r="C144" s="116" t="inlineStr">
        <is>
          <t>Metro Pasarela 120 cm.</t>
        </is>
      </c>
      <c r="D144" s="117" t="inlineStr">
        <is>
          <t>G2</t>
        </is>
      </c>
      <c r="E144" s="165" t="inlineStr">
        <is>
          <t>COMPLETO</t>
        </is>
      </c>
      <c r="F144" s="118" t="n">
        <v>82.22</v>
      </c>
      <c r="G144" s="117" t="inlineStr">
        <is>
          <t>2026-03-30</t>
        </is>
      </c>
      <c r="H144" s="118" t="n">
        <v>126.49</v>
      </c>
      <c r="I144" s="118" t="n">
        <v>153.05</v>
      </c>
      <c r="J144" s="117" t="inlineStr">
        <is>
          <t>2026-05-07</t>
        </is>
      </c>
      <c r="K144" s="118" t="n">
        <v>44.27</v>
      </c>
      <c r="L144" s="119" t="n">
        <v>34.99881413550478</v>
      </c>
      <c r="M144" s="119" t="n">
        <v>53.84334711748966</v>
      </c>
      <c r="N144" s="121" t="n"/>
      <c r="O144" s="121" t="n"/>
      <c r="P144" s="166" t="inlineStr"/>
      <c r="Q144" s="167" t="inlineStr"/>
    </row>
    <row r="145">
      <c r="A145" s="122" t="inlineStr">
        <is>
          <t>Balliu</t>
        </is>
      </c>
      <c r="B145" s="122" t="inlineStr">
        <is>
          <t>Pasarela Resina Reciclada 100 %</t>
        </is>
      </c>
      <c r="C145" s="122" t="inlineStr">
        <is>
          <t>Metro Pasarela blanca reciclada 120 cm.</t>
        </is>
      </c>
      <c r="D145" s="123" t="inlineStr">
        <is>
          <t>G2</t>
        </is>
      </c>
      <c r="E145" s="168" t="inlineStr">
        <is>
          <t>COMPLETO</t>
        </is>
      </c>
      <c r="F145" s="124" t="n">
        <v>48.25</v>
      </c>
      <c r="G145" s="123" t="inlineStr">
        <is>
          <t>2026-03-30</t>
        </is>
      </c>
      <c r="H145" s="124" t="n">
        <v>74.23</v>
      </c>
      <c r="I145" s="124" t="n">
        <v>89.81999999999999</v>
      </c>
      <c r="J145" s="123" t="inlineStr">
        <is>
          <t>2026-05-07</t>
        </is>
      </c>
      <c r="K145" s="124" t="n">
        <v>25.98</v>
      </c>
      <c r="L145" s="125" t="n">
        <v>34.99932641789034</v>
      </c>
      <c r="M145" s="125" t="n">
        <v>53.84455958549223</v>
      </c>
      <c r="N145" s="127" t="n"/>
      <c r="O145" s="127" t="n"/>
      <c r="P145" s="169" t="inlineStr"/>
      <c r="Q145" s="170" t="inlineStr"/>
    </row>
    <row r="146">
      <c r="A146" s="116" t="inlineStr">
        <is>
          <t>Balliu</t>
        </is>
      </c>
      <c r="B146" s="116" t="inlineStr">
        <is>
          <t>Pie Parasol</t>
        </is>
      </c>
      <c r="C146" s="116" t="inlineStr">
        <is>
          <t>40 kg</t>
        </is>
      </c>
      <c r="D146" s="117" t="inlineStr">
        <is>
          <t>G2</t>
        </is>
      </c>
      <c r="E146" s="165" t="inlineStr">
        <is>
          <t>COMPLETO</t>
        </is>
      </c>
      <c r="F146" s="118" t="n">
        <v>88.17</v>
      </c>
      <c r="G146" s="117" t="inlineStr">
        <is>
          <t>2026-03-30</t>
        </is>
      </c>
      <c r="H146" s="118" t="n">
        <v>135.65</v>
      </c>
      <c r="I146" s="118" t="n">
        <v>164.14</v>
      </c>
      <c r="J146" s="117" t="inlineStr">
        <is>
          <t>2026-05-07</t>
        </is>
      </c>
      <c r="K146" s="118" t="n">
        <v>47.48</v>
      </c>
      <c r="L146" s="119" t="n">
        <v>35.00184297825285</v>
      </c>
      <c r="M146" s="119" t="n">
        <v>53.85051604854259</v>
      </c>
      <c r="N146" s="121" t="n"/>
      <c r="O146" s="121" t="n"/>
      <c r="P146" s="166" t="inlineStr"/>
      <c r="Q146" s="167" t="inlineStr"/>
    </row>
    <row r="147">
      <c r="A147" s="122" t="inlineStr">
        <is>
          <t>Balliu</t>
        </is>
      </c>
      <c r="B147" s="122" t="inlineStr">
        <is>
          <t>Pie Parasol</t>
        </is>
      </c>
      <c r="C147" s="122" t="inlineStr">
        <is>
          <t>40 kg Recubrimiento Plastico</t>
        </is>
      </c>
      <c r="D147" s="123" t="inlineStr">
        <is>
          <t>G2</t>
        </is>
      </c>
      <c r="E147" s="168" t="inlineStr">
        <is>
          <t>COMPLETO</t>
        </is>
      </c>
      <c r="F147" s="124" t="n">
        <v>68.16</v>
      </c>
      <c r="G147" s="123" t="inlineStr">
        <is>
          <t>2026-03-30</t>
        </is>
      </c>
      <c r="H147" s="124" t="n">
        <v>104.86</v>
      </c>
      <c r="I147" s="124" t="n">
        <v>126.88</v>
      </c>
      <c r="J147" s="123" t="inlineStr">
        <is>
          <t>2026-05-07</t>
        </is>
      </c>
      <c r="K147" s="124" t="n">
        <v>36.7</v>
      </c>
      <c r="L147" s="125" t="n">
        <v>34.99904634751097</v>
      </c>
      <c r="M147" s="125" t="n">
        <v>53.84389671361502</v>
      </c>
      <c r="N147" s="127" t="n"/>
      <c r="O147" s="127" t="n"/>
      <c r="P147" s="169" t="inlineStr"/>
      <c r="Q147" s="170" t="inlineStr"/>
    </row>
    <row r="148">
      <c r="A148" s="116" t="inlineStr">
        <is>
          <t>Balliu</t>
        </is>
      </c>
      <c r="B148" s="116" t="inlineStr">
        <is>
          <t>Producto Limpiador</t>
        </is>
      </c>
      <c r="C148" s="116" t="inlineStr">
        <is>
          <t>Limpiador Tumbona/Tejido</t>
        </is>
      </c>
      <c r="D148" s="117" t="inlineStr">
        <is>
          <t>G2</t>
        </is>
      </c>
      <c r="E148" s="165" t="inlineStr">
        <is>
          <t>COMPLETO</t>
        </is>
      </c>
      <c r="F148" s="118" t="n">
        <v>12.41</v>
      </c>
      <c r="G148" s="117" t="inlineStr">
        <is>
          <t>2026-03-30</t>
        </is>
      </c>
      <c r="H148" s="118" t="n">
        <v>19.09</v>
      </c>
      <c r="I148" s="118" t="n">
        <v>23.1</v>
      </c>
      <c r="J148" s="117" t="inlineStr">
        <is>
          <t>2026-05-07</t>
        </is>
      </c>
      <c r="K148" s="118" t="n">
        <v>6.68</v>
      </c>
      <c r="L148" s="119" t="n">
        <v>34.99214248297538</v>
      </c>
      <c r="M148" s="119" t="n">
        <v>53.82755842062852</v>
      </c>
      <c r="N148" s="121" t="n"/>
      <c r="O148" s="121" t="n"/>
      <c r="P148" s="166" t="inlineStr"/>
      <c r="Q148" s="167" t="inlineStr"/>
    </row>
    <row r="149">
      <c r="A149" s="122" t="inlineStr">
        <is>
          <t>Balliu</t>
        </is>
      </c>
      <c r="B149" s="122" t="inlineStr">
        <is>
          <t>Selva Mesa</t>
        </is>
      </c>
      <c r="C149" s="122" t="inlineStr">
        <is>
          <t>120 X 80 Werzalit</t>
        </is>
      </c>
      <c r="D149" s="123" t="inlineStr">
        <is>
          <t>G2</t>
        </is>
      </c>
      <c r="E149" s="168" t="inlineStr">
        <is>
          <t>COMPLETO</t>
        </is>
      </c>
      <c r="F149" s="124" t="n">
        <v>169.64</v>
      </c>
      <c r="G149" s="123" t="inlineStr">
        <is>
          <t>2026-03-30</t>
        </is>
      </c>
      <c r="H149" s="124" t="n">
        <v>260.99</v>
      </c>
      <c r="I149" s="124" t="n">
        <v>315.8</v>
      </c>
      <c r="J149" s="123" t="inlineStr">
        <is>
          <t>2026-05-07</t>
        </is>
      </c>
      <c r="K149" s="124" t="n">
        <v>91.35000000000002</v>
      </c>
      <c r="L149" s="125" t="n">
        <v>35.00134104754972</v>
      </c>
      <c r="M149" s="125" t="n">
        <v>53.84932798868193</v>
      </c>
      <c r="N149" s="127" t="n"/>
      <c r="O149" s="127" t="n"/>
      <c r="P149" s="169" t="inlineStr"/>
      <c r="Q149" s="170" t="inlineStr"/>
    </row>
    <row r="150">
      <c r="A150" s="116" t="inlineStr">
        <is>
          <t>Balliu</t>
        </is>
      </c>
      <c r="B150" s="116" t="inlineStr">
        <is>
          <t>Selva Mesa</t>
        </is>
      </c>
      <c r="C150" s="116" t="inlineStr">
        <is>
          <t>70 X 70 Werzalit</t>
        </is>
      </c>
      <c r="D150" s="117" t="inlineStr">
        <is>
          <t>G2</t>
        </is>
      </c>
      <c r="E150" s="165" t="inlineStr">
        <is>
          <t>COMPLETO</t>
        </is>
      </c>
      <c r="F150" s="118" t="n">
        <v>118.31</v>
      </c>
      <c r="G150" s="117" t="inlineStr">
        <is>
          <t>2026-03-30</t>
        </is>
      </c>
      <c r="H150" s="118" t="n">
        <v>182.02</v>
      </c>
      <c r="I150" s="118" t="n">
        <v>220.24</v>
      </c>
      <c r="J150" s="117" t="inlineStr">
        <is>
          <t>2026-05-07</t>
        </is>
      </c>
      <c r="K150" s="118" t="n">
        <v>63.71000000000001</v>
      </c>
      <c r="L150" s="119" t="n">
        <v>35.00164817053071</v>
      </c>
      <c r="M150" s="119" t="n">
        <v>53.8500549404108</v>
      </c>
      <c r="N150" s="121" t="n"/>
      <c r="O150" s="121" t="n"/>
      <c r="P150" s="166" t="inlineStr"/>
      <c r="Q150" s="167" t="inlineStr"/>
    </row>
    <row r="151">
      <c r="A151" s="122" t="inlineStr">
        <is>
          <t>Balliu</t>
        </is>
      </c>
      <c r="B151" s="122" t="inlineStr">
        <is>
          <t>Selva Mesa</t>
        </is>
      </c>
      <c r="C151" s="122" t="inlineStr">
        <is>
          <t>80 X 80 Werzalit</t>
        </is>
      </c>
      <c r="D151" s="123" t="inlineStr">
        <is>
          <t>G2</t>
        </is>
      </c>
      <c r="E151" s="168" t="inlineStr">
        <is>
          <t>COMPLETO</t>
        </is>
      </c>
      <c r="F151" s="124" t="n">
        <v>131.01</v>
      </c>
      <c r="G151" s="123" t="inlineStr">
        <is>
          <t>2026-03-30</t>
        </is>
      </c>
      <c r="H151" s="124" t="n">
        <v>201.55</v>
      </c>
      <c r="I151" s="124" t="n">
        <v>243.88</v>
      </c>
      <c r="J151" s="123" t="inlineStr">
        <is>
          <t>2026-05-07</t>
        </is>
      </c>
      <c r="K151" s="124" t="n">
        <v>70.54000000000002</v>
      </c>
      <c r="L151" s="125" t="n">
        <v>34.99875961299927</v>
      </c>
      <c r="M151" s="125" t="n">
        <v>53.84321807495613</v>
      </c>
      <c r="N151" s="127" t="n"/>
      <c r="O151" s="127" t="n"/>
      <c r="P151" s="169" t="inlineStr"/>
      <c r="Q151" s="170" t="inlineStr"/>
    </row>
    <row r="152">
      <c r="A152" s="116" t="inlineStr">
        <is>
          <t>Balliu</t>
        </is>
      </c>
      <c r="B152" s="116" t="inlineStr">
        <is>
          <t>Selva Mesa</t>
        </is>
      </c>
      <c r="C152" s="116" t="inlineStr">
        <is>
          <t>Diametro 60 Werzalit</t>
        </is>
      </c>
      <c r="D152" s="117" t="inlineStr">
        <is>
          <t>G2</t>
        </is>
      </c>
      <c r="E152" s="165" t="inlineStr">
        <is>
          <t>COMPLETO</t>
        </is>
      </c>
      <c r="F152" s="118" t="n">
        <v>84.79000000000001</v>
      </c>
      <c r="G152" s="117" t="inlineStr">
        <is>
          <t>2026-03-30</t>
        </is>
      </c>
      <c r="H152" s="118" t="n">
        <v>130.45</v>
      </c>
      <c r="I152" s="118" t="n">
        <v>157.84</v>
      </c>
      <c r="J152" s="117" t="inlineStr">
        <is>
          <t>2026-05-07</t>
        </is>
      </c>
      <c r="K152" s="118" t="n">
        <v>45.65999999999998</v>
      </c>
      <c r="L152" s="119" t="n">
        <v>35.00191644308163</v>
      </c>
      <c r="M152" s="119" t="n">
        <v>53.85068993985137</v>
      </c>
      <c r="N152" s="121" t="n"/>
      <c r="O152" s="121" t="n"/>
      <c r="P152" s="166" t="inlineStr"/>
      <c r="Q152" s="167" t="inlineStr"/>
    </row>
    <row r="153">
      <c r="A153" s="122" t="inlineStr">
        <is>
          <t>Balliu</t>
        </is>
      </c>
      <c r="B153" s="122" t="inlineStr">
        <is>
          <t>Selva Mesa</t>
        </is>
      </c>
      <c r="C153" s="122" t="inlineStr">
        <is>
          <t>Diametro 70 Werzalit</t>
        </is>
      </c>
      <c r="D153" s="123" t="inlineStr">
        <is>
          <t>G2</t>
        </is>
      </c>
      <c r="E153" s="168" t="inlineStr">
        <is>
          <t>COMPLETO</t>
        </is>
      </c>
      <c r="F153" s="124" t="n">
        <v>97.55</v>
      </c>
      <c r="G153" s="123" t="inlineStr">
        <is>
          <t>2026-03-30</t>
        </is>
      </c>
      <c r="H153" s="124" t="n">
        <v>150.07</v>
      </c>
      <c r="I153" s="124" t="n">
        <v>181.58</v>
      </c>
      <c r="J153" s="123" t="inlineStr">
        <is>
          <t>2026-05-07</t>
        </is>
      </c>
      <c r="K153" s="124" t="n">
        <v>52.52</v>
      </c>
      <c r="L153" s="125" t="n">
        <v>34.99700139934697</v>
      </c>
      <c r="M153" s="125" t="n">
        <v>53.83905689390056</v>
      </c>
      <c r="N153" s="127" t="n"/>
      <c r="O153" s="127" t="n"/>
      <c r="P153" s="169" t="inlineStr"/>
      <c r="Q153" s="170" t="inlineStr"/>
    </row>
    <row r="154">
      <c r="A154" s="116" t="inlineStr">
        <is>
          <t>Balliu</t>
        </is>
      </c>
      <c r="B154" s="116" t="inlineStr">
        <is>
          <t>Selva Mesa</t>
        </is>
      </c>
      <c r="C154" s="116" t="inlineStr">
        <is>
          <t>Diametro 80 Werzalit</t>
        </is>
      </c>
      <c r="D154" s="117" t="inlineStr">
        <is>
          <t>G2</t>
        </is>
      </c>
      <c r="E154" s="165" t="inlineStr">
        <is>
          <t>COMPLETO</t>
        </is>
      </c>
      <c r="F154" s="118" t="n">
        <v>101.49</v>
      </c>
      <c r="G154" s="117" t="inlineStr">
        <is>
          <t>2026-03-30</t>
        </is>
      </c>
      <c r="H154" s="118" t="n">
        <v>156.14</v>
      </c>
      <c r="I154" s="118" t="n">
        <v>188.93</v>
      </c>
      <c r="J154" s="117" t="inlineStr">
        <is>
          <t>2026-05-07</t>
        </is>
      </c>
      <c r="K154" s="118" t="n">
        <v>54.64999999999999</v>
      </c>
      <c r="L154" s="119" t="n">
        <v>35.00064045087741</v>
      </c>
      <c r="M154" s="119" t="n">
        <v>53.84766972115479</v>
      </c>
      <c r="N154" s="121" t="n"/>
      <c r="O154" s="121" t="n"/>
      <c r="P154" s="166" t="inlineStr"/>
      <c r="Q154" s="167" t="inlineStr"/>
    </row>
    <row r="155">
      <c r="A155" s="122" t="inlineStr">
        <is>
          <t>Balliu</t>
        </is>
      </c>
      <c r="B155" s="122" t="inlineStr">
        <is>
          <t>Selva Mesa</t>
        </is>
      </c>
      <c r="C155" s="122" t="inlineStr">
        <is>
          <t>Diametro 90 Werzalit</t>
        </is>
      </c>
      <c r="D155" s="123" t="inlineStr">
        <is>
          <t>G2</t>
        </is>
      </c>
      <c r="E155" s="168" t="inlineStr">
        <is>
          <t>COMPLETO</t>
        </is>
      </c>
      <c r="F155" s="124" t="n">
        <v>118.78</v>
      </c>
      <c r="G155" s="123" t="inlineStr">
        <is>
          <t>2026-03-30</t>
        </is>
      </c>
      <c r="H155" s="124" t="n">
        <v>182.74</v>
      </c>
      <c r="I155" s="124" t="n">
        <v>221.12</v>
      </c>
      <c r="J155" s="123" t="inlineStr">
        <is>
          <t>2026-05-07</t>
        </is>
      </c>
      <c r="K155" s="124" t="n">
        <v>63.96000000000001</v>
      </c>
      <c r="L155" s="125" t="n">
        <v>35.00054722556638</v>
      </c>
      <c r="M155" s="125" t="n">
        <v>53.84744906549926</v>
      </c>
      <c r="N155" s="127" t="n"/>
      <c r="O155" s="127" t="n"/>
      <c r="P155" s="169" t="inlineStr"/>
      <c r="Q155" s="170" t="inlineStr"/>
    </row>
    <row r="156">
      <c r="A156" s="116" t="inlineStr">
        <is>
          <t>Balliu</t>
        </is>
      </c>
      <c r="B156" s="116" t="inlineStr">
        <is>
          <t>Selva Silla</t>
        </is>
      </c>
      <c r="C156" s="116" t="inlineStr">
        <is>
          <t>Blanca</t>
        </is>
      </c>
      <c r="D156" s="117" t="inlineStr">
        <is>
          <t>G1</t>
        </is>
      </c>
      <c r="E156" s="165" t="inlineStr">
        <is>
          <t>COMPLETO</t>
        </is>
      </c>
      <c r="F156" s="118" t="n">
        <v>17.17</v>
      </c>
      <c r="G156" s="117" t="inlineStr">
        <is>
          <t>2026-03-30</t>
        </is>
      </c>
      <c r="H156" s="118" t="n">
        <v>27.69</v>
      </c>
      <c r="I156" s="118" t="n">
        <v>33.5</v>
      </c>
      <c r="J156" s="117" t="inlineStr">
        <is>
          <t>2026-05-07</t>
        </is>
      </c>
      <c r="K156" s="118" t="n">
        <v>10.52</v>
      </c>
      <c r="L156" s="119" t="n">
        <v>37.99205489346334</v>
      </c>
      <c r="M156" s="119" t="n">
        <v>61.26965637740243</v>
      </c>
      <c r="N156" s="121" t="n"/>
      <c r="O156" s="121" t="n"/>
      <c r="P156" s="166" t="inlineStr"/>
      <c r="Q156" s="167" t="inlineStr"/>
    </row>
    <row r="157">
      <c r="A157" s="122" t="inlineStr">
        <is>
          <t>Balliu</t>
        </is>
      </c>
      <c r="B157" s="122" t="inlineStr">
        <is>
          <t>Selva Silla</t>
        </is>
      </c>
      <c r="C157" s="122" t="inlineStr">
        <is>
          <t>Color</t>
        </is>
      </c>
      <c r="D157" s="123" t="inlineStr">
        <is>
          <t>G1</t>
        </is>
      </c>
      <c r="E157" s="168" t="inlineStr">
        <is>
          <t>COMPLETO</t>
        </is>
      </c>
      <c r="F157" s="124" t="n">
        <v>20.77</v>
      </c>
      <c r="G157" s="123" t="inlineStr">
        <is>
          <t>2026-03-30</t>
        </is>
      </c>
      <c r="H157" s="124" t="n">
        <v>33.49</v>
      </c>
      <c r="I157" s="124" t="n">
        <v>40.52</v>
      </c>
      <c r="J157" s="123" t="inlineStr">
        <is>
          <t>2026-05-07</t>
        </is>
      </c>
      <c r="K157" s="124" t="n">
        <v>12.72</v>
      </c>
      <c r="L157" s="125" t="n">
        <v>37.98148701104808</v>
      </c>
      <c r="M157" s="125" t="n">
        <v>61.24217621569573</v>
      </c>
      <c r="N157" s="127" t="n"/>
      <c r="O157" s="127" t="n"/>
      <c r="P157" s="169" t="inlineStr"/>
      <c r="Q157" s="170" t="inlineStr"/>
    </row>
    <row r="158">
      <c r="A158" s="116" t="inlineStr">
        <is>
          <t>Balliu</t>
        </is>
      </c>
      <c r="B158" s="116" t="inlineStr">
        <is>
          <t>Silla Alba</t>
        </is>
      </c>
      <c r="C158" s="116" t="inlineStr">
        <is>
          <t>Con Brazos</t>
        </is>
      </c>
      <c r="D158" s="117" t="inlineStr">
        <is>
          <t>G3</t>
        </is>
      </c>
      <c r="E158" s="165" t="inlineStr">
        <is>
          <t>COMPLETO</t>
        </is>
      </c>
      <c r="F158" s="118" t="n">
        <v>55.51</v>
      </c>
      <c r="G158" s="117" t="inlineStr">
        <is>
          <t>2026-03-30</t>
        </is>
      </c>
      <c r="H158" s="118" t="n">
        <v>74.01000000000001</v>
      </c>
      <c r="I158" s="118" t="n">
        <v>89.55</v>
      </c>
      <c r="J158" s="117" t="inlineStr">
        <is>
          <t>2026-05-07</t>
        </is>
      </c>
      <c r="K158" s="118" t="n">
        <v>18.50000000000001</v>
      </c>
      <c r="L158" s="119" t="n">
        <v>24.99662207809756</v>
      </c>
      <c r="M158" s="119" t="n">
        <v>33.32732840929564</v>
      </c>
      <c r="N158" s="121" t="n"/>
      <c r="O158" s="121" t="n"/>
      <c r="P158" s="166" t="inlineStr"/>
      <c r="Q158" s="167" t="inlineStr"/>
    </row>
    <row r="159">
      <c r="A159" s="122" t="inlineStr">
        <is>
          <t>Balliu</t>
        </is>
      </c>
      <c r="B159" s="122" t="inlineStr">
        <is>
          <t>Silla Venus</t>
        </is>
      </c>
      <c r="C159" s="122" t="inlineStr">
        <is>
          <t>Con Brazos</t>
        </is>
      </c>
      <c r="D159" s="123" t="inlineStr">
        <is>
          <t>G3</t>
        </is>
      </c>
      <c r="E159" s="168" t="inlineStr">
        <is>
          <t>COMPLETO</t>
        </is>
      </c>
      <c r="F159" s="124" t="n">
        <v>43.83</v>
      </c>
      <c r="G159" s="123" t="inlineStr">
        <is>
          <t>2026-03-30</t>
        </is>
      </c>
      <c r="H159" s="124" t="n">
        <v>58.44</v>
      </c>
      <c r="I159" s="124" t="n">
        <v>70.70999999999999</v>
      </c>
      <c r="J159" s="123" t="inlineStr">
        <is>
          <t>2026-05-07</t>
        </is>
      </c>
      <c r="K159" s="124" t="n">
        <v>14.61</v>
      </c>
      <c r="L159" s="125" t="n">
        <v>25</v>
      </c>
      <c r="M159" s="125" t="n">
        <v>33.33333333333333</v>
      </c>
      <c r="N159" s="127" t="n"/>
      <c r="O159" s="127" t="n"/>
      <c r="P159" s="169" t="inlineStr"/>
      <c r="Q159" s="170" t="inlineStr"/>
    </row>
    <row r="160">
      <c r="A160" s="116" t="inlineStr">
        <is>
          <t>Balliu</t>
        </is>
      </c>
      <c r="B160" s="116" t="inlineStr">
        <is>
          <t>Silla Venus</t>
        </is>
      </c>
      <c r="C160" s="116" t="inlineStr">
        <is>
          <t>Sin Brazos</t>
        </is>
      </c>
      <c r="D160" s="117" t="inlineStr">
        <is>
          <t>G3</t>
        </is>
      </c>
      <c r="E160" s="165" t="inlineStr">
        <is>
          <t>COMPLETO</t>
        </is>
      </c>
      <c r="F160" s="118" t="n">
        <v>40.56</v>
      </c>
      <c r="G160" s="117" t="inlineStr">
        <is>
          <t>2026-03-30</t>
        </is>
      </c>
      <c r="H160" s="118" t="n">
        <v>54.07</v>
      </c>
      <c r="I160" s="118" t="n">
        <v>65.42</v>
      </c>
      <c r="J160" s="117" t="inlineStr">
        <is>
          <t>2026-05-07</t>
        </is>
      </c>
      <c r="K160" s="118" t="n">
        <v>13.51</v>
      </c>
      <c r="L160" s="119" t="n">
        <v>24.98612909191788</v>
      </c>
      <c r="M160" s="119" t="n">
        <v>33.30867850098619</v>
      </c>
      <c r="N160" s="121" t="n"/>
      <c r="O160" s="121" t="n"/>
      <c r="P160" s="166" t="inlineStr"/>
      <c r="Q160" s="167" t="inlineStr"/>
    </row>
    <row r="161">
      <c r="A161" s="122" t="inlineStr">
        <is>
          <t>Balliu</t>
        </is>
      </c>
      <c r="B161" s="122" t="inlineStr">
        <is>
          <t>Sofa Etna</t>
        </is>
      </c>
      <c r="C161" s="122" t="inlineStr">
        <is>
          <t>Doble Acrílico</t>
        </is>
      </c>
      <c r="D161" s="123" t="inlineStr">
        <is>
          <t>G2</t>
        </is>
      </c>
      <c r="E161" s="168" t="inlineStr">
        <is>
          <t>COMPLETO</t>
        </is>
      </c>
      <c r="F161" s="124" t="n">
        <v>611.77</v>
      </c>
      <c r="G161" s="123" t="inlineStr">
        <is>
          <t>2026-03-30</t>
        </is>
      </c>
      <c r="H161" s="124" t="n">
        <v>941.1799999999999</v>
      </c>
      <c r="I161" s="124" t="n">
        <v>1138.83</v>
      </c>
      <c r="J161" s="123" t="inlineStr">
        <is>
          <t>2026-05-07</t>
        </is>
      </c>
      <c r="K161" s="124" t="n">
        <v>329.41</v>
      </c>
      <c r="L161" s="125" t="n">
        <v>34.99968125119531</v>
      </c>
      <c r="M161" s="125" t="n">
        <v>53.84539941481275</v>
      </c>
      <c r="N161" s="127" t="n"/>
      <c r="O161" s="127" t="n"/>
      <c r="P161" s="169" t="inlineStr"/>
      <c r="Q161" s="170" t="inlineStr"/>
    </row>
    <row r="162">
      <c r="A162" s="116" t="inlineStr">
        <is>
          <t>Balliu</t>
        </is>
      </c>
      <c r="B162" s="116" t="inlineStr">
        <is>
          <t>Sofa Etna</t>
        </is>
      </c>
      <c r="C162" s="116" t="inlineStr">
        <is>
          <t>Individual Acrílico</t>
        </is>
      </c>
      <c r="D162" s="117" t="inlineStr">
        <is>
          <t>G2</t>
        </is>
      </c>
      <c r="E162" s="165" t="inlineStr">
        <is>
          <t>COMPLETO</t>
        </is>
      </c>
      <c r="F162" s="118" t="n">
        <v>367.06</v>
      </c>
      <c r="G162" s="117" t="inlineStr">
        <is>
          <t>2026-03-30</t>
        </is>
      </c>
      <c r="H162" s="118" t="n">
        <v>564.71</v>
      </c>
      <c r="I162" s="118" t="n">
        <v>683.3</v>
      </c>
      <c r="J162" s="117" t="inlineStr">
        <is>
          <t>2026-05-07</t>
        </is>
      </c>
      <c r="K162" s="118" t="n">
        <v>197.65</v>
      </c>
      <c r="L162" s="119" t="n">
        <v>35.00026562306317</v>
      </c>
      <c r="M162" s="119" t="n">
        <v>53.84678254236366</v>
      </c>
      <c r="N162" s="121" t="n"/>
      <c r="O162" s="121" t="n"/>
      <c r="P162" s="166" t="inlineStr"/>
      <c r="Q162" s="167" t="inlineStr"/>
    </row>
    <row r="163">
      <c r="A163" s="122" t="inlineStr">
        <is>
          <t>Balliu</t>
        </is>
      </c>
      <c r="B163" s="122" t="inlineStr">
        <is>
          <t>Sofa Etna</t>
        </is>
      </c>
      <c r="C163" s="122" t="inlineStr">
        <is>
          <t>Triple Acrílico</t>
        </is>
      </c>
      <c r="D163" s="123" t="inlineStr">
        <is>
          <t>G2</t>
        </is>
      </c>
      <c r="E163" s="168" t="inlineStr">
        <is>
          <t>COMPLETO</t>
        </is>
      </c>
      <c r="F163" s="124" t="n">
        <v>837.52</v>
      </c>
      <c r="G163" s="123" t="inlineStr">
        <is>
          <t>2026-03-30</t>
        </is>
      </c>
      <c r="H163" s="124" t="n">
        <v>1288.49</v>
      </c>
      <c r="I163" s="124" t="n">
        <v>1559.07</v>
      </c>
      <c r="J163" s="123" t="inlineStr">
        <is>
          <t>2026-05-07</t>
        </is>
      </c>
      <c r="K163" s="124" t="n">
        <v>450.97</v>
      </c>
      <c r="L163" s="125" t="n">
        <v>34.99988358466112</v>
      </c>
      <c r="M163" s="125" t="n">
        <v>53.84587830738371</v>
      </c>
      <c r="N163" s="127" t="n"/>
      <c r="O163" s="127" t="n"/>
      <c r="P163" s="169" t="inlineStr"/>
      <c r="Q163" s="170" t="inlineStr"/>
    </row>
    <row r="164">
      <c r="A164" s="116" t="inlineStr">
        <is>
          <t>Balliu</t>
        </is>
      </c>
      <c r="B164" s="116" t="inlineStr">
        <is>
          <t>Sofia Mesa</t>
        </is>
      </c>
      <c r="C164" s="116" t="inlineStr">
        <is>
          <t>70X70 Tablero Hpl</t>
        </is>
      </c>
      <c r="D164" s="117" t="inlineStr">
        <is>
          <t>G2</t>
        </is>
      </c>
      <c r="E164" s="165" t="inlineStr">
        <is>
          <t>COMPLETO</t>
        </is>
      </c>
      <c r="F164" s="118" t="n">
        <v>178.35</v>
      </c>
      <c r="G164" s="117" t="inlineStr">
        <is>
          <t>2026-03-30</t>
        </is>
      </c>
      <c r="H164" s="118" t="n">
        <v>274.39</v>
      </c>
      <c r="I164" s="118" t="n">
        <v>332.01</v>
      </c>
      <c r="J164" s="117" t="inlineStr">
        <is>
          <t>2026-05-07</t>
        </is>
      </c>
      <c r="K164" s="118" t="n">
        <v>96.03999999999999</v>
      </c>
      <c r="L164" s="119" t="n">
        <v>35.00127555668938</v>
      </c>
      <c r="M164" s="119" t="n">
        <v>53.84917297448835</v>
      </c>
      <c r="N164" s="121" t="n"/>
      <c r="O164" s="121" t="n"/>
      <c r="P164" s="166" t="inlineStr"/>
      <c r="Q164" s="167" t="inlineStr"/>
    </row>
    <row r="165">
      <c r="A165" s="122" t="inlineStr">
        <is>
          <t>Balliu</t>
        </is>
      </c>
      <c r="B165" s="122" t="inlineStr">
        <is>
          <t>Sofia Mesa</t>
        </is>
      </c>
      <c r="C165" s="122" t="inlineStr">
        <is>
          <t>70X70 Tablero Hpl Gd</t>
        </is>
      </c>
      <c r="D165" s="123" t="inlineStr">
        <is>
          <t>G2</t>
        </is>
      </c>
      <c r="E165" s="168" t="inlineStr">
        <is>
          <t>COMPLETO</t>
        </is>
      </c>
      <c r="F165" s="124" t="n">
        <v>177.5</v>
      </c>
      <c r="G165" s="123" t="inlineStr">
        <is>
          <t>2026-03-30</t>
        </is>
      </c>
      <c r="H165" s="124" t="n">
        <v>273.08</v>
      </c>
      <c r="I165" s="124" t="n">
        <v>330.43</v>
      </c>
      <c r="J165" s="123" t="inlineStr">
        <is>
          <t>2026-05-07</t>
        </is>
      </c>
      <c r="K165" s="124" t="n">
        <v>95.57999999999998</v>
      </c>
      <c r="L165" s="125" t="n">
        <v>35.00073238611395</v>
      </c>
      <c r="M165" s="125" t="n">
        <v>53.84788732394365</v>
      </c>
      <c r="N165" s="127" t="n"/>
      <c r="O165" s="127" t="n"/>
      <c r="P165" s="169" t="inlineStr"/>
      <c r="Q165" s="170" t="inlineStr"/>
    </row>
    <row r="166">
      <c r="A166" s="116" t="inlineStr">
        <is>
          <t>Balliu</t>
        </is>
      </c>
      <c r="B166" s="116" t="inlineStr">
        <is>
          <t>Sofia Mesa</t>
        </is>
      </c>
      <c r="C166" s="116" t="inlineStr">
        <is>
          <t>80X80 Tablero Hpl</t>
        </is>
      </c>
      <c r="D166" s="117" t="inlineStr">
        <is>
          <t>G2</t>
        </is>
      </c>
      <c r="E166" s="165" t="inlineStr">
        <is>
          <t>COMPLETO</t>
        </is>
      </c>
      <c r="F166" s="118" t="n">
        <v>186.98</v>
      </c>
      <c r="G166" s="117" t="inlineStr">
        <is>
          <t>2026-03-30</t>
        </is>
      </c>
      <c r="H166" s="118" t="n">
        <v>287.66</v>
      </c>
      <c r="I166" s="118" t="n">
        <v>348.07</v>
      </c>
      <c r="J166" s="117" t="inlineStr">
        <is>
          <t>2026-05-07</t>
        </is>
      </c>
      <c r="K166" s="118" t="n">
        <v>100.68</v>
      </c>
      <c r="L166" s="119" t="n">
        <v>34.99965236737816</v>
      </c>
      <c r="M166" s="119" t="n">
        <v>53.84533105144938</v>
      </c>
      <c r="N166" s="121" t="n"/>
      <c r="O166" s="121" t="n"/>
      <c r="P166" s="166" t="inlineStr"/>
      <c r="Q166" s="167" t="inlineStr"/>
    </row>
    <row r="167">
      <c r="A167" s="122" t="inlineStr">
        <is>
          <t>Balliu</t>
        </is>
      </c>
      <c r="B167" s="122" t="inlineStr">
        <is>
          <t>Sofia Mesa</t>
        </is>
      </c>
      <c r="C167" s="122" t="inlineStr">
        <is>
          <t>80X80 Tablero Hpl Gd</t>
        </is>
      </c>
      <c r="D167" s="123" t="inlineStr">
        <is>
          <t>G2</t>
        </is>
      </c>
      <c r="E167" s="168" t="inlineStr">
        <is>
          <t>COMPLETO</t>
        </is>
      </c>
      <c r="F167" s="124" t="n">
        <v>206.53</v>
      </c>
      <c r="G167" s="123" t="inlineStr">
        <is>
          <t>2026-03-30</t>
        </is>
      </c>
      <c r="H167" s="124" t="n">
        <v>317.75</v>
      </c>
      <c r="I167" s="124" t="n">
        <v>384.48</v>
      </c>
      <c r="J167" s="123" t="inlineStr">
        <is>
          <t>2026-05-07</t>
        </is>
      </c>
      <c r="K167" s="124" t="n">
        <v>111.22</v>
      </c>
      <c r="L167" s="125" t="n">
        <v>35.0023603461841</v>
      </c>
      <c r="M167" s="125" t="n">
        <v>53.85174066721542</v>
      </c>
      <c r="N167" s="127" t="n"/>
      <c r="O167" s="127" t="n"/>
      <c r="P167" s="169" t="inlineStr"/>
      <c r="Q167" s="170" t="inlineStr"/>
    </row>
    <row r="168">
      <c r="A168" s="116" t="inlineStr">
        <is>
          <t>Balliu</t>
        </is>
      </c>
      <c r="B168" s="116" t="inlineStr">
        <is>
          <t>Vera Silla</t>
        </is>
      </c>
      <c r="C168" s="116" t="inlineStr">
        <is>
          <t>Con Brazos</t>
        </is>
      </c>
      <c r="D168" s="117" t="inlineStr">
        <is>
          <t>G3</t>
        </is>
      </c>
      <c r="E168" s="165" t="inlineStr">
        <is>
          <t>COMPLETO</t>
        </is>
      </c>
      <c r="F168" s="118" t="n">
        <v>49.44</v>
      </c>
      <c r="G168" s="117" t="inlineStr">
        <is>
          <t>2026-03-30</t>
        </is>
      </c>
      <c r="H168" s="118" t="n">
        <v>65.92</v>
      </c>
      <c r="I168" s="118" t="n">
        <v>79.76000000000001</v>
      </c>
      <c r="J168" s="117" t="inlineStr">
        <is>
          <t>2026-05-07</t>
        </is>
      </c>
      <c r="K168" s="118" t="n">
        <v>16.48</v>
      </c>
      <c r="L168" s="119" t="n">
        <v>25.00000000000001</v>
      </c>
      <c r="M168" s="119" t="n">
        <v>33.33333333333334</v>
      </c>
      <c r="N168" s="121" t="n"/>
      <c r="O168" s="121" t="n"/>
      <c r="P168" s="166" t="inlineStr"/>
      <c r="Q168" s="167" t="inlineStr"/>
    </row>
    <row r="169">
      <c r="A169" s="122" t="inlineStr">
        <is>
          <t>Balliu</t>
        </is>
      </c>
      <c r="B169" s="122" t="inlineStr">
        <is>
          <t>Vera Silla</t>
        </is>
      </c>
      <c r="C169" s="122" t="inlineStr">
        <is>
          <t>L Con Brazos</t>
        </is>
      </c>
      <c r="D169" s="123" t="inlineStr">
        <is>
          <t>G3</t>
        </is>
      </c>
      <c r="E169" s="168" t="inlineStr">
        <is>
          <t>COMPLETO</t>
        </is>
      </c>
      <c r="F169" s="124" t="n">
        <v>71.33</v>
      </c>
      <c r="G169" s="123" t="inlineStr">
        <is>
          <t>2026-03-30</t>
        </is>
      </c>
      <c r="H169" s="124" t="n">
        <v>95.11</v>
      </c>
      <c r="I169" s="124" t="n">
        <v>115.08</v>
      </c>
      <c r="J169" s="123" t="inlineStr">
        <is>
          <t>2026-05-07</t>
        </is>
      </c>
      <c r="K169" s="124" t="n">
        <v>23.78</v>
      </c>
      <c r="L169" s="125" t="n">
        <v>25.00262853538009</v>
      </c>
      <c r="M169" s="125" t="n">
        <v>33.33800644889948</v>
      </c>
      <c r="N169" s="127" t="n"/>
      <c r="O169" s="127" t="n"/>
      <c r="P169" s="169" t="inlineStr"/>
      <c r="Q169" s="170" t="inlineStr"/>
    </row>
    <row r="170">
      <c r="A170" s="116" t="inlineStr">
        <is>
          <t>Balliu</t>
        </is>
      </c>
      <c r="B170" s="116" t="inlineStr">
        <is>
          <t>Vera Silla</t>
        </is>
      </c>
      <c r="C170" s="116" t="inlineStr">
        <is>
          <t>Sin Brazos</t>
        </is>
      </c>
      <c r="D170" s="117" t="inlineStr">
        <is>
          <t>G3</t>
        </is>
      </c>
      <c r="E170" s="165" t="inlineStr">
        <is>
          <t>COMPLETO</t>
        </is>
      </c>
      <c r="F170" s="118" t="n">
        <v>48.33</v>
      </c>
      <c r="G170" s="117" t="inlineStr">
        <is>
          <t>2026-03-30</t>
        </is>
      </c>
      <c r="H170" s="118" t="n">
        <v>64.44</v>
      </c>
      <c r="I170" s="118" t="n">
        <v>77.97</v>
      </c>
      <c r="J170" s="117" t="inlineStr">
        <is>
          <t>2026-05-07</t>
        </is>
      </c>
      <c r="K170" s="118" t="n">
        <v>16.11</v>
      </c>
      <c r="L170" s="119" t="n">
        <v>25</v>
      </c>
      <c r="M170" s="119" t="n">
        <v>33.33333333333333</v>
      </c>
      <c r="N170" s="121" t="n"/>
      <c r="O170" s="121" t="n"/>
      <c r="P170" s="166" t="inlineStr"/>
      <c r="Q170" s="167" t="inlineStr"/>
    </row>
    <row r="171">
      <c r="B171" s="142" t="inlineStr">
        <is>
          <t>TOTAL / MEDIA</t>
        </is>
      </c>
      <c r="F171" s="143">
        <f>SUM(F6:F170)</f>
        <v/>
      </c>
      <c r="H171" s="143">
        <f>SUM(H6:H170)</f>
        <v/>
      </c>
      <c r="I171" s="143">
        <f>SUM(I6:I170)</f>
        <v/>
      </c>
      <c r="K171" s="143">
        <f>SUM(K6:K170)</f>
        <v/>
      </c>
      <c r="L171" s="144">
        <f>AVERAGE(L6:L170)</f>
        <v/>
      </c>
      <c r="M171" s="144">
        <f>AVERAGE(M6:M170)</f>
        <v/>
      </c>
    </row>
  </sheetData>
  <autoFilter ref="A5:Q170"/>
  <mergeCells count="3">
    <mergeCell ref="A3:Q3"/>
    <mergeCell ref="A2:Q2"/>
    <mergeCell ref="A1:Q1"/>
  </mergeCells>
  <conditionalFormatting sqref="L6:L170">
    <cfRule type="colorScale" priority="1">
      <colorScale>
        <cfvo type="num" val="0"/>
        <cfvo type="num" val="35"/>
        <cfvo type="num" val="5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style="98" min="1" max="1"/>
    <col width="18" customWidth="1" style="98" min="2" max="2"/>
    <col width="18" customWidth="1" style="98" min="3" max="3"/>
    <col width="18" customWidth="1" style="98" min="4" max="4"/>
    <col width="50" customWidth="1" style="98" min="5" max="5"/>
  </cols>
  <sheetData>
    <row r="1" ht="28" customHeight="1" s="98">
      <c r="A1" s="128" t="inlineStr">
        <is>
          <t>01 · P&amp;L MENSUAL — escenarios Conservador / Base / Optimista</t>
        </is>
      </c>
    </row>
    <row r="2">
      <c r="A2" s="171" t="inlineStr">
        <is>
          <t>Modelo mensual operativo. Editar valores solo en 00_SUPUESTOS — esta hoja recalcula sola.</t>
        </is>
      </c>
    </row>
    <row r="4" ht="28" customHeight="1" s="98">
      <c r="A4" s="182" t="inlineStr">
        <is>
          <t>Concepto</t>
        </is>
      </c>
      <c r="B4" s="103" t="inlineStr">
        <is>
          <t>Conservador</t>
        </is>
      </c>
      <c r="C4" s="103" t="inlineStr">
        <is>
          <t>Base</t>
        </is>
      </c>
      <c r="D4" s="103" t="inlineStr">
        <is>
          <t>Optimista</t>
        </is>
      </c>
      <c r="E4" s="103" t="inlineStr">
        <is>
          <t>Notas</t>
        </is>
      </c>
    </row>
    <row r="5">
      <c r="A5" s="172" t="inlineStr">
        <is>
          <t>VOLUMEN</t>
        </is>
      </c>
    </row>
    <row r="6">
      <c r="A6" s="174" t="inlineStr">
        <is>
          <t>Pedidos / mes</t>
        </is>
      </c>
      <c r="B6" s="183">
        <f>Pedidos_mes_conservador</f>
        <v/>
      </c>
      <c r="C6" s="183">
        <f>Pedidos_mes_base</f>
        <v/>
      </c>
      <c r="D6" s="183">
        <f>Pedidos_mes_optimista</f>
        <v/>
      </c>
      <c r="E6" s="171" t="inlineStr">
        <is>
          <t>Editar en 00_SUPUESTOS · sección VOLUMEN.</t>
        </is>
      </c>
    </row>
    <row r="7">
      <c r="A7" s="174" t="inlineStr">
        <is>
          <t>AOV (ticket medio con IVA)</t>
        </is>
      </c>
      <c r="B7" s="184">
        <f>AOV</f>
        <v/>
      </c>
      <c r="C7" s="184">
        <f>AOV</f>
        <v/>
      </c>
      <c r="D7" s="184">
        <f>AOV</f>
        <v/>
      </c>
      <c r="E7" s="171" t="inlineStr">
        <is>
          <t>Mismo AOV en los 3 escenarios.</t>
        </is>
      </c>
    </row>
    <row r="9">
      <c r="A9" s="172" t="inlineStr">
        <is>
          <t>INGRESOS</t>
        </is>
      </c>
    </row>
    <row r="10">
      <c r="A10" s="174" t="inlineStr">
        <is>
          <t>Ingresos brutos (con IVA)</t>
        </is>
      </c>
      <c r="B10" s="181">
        <f>B6*AOV</f>
        <v/>
      </c>
      <c r="C10" s="181">
        <f>C6*AOV</f>
        <v/>
      </c>
      <c r="D10" s="181">
        <f>D6*AOV</f>
        <v/>
      </c>
      <c r="E10" s="171" t="inlineStr">
        <is>
          <t>Pedidos × AOV.</t>
        </is>
      </c>
    </row>
    <row r="11">
      <c r="A11" s="174" t="inlineStr">
        <is>
          <t>(-) IVA repercutido</t>
        </is>
      </c>
      <c r="B11" s="184">
        <f>-B10*IVA/(1+IVA)</f>
        <v/>
      </c>
      <c r="C11" s="184">
        <f>-C10*IVA/(1+IVA)</f>
        <v/>
      </c>
      <c r="D11" s="184">
        <f>-D10*IVA/(1+IVA)</f>
        <v/>
      </c>
      <c r="E11" s="171" t="inlineStr">
        <is>
          <t>21% sobre ingresos brutos. No es ingreso, es de Hacienda.</t>
        </is>
      </c>
    </row>
    <row r="12">
      <c r="A12" s="174" t="inlineStr">
        <is>
          <t>› Ingresos netos (sin IVA)</t>
        </is>
      </c>
      <c r="B12" s="181">
        <f>B10/(1+IVA)</f>
        <v/>
      </c>
      <c r="C12" s="181">
        <f>C10/(1+IVA)</f>
        <v/>
      </c>
      <c r="D12" s="181">
        <f>D10/(1+IVA)</f>
        <v/>
      </c>
      <c r="E12" s="171" t="inlineStr">
        <is>
          <t>Base imponible.</t>
        </is>
      </c>
    </row>
    <row r="14">
      <c r="A14" s="172" t="inlineStr">
        <is>
          <t>COSTE MERCANCÍA</t>
        </is>
      </c>
    </row>
    <row r="15">
      <c r="A15" s="174" t="inlineStr">
        <is>
          <t>Margen bruto medio del catálogo (sobre PVP sin IVA)</t>
        </is>
      </c>
      <c r="B15" s="185">
        <f>Margen_bruto_medio</f>
        <v/>
      </c>
      <c r="C15" s="185">
        <f>Margen_bruto_medio</f>
        <v/>
      </c>
      <c r="D15" s="185">
        <f>Margen_bruto_medio</f>
        <v/>
      </c>
      <c r="E15" s="171" t="inlineStr">
        <is>
          <t>Calculado al regenerar (00_SUPUESTOS · Margen_bruto_medio).</t>
        </is>
      </c>
    </row>
    <row r="16">
      <c r="A16" s="174" t="inlineStr">
        <is>
          <t>(-) Coste mercancía</t>
        </is>
      </c>
      <c r="B16" s="184">
        <f>-B12*(1-B15)</f>
        <v/>
      </c>
      <c r="C16" s="184">
        <f>-C12*(1-C15)</f>
        <v/>
      </c>
      <c r="D16" s="184">
        <f>-D12*(1-D15)</f>
        <v/>
      </c>
      <c r="E16" s="171" t="inlineStr">
        <is>
          <t>Ingresos netos × (1 − margen bruto medio).</t>
        </is>
      </c>
    </row>
    <row r="17">
      <c r="A17" s="174" t="inlineStr">
        <is>
          <t>› Margen bruto</t>
        </is>
      </c>
      <c r="B17" s="181">
        <f>B12+B16</f>
        <v/>
      </c>
      <c r="C17" s="181">
        <f>C12+C16</f>
        <v/>
      </c>
      <c r="D17" s="181">
        <f>D12+D16</f>
        <v/>
      </c>
      <c r="E17" s="171" t="inlineStr">
        <is>
          <t>Ingresos netos − coste mercancía.</t>
        </is>
      </c>
    </row>
    <row r="18">
      <c r="A18" s="174" t="inlineStr">
        <is>
          <t xml:space="preserve">    Margen bruto %</t>
        </is>
      </c>
      <c r="B18" s="185">
        <f>B17/B12</f>
        <v/>
      </c>
      <c r="C18" s="185">
        <f>C17/C12</f>
        <v/>
      </c>
      <c r="D18" s="185">
        <f>D17/D12</f>
        <v/>
      </c>
    </row>
    <row r="20">
      <c r="A20" s="172" t="inlineStr">
        <is>
          <t>COSTES VARIABLES</t>
        </is>
      </c>
    </row>
    <row r="21">
      <c r="A21" s="174" t="inlineStr">
        <is>
          <t>(-) Comisiones de pago</t>
        </is>
      </c>
      <c r="B21" s="184">
        <f>-(B10*Comision_pago_pct + B6*Comision_pago_fija)</f>
        <v/>
      </c>
      <c r="C21" s="184">
        <f>-(C10*Comision_pago_pct + C6*Comision_pago_fija)</f>
        <v/>
      </c>
      <c r="D21" s="184">
        <f>-(D10*Comision_pago_pct + D6*Comision_pago_fija)</f>
        <v/>
      </c>
      <c r="E21" s="171" t="inlineStr">
        <is>
          <t>% sobre venta + fija/pedido.</t>
        </is>
      </c>
    </row>
    <row r="22">
      <c r="A22" s="174" t="inlineStr">
        <is>
          <t>(-) Logística salida</t>
        </is>
      </c>
      <c r="B22" s="184">
        <f>-B6*Coste_medio_envio_pedido</f>
        <v/>
      </c>
      <c r="C22" s="184">
        <f>-C6*Coste_medio_envio_pedido</f>
        <v/>
      </c>
      <c r="D22" s="184">
        <f>-D6*Coste_medio_envio_pedido</f>
        <v/>
      </c>
      <c r="E22" s="171" t="inlineStr">
        <is>
          <t>Pedidos × coste medio mezclado del catálogo.</t>
        </is>
      </c>
    </row>
    <row r="23">
      <c r="A23" s="174" t="inlineStr">
        <is>
          <t>(-) Devoluciones</t>
        </is>
      </c>
      <c r="B23" s="184">
        <f>-B6*Tasa_devolucion*Coste_devolucion</f>
        <v/>
      </c>
      <c r="C23" s="184">
        <f>-C6*Tasa_devolucion*Coste_devolucion</f>
        <v/>
      </c>
      <c r="D23" s="184">
        <f>-D6*Tasa_devolucion*Coste_devolucion</f>
        <v/>
      </c>
      <c r="E23" s="171" t="inlineStr">
        <is>
          <t>Pedidos × tasa × coste por devolución.</t>
        </is>
      </c>
    </row>
    <row r="24">
      <c r="A24" s="174" t="inlineStr">
        <is>
          <t>(-) Incidencias transporte</t>
        </is>
      </c>
      <c r="B24" s="184">
        <f>-B6*Tasa_incidencia*Coste_incidencia</f>
        <v/>
      </c>
      <c r="C24" s="184">
        <f>-C6*Tasa_incidencia*Coste_incidencia</f>
        <v/>
      </c>
      <c r="D24" s="184">
        <f>-D6*Tasa_incidencia*Coste_incidencia</f>
        <v/>
      </c>
      <c r="E24" s="171" t="inlineStr">
        <is>
          <t>Pedidos × tasa × coste por incidencia.</t>
        </is>
      </c>
    </row>
    <row r="25">
      <c r="A25" s="174" t="inlineStr">
        <is>
          <t>› Margen contributivo (antes de marketing)</t>
        </is>
      </c>
      <c r="B25" s="181">
        <f>B17+B21+B22+B23+B24</f>
        <v/>
      </c>
      <c r="C25" s="181">
        <f>C17+C21+C22+C23+C24</f>
        <v/>
      </c>
      <c r="D25" s="181">
        <f>D17+D21+D22+D23+D24</f>
        <v/>
      </c>
      <c r="E25" s="171" t="inlineStr">
        <is>
          <t>Lo que queda para pagar marketing y costes fijos.</t>
        </is>
      </c>
    </row>
    <row r="26">
      <c r="A26" s="174" t="inlineStr">
        <is>
          <t xml:space="preserve">    Margen contributivo %</t>
        </is>
      </c>
      <c r="B26" s="185">
        <f>B25/B12</f>
        <v/>
      </c>
      <c r="C26" s="185">
        <f>C25/C12</f>
        <v/>
      </c>
      <c r="D26" s="185">
        <f>D25/D12</f>
        <v/>
      </c>
    </row>
    <row r="28">
      <c r="A28" s="172" t="inlineStr">
        <is>
          <t>MARKETING</t>
        </is>
      </c>
    </row>
    <row r="29">
      <c r="A29" s="174" t="inlineStr">
        <is>
          <t>ROAS objetivo</t>
        </is>
      </c>
      <c r="B29" s="186">
        <f>ROAS_conservador</f>
        <v/>
      </c>
      <c r="C29" s="186">
        <f>ROAS_base</f>
        <v/>
      </c>
      <c r="D29" s="186">
        <f>ROAS_optimista</f>
        <v/>
      </c>
    </row>
    <row r="30">
      <c r="A30" s="174" t="inlineStr">
        <is>
          <t>(-) Inversión marketing</t>
        </is>
      </c>
      <c r="B30" s="184">
        <f>-B10/B29</f>
        <v/>
      </c>
      <c r="C30" s="184">
        <f>-C10/C29</f>
        <v/>
      </c>
      <c r="D30" s="184">
        <f>-D10/D29</f>
        <v/>
      </c>
      <c r="E30" s="171" t="inlineStr">
        <is>
          <t>Ingresos brutos / ROAS objetivo.</t>
        </is>
      </c>
    </row>
    <row r="31">
      <c r="A31" s="174" t="inlineStr">
        <is>
          <t xml:space="preserve">    % marketing sobre ventas brutas</t>
        </is>
      </c>
      <c r="B31" s="185">
        <f>-B30/B10</f>
        <v/>
      </c>
      <c r="C31" s="185">
        <f>-C30/C10</f>
        <v/>
      </c>
      <c r="D31" s="185">
        <f>-D30/D10</f>
        <v/>
      </c>
    </row>
    <row r="32">
      <c r="A32" s="174" t="inlineStr">
        <is>
          <t>› EBITDA tras marketing</t>
        </is>
      </c>
      <c r="B32" s="181">
        <f>B25+B30</f>
        <v/>
      </c>
      <c r="C32" s="181">
        <f>C25+C30</f>
        <v/>
      </c>
      <c r="D32" s="181">
        <f>D25+D30</f>
        <v/>
      </c>
    </row>
    <row r="34">
      <c r="A34" s="172" t="inlineStr">
        <is>
          <t>COSTES FIJOS</t>
        </is>
      </c>
    </row>
    <row r="35">
      <c r="A35" s="174" t="inlineStr">
        <is>
          <t>(-) Costes fijos mensuales</t>
        </is>
      </c>
      <c r="B35" s="184">
        <f>-TOTAL_FIJOS_MES</f>
        <v/>
      </c>
      <c r="C35" s="184">
        <f>-TOTAL_FIJOS_MES</f>
        <v/>
      </c>
      <c r="D35" s="184">
        <f>-TOTAL_FIJOS_MES</f>
        <v/>
      </c>
      <c r="E35" s="171" t="inlineStr">
        <is>
          <t>Shopify + dominio + apps + personal (en 00_SUPUESTOS).</t>
        </is>
      </c>
    </row>
    <row r="37">
      <c r="A37" s="187" t="inlineStr">
        <is>
          <t>BENEFICIO OPERATIVO MENSUAL</t>
        </is>
      </c>
      <c r="B37" s="188">
        <f>B32+B35</f>
        <v/>
      </c>
      <c r="C37" s="188">
        <f>C32+C35</f>
        <v/>
      </c>
      <c r="D37" s="188">
        <f>D32+D35</f>
        <v/>
      </c>
    </row>
    <row r="38">
      <c r="A38" s="174" t="inlineStr">
        <is>
          <t xml:space="preserve">    Beneficio neto %</t>
        </is>
      </c>
      <c r="B38" s="185">
        <f>IFERROR(B37/B12,0)</f>
        <v/>
      </c>
      <c r="C38" s="185">
        <f>IFERROR(C37/C12,0)</f>
        <v/>
      </c>
      <c r="D38" s="185">
        <f>IFERROR(D37/D12,0)</f>
        <v/>
      </c>
    </row>
    <row r="41">
      <c r="A41" s="172" t="inlineStr">
        <is>
          <t>KPIs Y BREAK-EVEN</t>
        </is>
      </c>
    </row>
    <row r="42">
      <c r="A42" s="174" t="inlineStr">
        <is>
          <t>Margen contributivo €/pedido</t>
        </is>
      </c>
      <c r="B42" s="184">
        <f>B25/B6</f>
        <v/>
      </c>
      <c r="C42" s="184">
        <f>C25/C6</f>
        <v/>
      </c>
      <c r="D42" s="184">
        <f>D25/D6</f>
        <v/>
      </c>
    </row>
    <row r="43">
      <c r="A43" s="174" t="inlineStr">
        <is>
          <t>Pedidos break-even mensual (cubre fijos)</t>
        </is>
      </c>
      <c r="B43" s="189">
        <f>IFERROR(TOTAL_FIJOS_MES/MAX(B25/B6-AOV/B29,0.01),0)</f>
        <v/>
      </c>
      <c r="C43" s="189">
        <f>IFERROR(TOTAL_FIJOS_MES/MAX(C25/C6-AOV/C29,0.01),0)</f>
        <v/>
      </c>
      <c r="D43" s="189">
        <f>IFERROR(TOTAL_FIJOS_MES/MAX(D25/D6-AOV/D29,0.01),0)</f>
        <v/>
      </c>
      <c r="E43" s="171" t="inlineStr">
        <is>
          <t>Pedidos mínimos para que ingresos &gt; costes fijos + marketing al ROAS objetivo.</t>
        </is>
      </c>
    </row>
    <row r="44">
      <c r="A44" s="174" t="inlineStr">
        <is>
          <t>Sesiones web necesarias / mes</t>
        </is>
      </c>
      <c r="B44" s="190">
        <f>B6/Tasa_conversion</f>
        <v/>
      </c>
      <c r="C44" s="190">
        <f>C6/Tasa_conversion</f>
        <v/>
      </c>
      <c r="D44" s="190">
        <f>D6/Tasa_conversion</f>
        <v/>
      </c>
      <c r="E44" s="171" t="inlineStr">
        <is>
          <t>Pedidos / tasa de conversión.</t>
        </is>
      </c>
    </row>
    <row r="45">
      <c r="A45" s="174" t="inlineStr">
        <is>
          <t>CPA medio (coste por adquisición de cliente)</t>
        </is>
      </c>
      <c r="B45" s="184">
        <f>-B30/B6</f>
        <v/>
      </c>
      <c r="C45" s="184">
        <f>-C30/C6</f>
        <v/>
      </c>
      <c r="D45" s="184">
        <f>-D30/D6</f>
        <v/>
      </c>
      <c r="E45" s="171" t="inlineStr">
        <is>
          <t>Inversión marketing / pedidos. Comparar con margen contributivo €.</t>
        </is>
      </c>
    </row>
  </sheetData>
  <mergeCells count="9">
    <mergeCell ref="A34:E34"/>
    <mergeCell ref="A20:E20"/>
    <mergeCell ref="A2:E2"/>
    <mergeCell ref="A28:E28"/>
    <mergeCell ref="A41:E41"/>
    <mergeCell ref="A1:E1"/>
    <mergeCell ref="A5:E5"/>
    <mergeCell ref="A14:E14"/>
    <mergeCell ref="A9:E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8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style="98" min="1" max="1"/>
    <col width="14" customWidth="1" style="98" min="2" max="2"/>
    <col width="38" customWidth="1" style="98" min="3" max="3"/>
    <col width="13" customWidth="1" style="98" min="4" max="4"/>
    <col width="13" customWidth="1" style="98" min="5" max="5"/>
    <col width="13" customWidth="1" style="98" min="6" max="6"/>
    <col width="13" customWidth="1" style="98" min="7" max="7"/>
    <col width="13" customWidth="1" style="98" min="8" max="8"/>
    <col width="13" customWidth="1" style="98" min="9" max="9"/>
    <col width="13" customWidth="1" style="98" min="10" max="10"/>
    <col width="13" customWidth="1" style="98" min="11" max="11"/>
    <col width="13" customWidth="1" style="98" min="12" max="12"/>
    <col width="14" customWidth="1" style="98" min="13" max="13"/>
    <col width="14" customWidth="1" style="98" min="14" max="14"/>
    <col width="13" customWidth="1" style="98" min="15" max="15"/>
    <col width="12" customWidth="1" style="98" min="16" max="16"/>
    <col width="14" customWidth="1" style="98" min="17" max="17"/>
  </cols>
  <sheetData>
    <row r="1" ht="28" customHeight="1" s="98">
      <c r="A1" s="128" t="inlineStr">
        <is>
          <t>02 · UNIT ECONOMICS POR SKU — qué deja cada producto realmente</t>
        </is>
      </c>
    </row>
    <row r="2">
      <c r="A2" s="171" t="inlineStr">
        <is>
          <t>Una fila por SKU. Edita supuestos en 00_SUPUESTOS para recalcular todo.</t>
        </is>
      </c>
    </row>
    <row r="4" ht="38" customHeight="1" s="98">
      <c r="A4" s="103" t="inlineStr">
        <is>
          <t>Proveedor</t>
        </is>
      </c>
      <c r="B4" s="103" t="inlineStr">
        <is>
          <t>SKU</t>
        </is>
      </c>
      <c r="C4" s="103" t="inlineStr">
        <is>
          <t>Producto</t>
        </is>
      </c>
      <c r="D4" s="103" t="inlineStr">
        <is>
          <t>Coste sin IVA €</t>
        </is>
      </c>
      <c r="E4" s="103" t="inlineStr">
        <is>
          <t>PVP sin IVA €</t>
        </is>
      </c>
      <c r="F4" s="103" t="inlineStr">
        <is>
          <t>PVP con IVA €</t>
        </is>
      </c>
      <c r="G4" s="103" t="inlineStr">
        <is>
          <t>Margen bruto €</t>
        </is>
      </c>
      <c r="H4" s="103" t="inlineStr">
        <is>
          <t>Margen bruto %</t>
        </is>
      </c>
      <c r="I4" s="103" t="inlineStr">
        <is>
          <t>Comisión pago €</t>
        </is>
      </c>
      <c r="J4" s="103" t="inlineStr">
        <is>
          <t>Logística €</t>
        </is>
      </c>
      <c r="K4" s="103" t="inlineStr">
        <is>
          <t>Devoluciones €</t>
        </is>
      </c>
      <c r="L4" s="103" t="inlineStr">
        <is>
          <t>Incidencias €</t>
        </is>
      </c>
      <c r="M4" s="103" t="inlineStr">
        <is>
          <t>Margen contrib. €</t>
        </is>
      </c>
      <c r="N4" s="103" t="inlineStr">
        <is>
          <t>Margen contrib. %</t>
        </is>
      </c>
      <c r="O4" s="103" t="inlineStr">
        <is>
          <t>CAC máximo €</t>
        </is>
      </c>
      <c r="P4" s="103" t="inlineStr">
        <is>
          <t>ROAS mínimo</t>
        </is>
      </c>
      <c r="Q4" s="103" t="inlineStr">
        <is>
          <t>Categoría</t>
        </is>
      </c>
    </row>
    <row r="5">
      <c r="A5" s="116" t="inlineStr">
        <is>
          <t>Hevea</t>
        </is>
      </c>
      <c r="B5" s="116" t="inlineStr">
        <is>
          <t>557-010881</t>
        </is>
      </c>
      <c r="C5" s="116" t="inlineStr">
        <is>
          <t>BRANDON-1 SILLON/ARMCHAIR/FAUTEUIL</t>
        </is>
      </c>
      <c r="D5" s="118" t="n">
        <v>618</v>
      </c>
      <c r="E5" s="118" t="n">
        <v>980</v>
      </c>
      <c r="F5" s="118">
        <f>E5*(1+IVA)</f>
        <v/>
      </c>
      <c r="G5" s="118">
        <f>E5-D5</f>
        <v/>
      </c>
      <c r="H5" s="191">
        <f>IFERROR(G5/E5,0)</f>
        <v/>
      </c>
      <c r="I5" s="118">
        <f>F5*Comision_pago_pct+Comision_pago_fija</f>
        <v/>
      </c>
      <c r="J5" s="118">
        <f>IF(A5="Hevea",IF(F5&gt;=Hevea_umbral_envio_gratis,0,Hevea_coste_envio_bajo),Balliu_coste_envio)</f>
        <v/>
      </c>
      <c r="K5" s="118">
        <f>Tasa_devolucion*Coste_devolucion</f>
        <v/>
      </c>
      <c r="L5" s="118">
        <f>Tasa_incidencia*Coste_incidencia</f>
        <v/>
      </c>
      <c r="M5" s="118">
        <f>G5-I5-J5-K5-L5</f>
        <v/>
      </c>
      <c r="N5" s="191">
        <f>IFERROR(M5/E5,0)</f>
        <v/>
      </c>
      <c r="O5" s="118">
        <f>MAX(M5,0)</f>
        <v/>
      </c>
      <c r="P5" s="192">
        <f>IFERROR(F5/O5,0)</f>
        <v/>
      </c>
      <c r="Q5" s="193">
        <f>IF(N5&gt;=Umbral_PUSH_pct,IF(M5&gt;=Umbral_PUSH_eur,"PUSH","NEUTRAL"),IF(N5&gt;=Umbral_NEUTRAL_pct,"NEUTRAL",IF(N5&gt;=Umbral_WATCH_pct,"WATCH","NO ANUNCIAR")))</f>
        <v/>
      </c>
    </row>
    <row r="6">
      <c r="A6" s="122" t="inlineStr">
        <is>
          <t>Hevea</t>
        </is>
      </c>
      <c r="B6" s="122" t="inlineStr">
        <is>
          <t>557-010882</t>
        </is>
      </c>
      <c r="C6" s="122" t="inlineStr">
        <is>
          <t>BRANDON-2 SOFA 2 PLAZAS/SOFA/CANAPÉ</t>
        </is>
      </c>
      <c r="D6" s="124" t="n">
        <v>927</v>
      </c>
      <c r="E6" s="124" t="n">
        <v>1470</v>
      </c>
      <c r="F6" s="124">
        <f>E6*(1+IVA)</f>
        <v/>
      </c>
      <c r="G6" s="124">
        <f>E6-D6</f>
        <v/>
      </c>
      <c r="H6" s="194">
        <f>IFERROR(G6/E6,0)</f>
        <v/>
      </c>
      <c r="I6" s="124">
        <f>F6*Comision_pago_pct+Comision_pago_fija</f>
        <v/>
      </c>
      <c r="J6" s="124">
        <f>IF(A6="Hevea",IF(F6&gt;=Hevea_umbral_envio_gratis,0,Hevea_coste_envio_bajo),Balliu_coste_envio)</f>
        <v/>
      </c>
      <c r="K6" s="124">
        <f>Tasa_devolucion*Coste_devolucion</f>
        <v/>
      </c>
      <c r="L6" s="124">
        <f>Tasa_incidencia*Coste_incidencia</f>
        <v/>
      </c>
      <c r="M6" s="124">
        <f>G6-I6-J6-K6-L6</f>
        <v/>
      </c>
      <c r="N6" s="194">
        <f>IFERROR(M6/E6,0)</f>
        <v/>
      </c>
      <c r="O6" s="124">
        <f>MAX(M6,0)</f>
        <v/>
      </c>
      <c r="P6" s="195">
        <f>IFERROR(F6/O6,0)</f>
        <v/>
      </c>
      <c r="Q6" s="196">
        <f>IF(N6&gt;=Umbral_PUSH_pct,IF(M6&gt;=Umbral_PUSH_eur,"PUSH","NEUTRAL"),IF(N6&gt;=Umbral_NEUTRAL_pct,"NEUTRAL",IF(N6&gt;=Umbral_WATCH_pct,"WATCH","NO ANUNCIAR")))</f>
        <v/>
      </c>
    </row>
    <row r="7">
      <c r="A7" s="116" t="inlineStr">
        <is>
          <t>Hevea</t>
        </is>
      </c>
      <c r="B7" s="116" t="inlineStr">
        <is>
          <t>557-010879</t>
        </is>
      </c>
      <c r="C7" s="116" t="inlineStr">
        <is>
          <t>BRANDON-3 SOFA 3 PLAZAS/SOFA/CANAPÉ</t>
        </is>
      </c>
      <c r="D7" s="118" t="n">
        <v>1223</v>
      </c>
      <c r="E7" s="118" t="n">
        <v>1940</v>
      </c>
      <c r="F7" s="118">
        <f>E7*(1+IVA)</f>
        <v/>
      </c>
      <c r="G7" s="118">
        <f>E7-D7</f>
        <v/>
      </c>
      <c r="H7" s="191">
        <f>IFERROR(G7/E7,0)</f>
        <v/>
      </c>
      <c r="I7" s="118">
        <f>F7*Comision_pago_pct+Comision_pago_fija</f>
        <v/>
      </c>
      <c r="J7" s="118">
        <f>IF(A7="Hevea",IF(F7&gt;=Hevea_umbral_envio_gratis,0,Hevea_coste_envio_bajo),Balliu_coste_envio)</f>
        <v/>
      </c>
      <c r="K7" s="118">
        <f>Tasa_devolucion*Coste_devolucion</f>
        <v/>
      </c>
      <c r="L7" s="118">
        <f>Tasa_incidencia*Coste_incidencia</f>
        <v/>
      </c>
      <c r="M7" s="118">
        <f>G7-I7-J7-K7-L7</f>
        <v/>
      </c>
      <c r="N7" s="191">
        <f>IFERROR(M7/E7,0)</f>
        <v/>
      </c>
      <c r="O7" s="118">
        <f>MAX(M7,0)</f>
        <v/>
      </c>
      <c r="P7" s="192">
        <f>IFERROR(F7/O7,0)</f>
        <v/>
      </c>
      <c r="Q7" s="193">
        <f>IF(N7&gt;=Umbral_PUSH_pct,IF(M7&gt;=Umbral_PUSH_eur,"PUSH","NEUTRAL"),IF(N7&gt;=Umbral_NEUTRAL_pct,"NEUTRAL",IF(N7&gt;=Umbral_WATCH_pct,"WATCH","NO ANUNCIAR")))</f>
        <v/>
      </c>
    </row>
    <row r="8">
      <c r="A8" s="122" t="inlineStr">
        <is>
          <t>Hevea</t>
        </is>
      </c>
      <c r="B8" s="122" t="inlineStr">
        <is>
          <t>557-010884</t>
        </is>
      </c>
      <c r="C8" s="122" t="inlineStr">
        <is>
          <t>LUNA-44 SET MESAS CENTRO 80 + 60</t>
        </is>
      </c>
      <c r="D8" s="124" t="n">
        <v>275</v>
      </c>
      <c r="E8" s="124" t="n">
        <v>435</v>
      </c>
      <c r="F8" s="124">
        <f>E8*(1+IVA)</f>
        <v/>
      </c>
      <c r="G8" s="124">
        <f>E8-D8</f>
        <v/>
      </c>
      <c r="H8" s="194">
        <f>IFERROR(G8/E8,0)</f>
        <v/>
      </c>
      <c r="I8" s="124">
        <f>F8*Comision_pago_pct+Comision_pago_fija</f>
        <v/>
      </c>
      <c r="J8" s="124">
        <f>IF(A8="Hevea",IF(F8&gt;=Hevea_umbral_envio_gratis,0,Hevea_coste_envio_bajo),Balliu_coste_envio)</f>
        <v/>
      </c>
      <c r="K8" s="124">
        <f>Tasa_devolucion*Coste_devolucion</f>
        <v/>
      </c>
      <c r="L8" s="124">
        <f>Tasa_incidencia*Coste_incidencia</f>
        <v/>
      </c>
      <c r="M8" s="124">
        <f>G8-I8-J8-K8-L8</f>
        <v/>
      </c>
      <c r="N8" s="194">
        <f>IFERROR(M8/E8,0)</f>
        <v/>
      </c>
      <c r="O8" s="124">
        <f>MAX(M8,0)</f>
        <v/>
      </c>
      <c r="P8" s="195">
        <f>IFERROR(F8/O8,0)</f>
        <v/>
      </c>
      <c r="Q8" s="196">
        <f>IF(N8&gt;=Umbral_PUSH_pct,IF(M8&gt;=Umbral_PUSH_eur,"PUSH","NEUTRAL"),IF(N8&gt;=Umbral_NEUTRAL_pct,"NEUTRAL",IF(N8&gt;=Umbral_WATCH_pct,"WATCH","NO ANUNCIAR")))</f>
        <v/>
      </c>
    </row>
    <row r="9">
      <c r="A9" s="116" t="inlineStr">
        <is>
          <t>Hevea</t>
        </is>
      </c>
      <c r="B9" s="116" t="inlineStr">
        <is>
          <t>557-010884</t>
        </is>
      </c>
      <c r="C9" s="116" t="inlineStr">
        <is>
          <t>BRANDON-7 SET SOFA 2 PLAZAS/SOFA/CANAPÉ</t>
        </is>
      </c>
      <c r="D9" s="118" t="n">
        <v>2435</v>
      </c>
      <c r="E9" s="118" t="n">
        <v>3865</v>
      </c>
      <c r="F9" s="118">
        <f>E9*(1+IVA)</f>
        <v/>
      </c>
      <c r="G9" s="118">
        <f>E9-D9</f>
        <v/>
      </c>
      <c r="H9" s="191">
        <f>IFERROR(G9/E9,0)</f>
        <v/>
      </c>
      <c r="I9" s="118">
        <f>F9*Comision_pago_pct+Comision_pago_fija</f>
        <v/>
      </c>
      <c r="J9" s="118">
        <f>IF(A9="Hevea",IF(F9&gt;=Hevea_umbral_envio_gratis,0,Hevea_coste_envio_bajo),Balliu_coste_envio)</f>
        <v/>
      </c>
      <c r="K9" s="118">
        <f>Tasa_devolucion*Coste_devolucion</f>
        <v/>
      </c>
      <c r="L9" s="118">
        <f>Tasa_incidencia*Coste_incidencia</f>
        <v/>
      </c>
      <c r="M9" s="118">
        <f>G9-I9-J9-K9-L9</f>
        <v/>
      </c>
      <c r="N9" s="191">
        <f>IFERROR(M9/E9,0)</f>
        <v/>
      </c>
      <c r="O9" s="118">
        <f>MAX(M9,0)</f>
        <v/>
      </c>
      <c r="P9" s="192">
        <f>IFERROR(F9/O9,0)</f>
        <v/>
      </c>
      <c r="Q9" s="193">
        <f>IF(N9&gt;=Umbral_PUSH_pct,IF(M9&gt;=Umbral_PUSH_eur,"PUSH","NEUTRAL"),IF(N9&gt;=Umbral_NEUTRAL_pct,"NEUTRAL",IF(N9&gt;=Umbral_WATCH_pct,"WATCH","NO ANUNCIAR")))</f>
        <v/>
      </c>
    </row>
    <row r="10">
      <c r="A10" s="122" t="inlineStr">
        <is>
          <t>Hevea</t>
        </is>
      </c>
      <c r="B10" s="122" t="inlineStr">
        <is>
          <t>557-010885</t>
        </is>
      </c>
      <c r="C10" s="122" t="inlineStr">
        <is>
          <t>BRANDON-8 SET SOFA 3 PLAZAS/SOFA/CANAPÉ</t>
        </is>
      </c>
      <c r="D10" s="124" t="n">
        <v>2732</v>
      </c>
      <c r="E10" s="124" t="n">
        <v>4335</v>
      </c>
      <c r="F10" s="124">
        <f>E10*(1+IVA)</f>
        <v/>
      </c>
      <c r="G10" s="124">
        <f>E10-D10</f>
        <v/>
      </c>
      <c r="H10" s="194">
        <f>IFERROR(G10/E10,0)</f>
        <v/>
      </c>
      <c r="I10" s="124">
        <f>F10*Comision_pago_pct+Comision_pago_fija</f>
        <v/>
      </c>
      <c r="J10" s="124">
        <f>IF(A10="Hevea",IF(F10&gt;=Hevea_umbral_envio_gratis,0,Hevea_coste_envio_bajo),Balliu_coste_envio)</f>
        <v/>
      </c>
      <c r="K10" s="124">
        <f>Tasa_devolucion*Coste_devolucion</f>
        <v/>
      </c>
      <c r="L10" s="124">
        <f>Tasa_incidencia*Coste_incidencia</f>
        <v/>
      </c>
      <c r="M10" s="124">
        <f>G10-I10-J10-K10-L10</f>
        <v/>
      </c>
      <c r="N10" s="194">
        <f>IFERROR(M10/E10,0)</f>
        <v/>
      </c>
      <c r="O10" s="124">
        <f>MAX(M10,0)</f>
        <v/>
      </c>
      <c r="P10" s="195">
        <f>IFERROR(F10/O10,0)</f>
        <v/>
      </c>
      <c r="Q10" s="196">
        <f>IF(N10&gt;=Umbral_PUSH_pct,IF(M10&gt;=Umbral_PUSH_eur,"PUSH","NEUTRAL"),IF(N10&gt;=Umbral_NEUTRAL_pct,"NEUTRAL",IF(N10&gt;=Umbral_WATCH_pct,"WATCH","NO ANUNCIAR")))</f>
        <v/>
      </c>
    </row>
    <row r="11">
      <c r="A11" s="116" t="inlineStr">
        <is>
          <t>Hevea</t>
        </is>
      </c>
      <c r="B11" s="116" t="inlineStr">
        <is>
          <t>557-010935</t>
        </is>
      </c>
      <c r="C11" s="116" t="inlineStr">
        <is>
          <t>DAMASCO-1 SILLON/ARMCHAIR/FAUTEUIL</t>
        </is>
      </c>
      <c r="D11" s="118" t="n">
        <v>413</v>
      </c>
      <c r="E11" s="118" t="n">
        <v>655</v>
      </c>
      <c r="F11" s="118">
        <f>E11*(1+IVA)</f>
        <v/>
      </c>
      <c r="G11" s="118">
        <f>E11-D11</f>
        <v/>
      </c>
      <c r="H11" s="191">
        <f>IFERROR(G11/E11,0)</f>
        <v/>
      </c>
      <c r="I11" s="118">
        <f>F11*Comision_pago_pct+Comision_pago_fija</f>
        <v/>
      </c>
      <c r="J11" s="118">
        <f>IF(A11="Hevea",IF(F11&gt;=Hevea_umbral_envio_gratis,0,Hevea_coste_envio_bajo),Balliu_coste_envio)</f>
        <v/>
      </c>
      <c r="K11" s="118">
        <f>Tasa_devolucion*Coste_devolucion</f>
        <v/>
      </c>
      <c r="L11" s="118">
        <f>Tasa_incidencia*Coste_incidencia</f>
        <v/>
      </c>
      <c r="M11" s="118">
        <f>G11-I11-J11-K11-L11</f>
        <v/>
      </c>
      <c r="N11" s="191">
        <f>IFERROR(M11/E11,0)</f>
        <v/>
      </c>
      <c r="O11" s="118">
        <f>MAX(M11,0)</f>
        <v/>
      </c>
      <c r="P11" s="192">
        <f>IFERROR(F11/O11,0)</f>
        <v/>
      </c>
      <c r="Q11" s="193">
        <f>IF(N11&gt;=Umbral_PUSH_pct,IF(M11&gt;=Umbral_PUSH_eur,"PUSH","NEUTRAL"),IF(N11&gt;=Umbral_NEUTRAL_pct,"NEUTRAL",IF(N11&gt;=Umbral_WATCH_pct,"WATCH","NO ANUNCIAR")))</f>
        <v/>
      </c>
    </row>
    <row r="12">
      <c r="A12" s="122" t="inlineStr">
        <is>
          <t>Hevea</t>
        </is>
      </c>
      <c r="B12" s="122" t="inlineStr">
        <is>
          <t>557-010936</t>
        </is>
      </c>
      <c r="C12" s="122" t="inlineStr">
        <is>
          <t>DAMASCO-2 SOFA 2 PLAZAS/SOFA/CANAPÉ</t>
        </is>
      </c>
      <c r="D12" s="124" t="n">
        <v>608</v>
      </c>
      <c r="E12" s="124" t="n">
        <v>965</v>
      </c>
      <c r="F12" s="124">
        <f>E12*(1+IVA)</f>
        <v/>
      </c>
      <c r="G12" s="124">
        <f>E12-D12</f>
        <v/>
      </c>
      <c r="H12" s="194">
        <f>IFERROR(G12/E12,0)</f>
        <v/>
      </c>
      <c r="I12" s="124">
        <f>F12*Comision_pago_pct+Comision_pago_fija</f>
        <v/>
      </c>
      <c r="J12" s="124">
        <f>IF(A12="Hevea",IF(F12&gt;=Hevea_umbral_envio_gratis,0,Hevea_coste_envio_bajo),Balliu_coste_envio)</f>
        <v/>
      </c>
      <c r="K12" s="124">
        <f>Tasa_devolucion*Coste_devolucion</f>
        <v/>
      </c>
      <c r="L12" s="124">
        <f>Tasa_incidencia*Coste_incidencia</f>
        <v/>
      </c>
      <c r="M12" s="124">
        <f>G12-I12-J12-K12-L12</f>
        <v/>
      </c>
      <c r="N12" s="194">
        <f>IFERROR(M12/E12,0)</f>
        <v/>
      </c>
      <c r="O12" s="124">
        <f>MAX(M12,0)</f>
        <v/>
      </c>
      <c r="P12" s="195">
        <f>IFERROR(F12/O12,0)</f>
        <v/>
      </c>
      <c r="Q12" s="196">
        <f>IF(N12&gt;=Umbral_PUSH_pct,IF(M12&gt;=Umbral_PUSH_eur,"PUSH","NEUTRAL"),IF(N12&gt;=Umbral_NEUTRAL_pct,"NEUTRAL",IF(N12&gt;=Umbral_WATCH_pct,"WATCH","NO ANUNCIAR")))</f>
        <v/>
      </c>
    </row>
    <row r="13">
      <c r="A13" s="116" t="inlineStr">
        <is>
          <t>Hevea</t>
        </is>
      </c>
      <c r="B13" s="116" t="inlineStr">
        <is>
          <t>557-010937</t>
        </is>
      </c>
      <c r="C13" s="116" t="inlineStr">
        <is>
          <t>DAMASCO-3 SOFA 3 PLAZAS/SOFA/CANAPÉ</t>
        </is>
      </c>
      <c r="D13" s="118" t="n">
        <v>772</v>
      </c>
      <c r="E13" s="118" t="n">
        <v>1225</v>
      </c>
      <c r="F13" s="118">
        <f>E13*(1+IVA)</f>
        <v/>
      </c>
      <c r="G13" s="118">
        <f>E13-D13</f>
        <v/>
      </c>
      <c r="H13" s="191">
        <f>IFERROR(G13/E13,0)</f>
        <v/>
      </c>
      <c r="I13" s="118">
        <f>F13*Comision_pago_pct+Comision_pago_fija</f>
        <v/>
      </c>
      <c r="J13" s="118">
        <f>IF(A13="Hevea",IF(F13&gt;=Hevea_umbral_envio_gratis,0,Hevea_coste_envio_bajo),Balliu_coste_envio)</f>
        <v/>
      </c>
      <c r="K13" s="118">
        <f>Tasa_devolucion*Coste_devolucion</f>
        <v/>
      </c>
      <c r="L13" s="118">
        <f>Tasa_incidencia*Coste_incidencia</f>
        <v/>
      </c>
      <c r="M13" s="118">
        <f>G13-I13-J13-K13-L13</f>
        <v/>
      </c>
      <c r="N13" s="191">
        <f>IFERROR(M13/E13,0)</f>
        <v/>
      </c>
      <c r="O13" s="118">
        <f>MAX(M13,0)</f>
        <v/>
      </c>
      <c r="P13" s="192">
        <f>IFERROR(F13/O13,0)</f>
        <v/>
      </c>
      <c r="Q13" s="193">
        <f>IF(N13&gt;=Umbral_PUSH_pct,IF(M13&gt;=Umbral_PUSH_eur,"PUSH","NEUTRAL"),IF(N13&gt;=Umbral_NEUTRAL_pct,"NEUTRAL",IF(N13&gt;=Umbral_WATCH_pct,"WATCH","NO ANUNCIAR")))</f>
        <v/>
      </c>
    </row>
    <row r="14">
      <c r="A14" s="122" t="inlineStr">
        <is>
          <t>Hevea</t>
        </is>
      </c>
      <c r="B14" s="122" t="inlineStr">
        <is>
          <t>557-1071</t>
        </is>
      </c>
      <c r="C14" s="122" t="inlineStr">
        <is>
          <t>UNIVERSAL-80 MESA CENTRO/COFFEE TABLE</t>
        </is>
      </c>
      <c r="D14" s="124" t="n">
        <v>177</v>
      </c>
      <c r="E14" s="124" t="n">
        <v>280</v>
      </c>
      <c r="F14" s="124">
        <f>E14*(1+IVA)</f>
        <v/>
      </c>
      <c r="G14" s="124">
        <f>E14-D14</f>
        <v/>
      </c>
      <c r="H14" s="194">
        <f>IFERROR(G14/E14,0)</f>
        <v/>
      </c>
      <c r="I14" s="124">
        <f>F14*Comision_pago_pct+Comision_pago_fija</f>
        <v/>
      </c>
      <c r="J14" s="124">
        <f>IF(A14="Hevea",IF(F14&gt;=Hevea_umbral_envio_gratis,0,Hevea_coste_envio_bajo),Balliu_coste_envio)</f>
        <v/>
      </c>
      <c r="K14" s="124">
        <f>Tasa_devolucion*Coste_devolucion</f>
        <v/>
      </c>
      <c r="L14" s="124">
        <f>Tasa_incidencia*Coste_incidencia</f>
        <v/>
      </c>
      <c r="M14" s="124">
        <f>G14-I14-J14-K14-L14</f>
        <v/>
      </c>
      <c r="N14" s="194">
        <f>IFERROR(M14/E14,0)</f>
        <v/>
      </c>
      <c r="O14" s="124">
        <f>MAX(M14,0)</f>
        <v/>
      </c>
      <c r="P14" s="195">
        <f>IFERROR(F14/O14,0)</f>
        <v/>
      </c>
      <c r="Q14" s="196">
        <f>IF(N14&gt;=Umbral_PUSH_pct,IF(M14&gt;=Umbral_PUSH_eur,"PUSH","NEUTRAL"),IF(N14&gt;=Umbral_NEUTRAL_pct,"NEUTRAL",IF(N14&gt;=Umbral_WATCH_pct,"WATCH","NO ANUNCIAR")))</f>
        <v/>
      </c>
    </row>
    <row r="15">
      <c r="A15" s="116" t="inlineStr">
        <is>
          <t>Hevea</t>
        </is>
      </c>
      <c r="B15" s="116" t="inlineStr">
        <is>
          <t>557-1563</t>
        </is>
      </c>
      <c r="C15" s="116" t="inlineStr">
        <is>
          <t>UNIVERSAL-120 MESA CENTRO 120/COFFEE TABLE</t>
        </is>
      </c>
      <c r="D15" s="118" t="n">
        <v>246</v>
      </c>
      <c r="E15" s="118" t="n">
        <v>390</v>
      </c>
      <c r="F15" s="118">
        <f>E15*(1+IVA)</f>
        <v/>
      </c>
      <c r="G15" s="118">
        <f>E15-D15</f>
        <v/>
      </c>
      <c r="H15" s="191">
        <f>IFERROR(G15/E15,0)</f>
        <v/>
      </c>
      <c r="I15" s="118">
        <f>F15*Comision_pago_pct+Comision_pago_fija</f>
        <v/>
      </c>
      <c r="J15" s="118">
        <f>IF(A15="Hevea",IF(F15&gt;=Hevea_umbral_envio_gratis,0,Hevea_coste_envio_bajo),Balliu_coste_envio)</f>
        <v/>
      </c>
      <c r="K15" s="118">
        <f>Tasa_devolucion*Coste_devolucion</f>
        <v/>
      </c>
      <c r="L15" s="118">
        <f>Tasa_incidencia*Coste_incidencia</f>
        <v/>
      </c>
      <c r="M15" s="118">
        <f>G15-I15-J15-K15-L15</f>
        <v/>
      </c>
      <c r="N15" s="191">
        <f>IFERROR(M15/E15,0)</f>
        <v/>
      </c>
      <c r="O15" s="118">
        <f>MAX(M15,0)</f>
        <v/>
      </c>
      <c r="P15" s="192">
        <f>IFERROR(F15/O15,0)</f>
        <v/>
      </c>
      <c r="Q15" s="193">
        <f>IF(N15&gt;=Umbral_PUSH_pct,IF(M15&gt;=Umbral_PUSH_eur,"PUSH","NEUTRAL"),IF(N15&gt;=Umbral_NEUTRAL_pct,"NEUTRAL",IF(N15&gt;=Umbral_WATCH_pct,"WATCH","NO ANUNCIAR")))</f>
        <v/>
      </c>
    </row>
    <row r="16">
      <c r="A16" s="122" t="inlineStr">
        <is>
          <t>Hevea</t>
        </is>
      </c>
      <c r="B16" s="122" t="inlineStr">
        <is>
          <t>557-010938</t>
        </is>
      </c>
      <c r="C16" s="122" t="inlineStr">
        <is>
          <t>SET DAMASCO 7 / 2 SEATER SOFA SET / SET CANAPÉ 2 PLACES</t>
        </is>
      </c>
      <c r="D16" s="124" t="n">
        <v>1610</v>
      </c>
      <c r="E16" s="124" t="n">
        <v>2555</v>
      </c>
      <c r="F16" s="124">
        <f>E16*(1+IVA)</f>
        <v/>
      </c>
      <c r="G16" s="124">
        <f>E16-D16</f>
        <v/>
      </c>
      <c r="H16" s="194">
        <f>IFERROR(G16/E16,0)</f>
        <v/>
      </c>
      <c r="I16" s="124">
        <f>F16*Comision_pago_pct+Comision_pago_fija</f>
        <v/>
      </c>
      <c r="J16" s="124">
        <f>IF(A16="Hevea",IF(F16&gt;=Hevea_umbral_envio_gratis,0,Hevea_coste_envio_bajo),Balliu_coste_envio)</f>
        <v/>
      </c>
      <c r="K16" s="124">
        <f>Tasa_devolucion*Coste_devolucion</f>
        <v/>
      </c>
      <c r="L16" s="124">
        <f>Tasa_incidencia*Coste_incidencia</f>
        <v/>
      </c>
      <c r="M16" s="124">
        <f>G16-I16-J16-K16-L16</f>
        <v/>
      </c>
      <c r="N16" s="194">
        <f>IFERROR(M16/E16,0)</f>
        <v/>
      </c>
      <c r="O16" s="124">
        <f>MAX(M16,0)</f>
        <v/>
      </c>
      <c r="P16" s="195">
        <f>IFERROR(F16/O16,0)</f>
        <v/>
      </c>
      <c r="Q16" s="196">
        <f>IF(N16&gt;=Umbral_PUSH_pct,IF(M16&gt;=Umbral_PUSH_eur,"PUSH","NEUTRAL"),IF(N16&gt;=Umbral_NEUTRAL_pct,"NEUTRAL",IF(N16&gt;=Umbral_WATCH_pct,"WATCH","NO ANUNCIAR")))</f>
        <v/>
      </c>
    </row>
    <row r="17">
      <c r="A17" s="116" t="inlineStr">
        <is>
          <t>Hevea</t>
        </is>
      </c>
      <c r="B17" s="116" t="inlineStr">
        <is>
          <t>557-010939</t>
        </is>
      </c>
      <c r="C17" s="116" t="inlineStr">
        <is>
          <t>SET DAMASCO 8 / 3 SEATER SOFA SET / SET CANAPÉ 3 PLACES</t>
        </is>
      </c>
      <c r="D17" s="118" t="n">
        <v>1843</v>
      </c>
      <c r="E17" s="118" t="n">
        <v>2925</v>
      </c>
      <c r="F17" s="118">
        <f>E17*(1+IVA)</f>
        <v/>
      </c>
      <c r="G17" s="118">
        <f>E17-D17</f>
        <v/>
      </c>
      <c r="H17" s="191">
        <f>IFERROR(G17/E17,0)</f>
        <v/>
      </c>
      <c r="I17" s="118">
        <f>F17*Comision_pago_pct+Comision_pago_fija</f>
        <v/>
      </c>
      <c r="J17" s="118">
        <f>IF(A17="Hevea",IF(F17&gt;=Hevea_umbral_envio_gratis,0,Hevea_coste_envio_bajo),Balliu_coste_envio)</f>
        <v/>
      </c>
      <c r="K17" s="118">
        <f>Tasa_devolucion*Coste_devolucion</f>
        <v/>
      </c>
      <c r="L17" s="118">
        <f>Tasa_incidencia*Coste_incidencia</f>
        <v/>
      </c>
      <c r="M17" s="118">
        <f>G17-I17-J17-K17-L17</f>
        <v/>
      </c>
      <c r="N17" s="191">
        <f>IFERROR(M17/E17,0)</f>
        <v/>
      </c>
      <c r="O17" s="118">
        <f>MAX(M17,0)</f>
        <v/>
      </c>
      <c r="P17" s="192">
        <f>IFERROR(F17/O17,0)</f>
        <v/>
      </c>
      <c r="Q17" s="193">
        <f>IF(N17&gt;=Umbral_PUSH_pct,IF(M17&gt;=Umbral_PUSH_eur,"PUSH","NEUTRAL"),IF(N17&gt;=Umbral_NEUTRAL_pct,"NEUTRAL",IF(N17&gt;=Umbral_WATCH_pct,"WATCH","NO ANUNCIAR")))</f>
        <v/>
      </c>
    </row>
    <row r="18">
      <c r="A18" s="122" t="inlineStr">
        <is>
          <t>Hevea</t>
        </is>
      </c>
      <c r="B18" s="122" t="inlineStr">
        <is>
          <t>600-010021</t>
        </is>
      </c>
      <c r="C18" s="122" t="inlineStr">
        <is>
          <t>YINA-1 SILLON/ARMCHAIR/FAUTEUIL</t>
        </is>
      </c>
      <c r="D18" s="124" t="n">
        <v>498</v>
      </c>
      <c r="E18" s="124" t="n">
        <v>790</v>
      </c>
      <c r="F18" s="124">
        <f>E18*(1+IVA)</f>
        <v/>
      </c>
      <c r="G18" s="124">
        <f>E18-D18</f>
        <v/>
      </c>
      <c r="H18" s="194">
        <f>IFERROR(G18/E18,0)</f>
        <v/>
      </c>
      <c r="I18" s="124">
        <f>F18*Comision_pago_pct+Comision_pago_fija</f>
        <v/>
      </c>
      <c r="J18" s="124">
        <f>IF(A18="Hevea",IF(F18&gt;=Hevea_umbral_envio_gratis,0,Hevea_coste_envio_bajo),Balliu_coste_envio)</f>
        <v/>
      </c>
      <c r="K18" s="124">
        <f>Tasa_devolucion*Coste_devolucion</f>
        <v/>
      </c>
      <c r="L18" s="124">
        <f>Tasa_incidencia*Coste_incidencia</f>
        <v/>
      </c>
      <c r="M18" s="124">
        <f>G18-I18-J18-K18-L18</f>
        <v/>
      </c>
      <c r="N18" s="194">
        <f>IFERROR(M18/E18,0)</f>
        <v/>
      </c>
      <c r="O18" s="124">
        <f>MAX(M18,0)</f>
        <v/>
      </c>
      <c r="P18" s="195">
        <f>IFERROR(F18/O18,0)</f>
        <v/>
      </c>
      <c r="Q18" s="196">
        <f>IF(N18&gt;=Umbral_PUSH_pct,IF(M18&gt;=Umbral_PUSH_eur,"PUSH","NEUTRAL"),IF(N18&gt;=Umbral_NEUTRAL_pct,"NEUTRAL",IF(N18&gt;=Umbral_WATCH_pct,"WATCH","NO ANUNCIAR")))</f>
        <v/>
      </c>
    </row>
    <row r="19">
      <c r="A19" s="116" t="inlineStr">
        <is>
          <t>Hevea</t>
        </is>
      </c>
      <c r="B19" s="116" t="inlineStr">
        <is>
          <t>600-010022</t>
        </is>
      </c>
      <c r="C19" s="116" t="inlineStr">
        <is>
          <t>YINA-2 SOFA 2 PLAZAS/SOFÁ/CANAPÉ</t>
        </is>
      </c>
      <c r="D19" s="118" t="n">
        <v>728</v>
      </c>
      <c r="E19" s="118" t="n">
        <v>1155</v>
      </c>
      <c r="F19" s="118">
        <f>E19*(1+IVA)</f>
        <v/>
      </c>
      <c r="G19" s="118">
        <f>E19-D19</f>
        <v/>
      </c>
      <c r="H19" s="191">
        <f>IFERROR(G19/E19,0)</f>
        <v/>
      </c>
      <c r="I19" s="118">
        <f>F19*Comision_pago_pct+Comision_pago_fija</f>
        <v/>
      </c>
      <c r="J19" s="118">
        <f>IF(A19="Hevea",IF(F19&gt;=Hevea_umbral_envio_gratis,0,Hevea_coste_envio_bajo),Balliu_coste_envio)</f>
        <v/>
      </c>
      <c r="K19" s="118">
        <f>Tasa_devolucion*Coste_devolucion</f>
        <v/>
      </c>
      <c r="L19" s="118">
        <f>Tasa_incidencia*Coste_incidencia</f>
        <v/>
      </c>
      <c r="M19" s="118">
        <f>G19-I19-J19-K19-L19</f>
        <v/>
      </c>
      <c r="N19" s="191">
        <f>IFERROR(M19/E19,0)</f>
        <v/>
      </c>
      <c r="O19" s="118">
        <f>MAX(M19,0)</f>
        <v/>
      </c>
      <c r="P19" s="192">
        <f>IFERROR(F19/O19,0)</f>
        <v/>
      </c>
      <c r="Q19" s="193">
        <f>IF(N19&gt;=Umbral_PUSH_pct,IF(M19&gt;=Umbral_PUSH_eur,"PUSH","NEUTRAL"),IF(N19&gt;=Umbral_NEUTRAL_pct,"NEUTRAL",IF(N19&gt;=Umbral_WATCH_pct,"WATCH","NO ANUNCIAR")))</f>
        <v/>
      </c>
    </row>
    <row r="20">
      <c r="A20" s="122" t="inlineStr">
        <is>
          <t>Hevea</t>
        </is>
      </c>
      <c r="B20" s="122" t="inlineStr">
        <is>
          <t>600-010023</t>
        </is>
      </c>
      <c r="C20" s="122" t="inlineStr">
        <is>
          <t>YINA-3 SOFA 3 PLAZAS/SOFÁ/CANAPÉ</t>
        </is>
      </c>
      <c r="D20" s="124" t="n">
        <v>923</v>
      </c>
      <c r="E20" s="124" t="n">
        <v>1465</v>
      </c>
      <c r="F20" s="124">
        <f>E20*(1+IVA)</f>
        <v/>
      </c>
      <c r="G20" s="124">
        <f>E20-D20</f>
        <v/>
      </c>
      <c r="H20" s="194">
        <f>IFERROR(G20/E20,0)</f>
        <v/>
      </c>
      <c r="I20" s="124">
        <f>F20*Comision_pago_pct+Comision_pago_fija</f>
        <v/>
      </c>
      <c r="J20" s="124">
        <f>IF(A20="Hevea",IF(F20&gt;=Hevea_umbral_envio_gratis,0,Hevea_coste_envio_bajo),Balliu_coste_envio)</f>
        <v/>
      </c>
      <c r="K20" s="124">
        <f>Tasa_devolucion*Coste_devolucion</f>
        <v/>
      </c>
      <c r="L20" s="124">
        <f>Tasa_incidencia*Coste_incidencia</f>
        <v/>
      </c>
      <c r="M20" s="124">
        <f>G20-I20-J20-K20-L20</f>
        <v/>
      </c>
      <c r="N20" s="194">
        <f>IFERROR(M20/E20,0)</f>
        <v/>
      </c>
      <c r="O20" s="124">
        <f>MAX(M20,0)</f>
        <v/>
      </c>
      <c r="P20" s="195">
        <f>IFERROR(F20/O20,0)</f>
        <v/>
      </c>
      <c r="Q20" s="196">
        <f>IF(N20&gt;=Umbral_PUSH_pct,IF(M20&gt;=Umbral_PUSH_eur,"PUSH","NEUTRAL"),IF(N20&gt;=Umbral_NEUTRAL_pct,"NEUTRAL",IF(N20&gt;=Umbral_WATCH_pct,"WATCH","NO ANUNCIAR")))</f>
        <v/>
      </c>
    </row>
    <row r="21">
      <c r="A21" s="116" t="inlineStr">
        <is>
          <t>Hevea</t>
        </is>
      </c>
      <c r="B21" s="116" t="inlineStr">
        <is>
          <t>600-010024</t>
        </is>
      </c>
      <c r="C21" s="116" t="inlineStr">
        <is>
          <t>YINA-70 HPL MESA CENTRO/COFFEE TABLE/TABLE CENTRE</t>
        </is>
      </c>
      <c r="D21" s="118" t="n">
        <v>262</v>
      </c>
      <c r="E21" s="118" t="n">
        <v>415</v>
      </c>
      <c r="F21" s="118">
        <f>E21*(1+IVA)</f>
        <v/>
      </c>
      <c r="G21" s="118">
        <f>E21-D21</f>
        <v/>
      </c>
      <c r="H21" s="191">
        <f>IFERROR(G21/E21,0)</f>
        <v/>
      </c>
      <c r="I21" s="118">
        <f>F21*Comision_pago_pct+Comision_pago_fija</f>
        <v/>
      </c>
      <c r="J21" s="118">
        <f>IF(A21="Hevea",IF(F21&gt;=Hevea_umbral_envio_gratis,0,Hevea_coste_envio_bajo),Balliu_coste_envio)</f>
        <v/>
      </c>
      <c r="K21" s="118">
        <f>Tasa_devolucion*Coste_devolucion</f>
        <v/>
      </c>
      <c r="L21" s="118">
        <f>Tasa_incidencia*Coste_incidencia</f>
        <v/>
      </c>
      <c r="M21" s="118">
        <f>G21-I21-J21-K21-L21</f>
        <v/>
      </c>
      <c r="N21" s="191">
        <f>IFERROR(M21/E21,0)</f>
        <v/>
      </c>
      <c r="O21" s="118">
        <f>MAX(M21,0)</f>
        <v/>
      </c>
      <c r="P21" s="192">
        <f>IFERROR(F21/O21,0)</f>
        <v/>
      </c>
      <c r="Q21" s="193">
        <f>IF(N21&gt;=Umbral_PUSH_pct,IF(M21&gt;=Umbral_PUSH_eur,"PUSH","NEUTRAL"),IF(N21&gt;=Umbral_NEUTRAL_pct,"NEUTRAL",IF(N21&gt;=Umbral_WATCH_pct,"WATCH","NO ANUNCIAR")))</f>
        <v/>
      </c>
    </row>
    <row r="22">
      <c r="A22" s="122" t="inlineStr">
        <is>
          <t>Hevea</t>
        </is>
      </c>
      <c r="B22" s="122" t="inlineStr">
        <is>
          <t>600-010025</t>
        </is>
      </c>
      <c r="C22" s="122" t="inlineStr">
        <is>
          <t>YINA-5 REPOSAPIES/FOOTSTOOL/REPOSE-PIEDS</t>
        </is>
      </c>
      <c r="D22" s="124" t="n">
        <v>202</v>
      </c>
      <c r="E22" s="124" t="n">
        <v>320</v>
      </c>
      <c r="F22" s="124">
        <f>E22*(1+IVA)</f>
        <v/>
      </c>
      <c r="G22" s="124">
        <f>E22-D22</f>
        <v/>
      </c>
      <c r="H22" s="194">
        <f>IFERROR(G22/E22,0)</f>
        <v/>
      </c>
      <c r="I22" s="124">
        <f>F22*Comision_pago_pct+Comision_pago_fija</f>
        <v/>
      </c>
      <c r="J22" s="124">
        <f>IF(A22="Hevea",IF(F22&gt;=Hevea_umbral_envio_gratis,0,Hevea_coste_envio_bajo),Balliu_coste_envio)</f>
        <v/>
      </c>
      <c r="K22" s="124">
        <f>Tasa_devolucion*Coste_devolucion</f>
        <v/>
      </c>
      <c r="L22" s="124">
        <f>Tasa_incidencia*Coste_incidencia</f>
        <v/>
      </c>
      <c r="M22" s="124">
        <f>G22-I22-J22-K22-L22</f>
        <v/>
      </c>
      <c r="N22" s="194">
        <f>IFERROR(M22/E22,0)</f>
        <v/>
      </c>
      <c r="O22" s="124">
        <f>MAX(M22,0)</f>
        <v/>
      </c>
      <c r="P22" s="195">
        <f>IFERROR(F22/O22,0)</f>
        <v/>
      </c>
      <c r="Q22" s="196">
        <f>IF(N22&gt;=Umbral_PUSH_pct,IF(M22&gt;=Umbral_PUSH_eur,"PUSH","NEUTRAL"),IF(N22&gt;=Umbral_NEUTRAL_pct,"NEUTRAL",IF(N22&gt;=Umbral_WATCH_pct,"WATCH","NO ANUNCIAR")))</f>
        <v/>
      </c>
    </row>
    <row r="23">
      <c r="A23" s="116" t="inlineStr">
        <is>
          <t>Hevea</t>
        </is>
      </c>
      <c r="B23" s="116" t="inlineStr">
        <is>
          <t>600-010026</t>
        </is>
      </c>
      <c r="C23" s="116" t="inlineStr">
        <is>
          <t>YINA-7 SET SOFÁ 2 PLAZAS / 2 SEATER SOFA SET / SET CANAPÉ 2 PLACES</t>
        </is>
      </c>
      <c r="D23" s="118" t="n">
        <v>1988</v>
      </c>
      <c r="E23" s="118" t="n">
        <v>3155</v>
      </c>
      <c r="F23" s="118">
        <f>E23*(1+IVA)</f>
        <v/>
      </c>
      <c r="G23" s="118">
        <f>E23-D23</f>
        <v/>
      </c>
      <c r="H23" s="191">
        <f>IFERROR(G23/E23,0)</f>
        <v/>
      </c>
      <c r="I23" s="118">
        <f>F23*Comision_pago_pct+Comision_pago_fija</f>
        <v/>
      </c>
      <c r="J23" s="118">
        <f>IF(A23="Hevea",IF(F23&gt;=Hevea_umbral_envio_gratis,0,Hevea_coste_envio_bajo),Balliu_coste_envio)</f>
        <v/>
      </c>
      <c r="K23" s="118">
        <f>Tasa_devolucion*Coste_devolucion</f>
        <v/>
      </c>
      <c r="L23" s="118">
        <f>Tasa_incidencia*Coste_incidencia</f>
        <v/>
      </c>
      <c r="M23" s="118">
        <f>G23-I23-J23-K23-L23</f>
        <v/>
      </c>
      <c r="N23" s="191">
        <f>IFERROR(M23/E23,0)</f>
        <v/>
      </c>
      <c r="O23" s="118">
        <f>MAX(M23,0)</f>
        <v/>
      </c>
      <c r="P23" s="192">
        <f>IFERROR(F23/O23,0)</f>
        <v/>
      </c>
      <c r="Q23" s="193">
        <f>IF(N23&gt;=Umbral_PUSH_pct,IF(M23&gt;=Umbral_PUSH_eur,"PUSH","NEUTRAL"),IF(N23&gt;=Umbral_NEUTRAL_pct,"NEUTRAL",IF(N23&gt;=Umbral_WATCH_pct,"WATCH","NO ANUNCIAR")))</f>
        <v/>
      </c>
    </row>
    <row r="24">
      <c r="A24" s="122" t="inlineStr">
        <is>
          <t>Hevea</t>
        </is>
      </c>
      <c r="B24" s="122" t="inlineStr">
        <is>
          <t>600-010027</t>
        </is>
      </c>
      <c r="C24" s="122" t="inlineStr">
        <is>
          <t>YINA-8 SET SOFÁ 3 PLAZAS / 3 SEATER SOFA SET / SET CANAPÉ 3 PLACES</t>
        </is>
      </c>
      <c r="D24" s="124" t="n">
        <v>2183</v>
      </c>
      <c r="E24" s="124" t="n">
        <v>3465</v>
      </c>
      <c r="F24" s="124">
        <f>E24*(1+IVA)</f>
        <v/>
      </c>
      <c r="G24" s="124">
        <f>E24-D24</f>
        <v/>
      </c>
      <c r="H24" s="194">
        <f>IFERROR(G24/E24,0)</f>
        <v/>
      </c>
      <c r="I24" s="124">
        <f>F24*Comision_pago_pct+Comision_pago_fija</f>
        <v/>
      </c>
      <c r="J24" s="124">
        <f>IF(A24="Hevea",IF(F24&gt;=Hevea_umbral_envio_gratis,0,Hevea_coste_envio_bajo),Balliu_coste_envio)</f>
        <v/>
      </c>
      <c r="K24" s="124">
        <f>Tasa_devolucion*Coste_devolucion</f>
        <v/>
      </c>
      <c r="L24" s="124">
        <f>Tasa_incidencia*Coste_incidencia</f>
        <v/>
      </c>
      <c r="M24" s="124">
        <f>G24-I24-J24-K24-L24</f>
        <v/>
      </c>
      <c r="N24" s="194">
        <f>IFERROR(M24/E24,0)</f>
        <v/>
      </c>
      <c r="O24" s="124">
        <f>MAX(M24,0)</f>
        <v/>
      </c>
      <c r="P24" s="195">
        <f>IFERROR(F24/O24,0)</f>
        <v/>
      </c>
      <c r="Q24" s="196">
        <f>IF(N24&gt;=Umbral_PUSH_pct,IF(M24&gt;=Umbral_PUSH_eur,"PUSH","NEUTRAL"),IF(N24&gt;=Umbral_NEUTRAL_pct,"NEUTRAL",IF(N24&gt;=Umbral_WATCH_pct,"WATCH","NO ANUNCIAR")))</f>
        <v/>
      </c>
    </row>
    <row r="25">
      <c r="A25" s="116" t="inlineStr">
        <is>
          <t>Hevea</t>
        </is>
      </c>
      <c r="B25" s="116" t="inlineStr">
        <is>
          <t>557-010813</t>
        </is>
      </c>
      <c r="C25" s="116" t="inlineStr">
        <is>
          <t>CUPRA-1 SILLÓN/ARMCHAIR/FAUTEUIL</t>
        </is>
      </c>
      <c r="D25" s="118" t="n">
        <v>530</v>
      </c>
      <c r="E25" s="118" t="n">
        <v>840</v>
      </c>
      <c r="F25" s="118">
        <f>E25*(1+IVA)</f>
        <v/>
      </c>
      <c r="G25" s="118">
        <f>E25-D25</f>
        <v/>
      </c>
      <c r="H25" s="191">
        <f>IFERROR(G25/E25,0)</f>
        <v/>
      </c>
      <c r="I25" s="118">
        <f>F25*Comision_pago_pct+Comision_pago_fija</f>
        <v/>
      </c>
      <c r="J25" s="118">
        <f>IF(A25="Hevea",IF(F25&gt;=Hevea_umbral_envio_gratis,0,Hevea_coste_envio_bajo),Balliu_coste_envio)</f>
        <v/>
      </c>
      <c r="K25" s="118">
        <f>Tasa_devolucion*Coste_devolucion</f>
        <v/>
      </c>
      <c r="L25" s="118">
        <f>Tasa_incidencia*Coste_incidencia</f>
        <v/>
      </c>
      <c r="M25" s="118">
        <f>G25-I25-J25-K25-L25</f>
        <v/>
      </c>
      <c r="N25" s="191">
        <f>IFERROR(M25/E25,0)</f>
        <v/>
      </c>
      <c r="O25" s="118">
        <f>MAX(M25,0)</f>
        <v/>
      </c>
      <c r="P25" s="192">
        <f>IFERROR(F25/O25,0)</f>
        <v/>
      </c>
      <c r="Q25" s="193">
        <f>IF(N25&gt;=Umbral_PUSH_pct,IF(M25&gt;=Umbral_PUSH_eur,"PUSH","NEUTRAL"),IF(N25&gt;=Umbral_NEUTRAL_pct,"NEUTRAL",IF(N25&gt;=Umbral_WATCH_pct,"WATCH","NO ANUNCIAR")))</f>
        <v/>
      </c>
    </row>
    <row r="26">
      <c r="A26" s="122" t="inlineStr">
        <is>
          <t>Hevea</t>
        </is>
      </c>
      <c r="B26" s="122" t="inlineStr">
        <is>
          <t>557-010814</t>
        </is>
      </c>
      <c r="C26" s="122" t="inlineStr">
        <is>
          <t>CUPRA-2 SOFA 2 PLAZAS/SOFA/CANAPÉ</t>
        </is>
      </c>
      <c r="D26" s="124" t="n">
        <v>756</v>
      </c>
      <c r="E26" s="124" t="n">
        <v>1200</v>
      </c>
      <c r="F26" s="124">
        <f>E26*(1+IVA)</f>
        <v/>
      </c>
      <c r="G26" s="124">
        <f>E26-D26</f>
        <v/>
      </c>
      <c r="H26" s="194">
        <f>IFERROR(G26/E26,0)</f>
        <v/>
      </c>
      <c r="I26" s="124">
        <f>F26*Comision_pago_pct+Comision_pago_fija</f>
        <v/>
      </c>
      <c r="J26" s="124">
        <f>IF(A26="Hevea",IF(F26&gt;=Hevea_umbral_envio_gratis,0,Hevea_coste_envio_bajo),Balliu_coste_envio)</f>
        <v/>
      </c>
      <c r="K26" s="124">
        <f>Tasa_devolucion*Coste_devolucion</f>
        <v/>
      </c>
      <c r="L26" s="124">
        <f>Tasa_incidencia*Coste_incidencia</f>
        <v/>
      </c>
      <c r="M26" s="124">
        <f>G26-I26-J26-K26-L26</f>
        <v/>
      </c>
      <c r="N26" s="194">
        <f>IFERROR(M26/E26,0)</f>
        <v/>
      </c>
      <c r="O26" s="124">
        <f>MAX(M26,0)</f>
        <v/>
      </c>
      <c r="P26" s="195">
        <f>IFERROR(F26/O26,0)</f>
        <v/>
      </c>
      <c r="Q26" s="196">
        <f>IF(N26&gt;=Umbral_PUSH_pct,IF(M26&gt;=Umbral_PUSH_eur,"PUSH","NEUTRAL"),IF(N26&gt;=Umbral_NEUTRAL_pct,"NEUTRAL",IF(N26&gt;=Umbral_WATCH_pct,"WATCH","NO ANUNCIAR")))</f>
        <v/>
      </c>
    </row>
    <row r="27">
      <c r="A27" s="116" t="inlineStr">
        <is>
          <t>Hevea</t>
        </is>
      </c>
      <c r="B27" s="116" t="inlineStr">
        <is>
          <t>557-010815</t>
        </is>
      </c>
      <c r="C27" s="116" t="inlineStr">
        <is>
          <t>CUPRA-3 SOFA 3 PLAZAS/SOFA/CANAPÉ</t>
        </is>
      </c>
      <c r="D27" s="118" t="n">
        <v>958</v>
      </c>
      <c r="E27" s="118" t="n">
        <v>1520</v>
      </c>
      <c r="F27" s="118">
        <f>E27*(1+IVA)</f>
        <v/>
      </c>
      <c r="G27" s="118">
        <f>E27-D27</f>
        <v/>
      </c>
      <c r="H27" s="191">
        <f>IFERROR(G27/E27,0)</f>
        <v/>
      </c>
      <c r="I27" s="118">
        <f>F27*Comision_pago_pct+Comision_pago_fija</f>
        <v/>
      </c>
      <c r="J27" s="118">
        <f>IF(A27="Hevea",IF(F27&gt;=Hevea_umbral_envio_gratis,0,Hevea_coste_envio_bajo),Balliu_coste_envio)</f>
        <v/>
      </c>
      <c r="K27" s="118">
        <f>Tasa_devolucion*Coste_devolucion</f>
        <v/>
      </c>
      <c r="L27" s="118">
        <f>Tasa_incidencia*Coste_incidencia</f>
        <v/>
      </c>
      <c r="M27" s="118">
        <f>G27-I27-J27-K27-L27</f>
        <v/>
      </c>
      <c r="N27" s="191">
        <f>IFERROR(M27/E27,0)</f>
        <v/>
      </c>
      <c r="O27" s="118">
        <f>MAX(M27,0)</f>
        <v/>
      </c>
      <c r="P27" s="192">
        <f>IFERROR(F27/O27,0)</f>
        <v/>
      </c>
      <c r="Q27" s="193">
        <f>IF(N27&gt;=Umbral_PUSH_pct,IF(M27&gt;=Umbral_PUSH_eur,"PUSH","NEUTRAL"),IF(N27&gt;=Umbral_NEUTRAL_pct,"NEUTRAL",IF(N27&gt;=Umbral_WATCH_pct,"WATCH","NO ANUNCIAR")))</f>
        <v/>
      </c>
    </row>
    <row r="28">
      <c r="A28" s="122" t="inlineStr">
        <is>
          <t>Hevea</t>
        </is>
      </c>
      <c r="B28" s="122" t="inlineStr">
        <is>
          <t>557-010785</t>
        </is>
      </c>
      <c r="C28" s="122" t="inlineStr">
        <is>
          <t>STANDARD-5 REPOSAPIES/FOOTSTOOL/REPOSE-PIEDS</t>
        </is>
      </c>
      <c r="D28" s="124" t="n">
        <v>171</v>
      </c>
      <c r="E28" s="124" t="n">
        <v>270</v>
      </c>
      <c r="F28" s="124">
        <f>E28*(1+IVA)</f>
        <v/>
      </c>
      <c r="G28" s="124">
        <f>E28-D28</f>
        <v/>
      </c>
      <c r="H28" s="194">
        <f>IFERROR(G28/E28,0)</f>
        <v/>
      </c>
      <c r="I28" s="124">
        <f>F28*Comision_pago_pct+Comision_pago_fija</f>
        <v/>
      </c>
      <c r="J28" s="124">
        <f>IF(A28="Hevea",IF(F28&gt;=Hevea_umbral_envio_gratis,0,Hevea_coste_envio_bajo),Balliu_coste_envio)</f>
        <v/>
      </c>
      <c r="K28" s="124">
        <f>Tasa_devolucion*Coste_devolucion</f>
        <v/>
      </c>
      <c r="L28" s="124">
        <f>Tasa_incidencia*Coste_incidencia</f>
        <v/>
      </c>
      <c r="M28" s="124">
        <f>G28-I28-J28-K28-L28</f>
        <v/>
      </c>
      <c r="N28" s="194">
        <f>IFERROR(M28/E28,0)</f>
        <v/>
      </c>
      <c r="O28" s="124">
        <f>MAX(M28,0)</f>
        <v/>
      </c>
      <c r="P28" s="195">
        <f>IFERROR(F28/O28,0)</f>
        <v/>
      </c>
      <c r="Q28" s="196">
        <f>IF(N28&gt;=Umbral_PUSH_pct,IF(M28&gt;=Umbral_PUSH_eur,"PUSH","NEUTRAL"),IF(N28&gt;=Umbral_NEUTRAL_pct,"NEUTRAL",IF(N28&gt;=Umbral_WATCH_pct,"WATCH","NO ANUNCIAR")))</f>
        <v/>
      </c>
    </row>
    <row r="29">
      <c r="A29" s="116" t="inlineStr">
        <is>
          <t>Hevea</t>
        </is>
      </c>
      <c r="B29" s="116" t="inlineStr">
        <is>
          <t>557-010816</t>
        </is>
      </c>
      <c r="C29" s="116" t="inlineStr">
        <is>
          <t>CUPRA-7 SET SOFÁ 2 PLAZAS / 2 SEATER SOFA SET / SET CANAPÉ 2 PLACES</t>
        </is>
      </c>
      <c r="D29" s="118" t="n">
        <v>1991</v>
      </c>
      <c r="E29" s="118" t="n">
        <v>3160</v>
      </c>
      <c r="F29" s="118">
        <f>E29*(1+IVA)</f>
        <v/>
      </c>
      <c r="G29" s="118">
        <f>E29-D29</f>
        <v/>
      </c>
      <c r="H29" s="191">
        <f>IFERROR(G29/E29,0)</f>
        <v/>
      </c>
      <c r="I29" s="118">
        <f>F29*Comision_pago_pct+Comision_pago_fija</f>
        <v/>
      </c>
      <c r="J29" s="118">
        <f>IF(A29="Hevea",IF(F29&gt;=Hevea_umbral_envio_gratis,0,Hevea_coste_envio_bajo),Balliu_coste_envio)</f>
        <v/>
      </c>
      <c r="K29" s="118">
        <f>Tasa_devolucion*Coste_devolucion</f>
        <v/>
      </c>
      <c r="L29" s="118">
        <f>Tasa_incidencia*Coste_incidencia</f>
        <v/>
      </c>
      <c r="M29" s="118">
        <f>G29-I29-J29-K29-L29</f>
        <v/>
      </c>
      <c r="N29" s="191">
        <f>IFERROR(M29/E29,0)</f>
        <v/>
      </c>
      <c r="O29" s="118">
        <f>MAX(M29,0)</f>
        <v/>
      </c>
      <c r="P29" s="192">
        <f>IFERROR(F29/O29,0)</f>
        <v/>
      </c>
      <c r="Q29" s="193">
        <f>IF(N29&gt;=Umbral_PUSH_pct,IF(M29&gt;=Umbral_PUSH_eur,"PUSH","NEUTRAL"),IF(N29&gt;=Umbral_NEUTRAL_pct,"NEUTRAL",IF(N29&gt;=Umbral_WATCH_pct,"WATCH","NO ANUNCIAR")))</f>
        <v/>
      </c>
    </row>
    <row r="30">
      <c r="A30" s="122" t="inlineStr">
        <is>
          <t>Hevea</t>
        </is>
      </c>
      <c r="B30" s="122" t="inlineStr">
        <is>
          <t>557-010817</t>
        </is>
      </c>
      <c r="C30" s="122" t="inlineStr">
        <is>
          <t>CUPRA-8 SET SOFÁ 3 PLAZAS / 3 SEATER SOFA SET / SET CANAPÉ 3 PLACES</t>
        </is>
      </c>
      <c r="D30" s="124" t="n">
        <v>2262</v>
      </c>
      <c r="E30" s="124" t="n">
        <v>3590</v>
      </c>
      <c r="F30" s="124">
        <f>E30*(1+IVA)</f>
        <v/>
      </c>
      <c r="G30" s="124">
        <f>E30-D30</f>
        <v/>
      </c>
      <c r="H30" s="194">
        <f>IFERROR(G30/E30,0)</f>
        <v/>
      </c>
      <c r="I30" s="124">
        <f>F30*Comision_pago_pct+Comision_pago_fija</f>
        <v/>
      </c>
      <c r="J30" s="124">
        <f>IF(A30="Hevea",IF(F30&gt;=Hevea_umbral_envio_gratis,0,Hevea_coste_envio_bajo),Balliu_coste_envio)</f>
        <v/>
      </c>
      <c r="K30" s="124">
        <f>Tasa_devolucion*Coste_devolucion</f>
        <v/>
      </c>
      <c r="L30" s="124">
        <f>Tasa_incidencia*Coste_incidencia</f>
        <v/>
      </c>
      <c r="M30" s="124">
        <f>G30-I30-J30-K30-L30</f>
        <v/>
      </c>
      <c r="N30" s="194">
        <f>IFERROR(M30/E30,0)</f>
        <v/>
      </c>
      <c r="O30" s="124">
        <f>MAX(M30,0)</f>
        <v/>
      </c>
      <c r="P30" s="195">
        <f>IFERROR(F30/O30,0)</f>
        <v/>
      </c>
      <c r="Q30" s="196">
        <f>IF(N30&gt;=Umbral_PUSH_pct,IF(M30&gt;=Umbral_PUSH_eur,"PUSH","NEUTRAL"),IF(N30&gt;=Umbral_NEUTRAL_pct,"NEUTRAL",IF(N30&gt;=Umbral_WATCH_pct,"WATCH","NO ANUNCIAR")))</f>
        <v/>
      </c>
    </row>
    <row r="31">
      <c r="A31" s="116" t="inlineStr">
        <is>
          <t>Hevea</t>
        </is>
      </c>
      <c r="B31" s="116" t="inlineStr">
        <is>
          <t>557-1089</t>
        </is>
      </c>
      <c r="C31" s="116" t="inlineStr">
        <is>
          <t>BELLAGIO-1 SILLÓN/ARMCHAIR/FAUTEUIL</t>
        </is>
      </c>
      <c r="D31" s="118" t="n">
        <v>413</v>
      </c>
      <c r="E31" s="118" t="n">
        <v>655</v>
      </c>
      <c r="F31" s="118">
        <f>E31*(1+IVA)</f>
        <v/>
      </c>
      <c r="G31" s="118">
        <f>E31-D31</f>
        <v/>
      </c>
      <c r="H31" s="191">
        <f>IFERROR(G31/E31,0)</f>
        <v/>
      </c>
      <c r="I31" s="118">
        <f>F31*Comision_pago_pct+Comision_pago_fija</f>
        <v/>
      </c>
      <c r="J31" s="118">
        <f>IF(A31="Hevea",IF(F31&gt;=Hevea_umbral_envio_gratis,0,Hevea_coste_envio_bajo),Balliu_coste_envio)</f>
        <v/>
      </c>
      <c r="K31" s="118">
        <f>Tasa_devolucion*Coste_devolucion</f>
        <v/>
      </c>
      <c r="L31" s="118">
        <f>Tasa_incidencia*Coste_incidencia</f>
        <v/>
      </c>
      <c r="M31" s="118">
        <f>G31-I31-J31-K31-L31</f>
        <v/>
      </c>
      <c r="N31" s="191">
        <f>IFERROR(M31/E31,0)</f>
        <v/>
      </c>
      <c r="O31" s="118">
        <f>MAX(M31,0)</f>
        <v/>
      </c>
      <c r="P31" s="192">
        <f>IFERROR(F31/O31,0)</f>
        <v/>
      </c>
      <c r="Q31" s="193">
        <f>IF(N31&gt;=Umbral_PUSH_pct,IF(M31&gt;=Umbral_PUSH_eur,"PUSH","NEUTRAL"),IF(N31&gt;=Umbral_NEUTRAL_pct,"NEUTRAL",IF(N31&gt;=Umbral_WATCH_pct,"WATCH","NO ANUNCIAR")))</f>
        <v/>
      </c>
    </row>
    <row r="32">
      <c r="A32" s="122" t="inlineStr">
        <is>
          <t>Hevea</t>
        </is>
      </c>
      <c r="B32" s="122" t="inlineStr">
        <is>
          <t>557-1090</t>
        </is>
      </c>
      <c r="C32" s="122" t="inlineStr">
        <is>
          <t>BELLAGIO-3 SOFA 3 PLAZAS/SOFA/CANAPÉ</t>
        </is>
      </c>
      <c r="D32" s="124" t="n">
        <v>775</v>
      </c>
      <c r="E32" s="124" t="n">
        <v>1230</v>
      </c>
      <c r="F32" s="124">
        <f>E32*(1+IVA)</f>
        <v/>
      </c>
      <c r="G32" s="124">
        <f>E32-D32</f>
        <v/>
      </c>
      <c r="H32" s="194">
        <f>IFERROR(G32/E32,0)</f>
        <v/>
      </c>
      <c r="I32" s="124">
        <f>F32*Comision_pago_pct+Comision_pago_fija</f>
        <v/>
      </c>
      <c r="J32" s="124">
        <f>IF(A32="Hevea",IF(F32&gt;=Hevea_umbral_envio_gratis,0,Hevea_coste_envio_bajo),Balliu_coste_envio)</f>
        <v/>
      </c>
      <c r="K32" s="124">
        <f>Tasa_devolucion*Coste_devolucion</f>
        <v/>
      </c>
      <c r="L32" s="124">
        <f>Tasa_incidencia*Coste_incidencia</f>
        <v/>
      </c>
      <c r="M32" s="124">
        <f>G32-I32-J32-K32-L32</f>
        <v/>
      </c>
      <c r="N32" s="194">
        <f>IFERROR(M32/E32,0)</f>
        <v/>
      </c>
      <c r="O32" s="124">
        <f>MAX(M32,0)</f>
        <v/>
      </c>
      <c r="P32" s="195">
        <f>IFERROR(F32/O32,0)</f>
        <v/>
      </c>
      <c r="Q32" s="196">
        <f>IF(N32&gt;=Umbral_PUSH_pct,IF(M32&gt;=Umbral_PUSH_eur,"PUSH","NEUTRAL"),IF(N32&gt;=Umbral_NEUTRAL_pct,"NEUTRAL",IF(N32&gt;=Umbral_WATCH_pct,"WATCH","NO ANUNCIAR")))</f>
        <v/>
      </c>
    </row>
    <row r="33">
      <c r="A33" s="116" t="inlineStr">
        <is>
          <t>Hevea</t>
        </is>
      </c>
      <c r="B33" s="116" t="inlineStr">
        <is>
          <t>557-1091</t>
        </is>
      </c>
      <c r="C33" s="116" t="inlineStr">
        <is>
          <t>BELLAGIO-2 SOFA 2 PLAZAS/SOFA/CANAPÉ</t>
        </is>
      </c>
      <c r="D33" s="118" t="n">
        <v>549</v>
      </c>
      <c r="E33" s="118" t="n">
        <v>870</v>
      </c>
      <c r="F33" s="118">
        <f>E33*(1+IVA)</f>
        <v/>
      </c>
      <c r="G33" s="118">
        <f>E33-D33</f>
        <v/>
      </c>
      <c r="H33" s="191">
        <f>IFERROR(G33/E33,0)</f>
        <v/>
      </c>
      <c r="I33" s="118">
        <f>F33*Comision_pago_pct+Comision_pago_fija</f>
        <v/>
      </c>
      <c r="J33" s="118">
        <f>IF(A33="Hevea",IF(F33&gt;=Hevea_umbral_envio_gratis,0,Hevea_coste_envio_bajo),Balliu_coste_envio)</f>
        <v/>
      </c>
      <c r="K33" s="118">
        <f>Tasa_devolucion*Coste_devolucion</f>
        <v/>
      </c>
      <c r="L33" s="118">
        <f>Tasa_incidencia*Coste_incidencia</f>
        <v/>
      </c>
      <c r="M33" s="118">
        <f>G33-I33-J33-K33-L33</f>
        <v/>
      </c>
      <c r="N33" s="191">
        <f>IFERROR(M33/E33,0)</f>
        <v/>
      </c>
      <c r="O33" s="118">
        <f>MAX(M33,0)</f>
        <v/>
      </c>
      <c r="P33" s="192">
        <f>IFERROR(F33/O33,0)</f>
        <v/>
      </c>
      <c r="Q33" s="193">
        <f>IF(N33&gt;=Umbral_PUSH_pct,IF(M33&gt;=Umbral_PUSH_eur,"PUSH","NEUTRAL"),IF(N33&gt;=Umbral_NEUTRAL_pct,"NEUTRAL",IF(N33&gt;=Umbral_WATCH_pct,"WATCH","NO ANUNCIAR")))</f>
        <v/>
      </c>
    </row>
    <row r="34">
      <c r="A34" s="122" t="inlineStr">
        <is>
          <t>Hevea</t>
        </is>
      </c>
      <c r="B34" s="122" t="inlineStr">
        <is>
          <t>557-1092</t>
        </is>
      </c>
      <c r="C34" s="122" t="inlineStr">
        <is>
          <t>BELLAGIO-4 MESA CENTRO 125</t>
        </is>
      </c>
      <c r="D34" s="124" t="n">
        <v>196</v>
      </c>
      <c r="E34" s="124" t="n">
        <v>310</v>
      </c>
      <c r="F34" s="124">
        <f>E34*(1+IVA)</f>
        <v/>
      </c>
      <c r="G34" s="124">
        <f>E34-D34</f>
        <v/>
      </c>
      <c r="H34" s="194">
        <f>IFERROR(G34/E34,0)</f>
        <v/>
      </c>
      <c r="I34" s="124">
        <f>F34*Comision_pago_pct+Comision_pago_fija</f>
        <v/>
      </c>
      <c r="J34" s="124">
        <f>IF(A34="Hevea",IF(F34&gt;=Hevea_umbral_envio_gratis,0,Hevea_coste_envio_bajo),Balliu_coste_envio)</f>
        <v/>
      </c>
      <c r="K34" s="124">
        <f>Tasa_devolucion*Coste_devolucion</f>
        <v/>
      </c>
      <c r="L34" s="124">
        <f>Tasa_incidencia*Coste_incidencia</f>
        <v/>
      </c>
      <c r="M34" s="124">
        <f>G34-I34-J34-K34-L34</f>
        <v/>
      </c>
      <c r="N34" s="194">
        <f>IFERROR(M34/E34,0)</f>
        <v/>
      </c>
      <c r="O34" s="124">
        <f>MAX(M34,0)</f>
        <v/>
      </c>
      <c r="P34" s="195">
        <f>IFERROR(F34/O34,0)</f>
        <v/>
      </c>
      <c r="Q34" s="196">
        <f>IF(N34&gt;=Umbral_PUSH_pct,IF(M34&gt;=Umbral_PUSH_eur,"PUSH","NEUTRAL"),IF(N34&gt;=Umbral_NEUTRAL_pct,"NEUTRAL",IF(N34&gt;=Umbral_WATCH_pct,"WATCH","NO ANUNCIAR")))</f>
        <v/>
      </c>
    </row>
    <row r="35">
      <c r="A35" s="116" t="inlineStr">
        <is>
          <t>Hevea</t>
        </is>
      </c>
      <c r="B35" s="116" t="inlineStr">
        <is>
          <t>557-1094</t>
        </is>
      </c>
      <c r="C35" s="116" t="inlineStr">
        <is>
          <t>BELLAGIO-7 SET SOFÁ 2 PLAZAS / 2 SEATER SOFA SET / SET CANAPÉ 2 PLACES</t>
        </is>
      </c>
      <c r="D35" s="118" t="n">
        <v>1569</v>
      </c>
      <c r="E35" s="118" t="n">
        <v>2490</v>
      </c>
      <c r="F35" s="118">
        <f>E35*(1+IVA)</f>
        <v/>
      </c>
      <c r="G35" s="118">
        <f>E35-D35</f>
        <v/>
      </c>
      <c r="H35" s="191">
        <f>IFERROR(G35/E35,0)</f>
        <v/>
      </c>
      <c r="I35" s="118">
        <f>F35*Comision_pago_pct+Comision_pago_fija</f>
        <v/>
      </c>
      <c r="J35" s="118">
        <f>IF(A35="Hevea",IF(F35&gt;=Hevea_umbral_envio_gratis,0,Hevea_coste_envio_bajo),Balliu_coste_envio)</f>
        <v/>
      </c>
      <c r="K35" s="118">
        <f>Tasa_devolucion*Coste_devolucion</f>
        <v/>
      </c>
      <c r="L35" s="118">
        <f>Tasa_incidencia*Coste_incidencia</f>
        <v/>
      </c>
      <c r="M35" s="118">
        <f>G35-I35-J35-K35-L35</f>
        <v/>
      </c>
      <c r="N35" s="191">
        <f>IFERROR(M35/E35,0)</f>
        <v/>
      </c>
      <c r="O35" s="118">
        <f>MAX(M35,0)</f>
        <v/>
      </c>
      <c r="P35" s="192">
        <f>IFERROR(F35/O35,0)</f>
        <v/>
      </c>
      <c r="Q35" s="193">
        <f>IF(N35&gt;=Umbral_PUSH_pct,IF(M35&gt;=Umbral_PUSH_eur,"PUSH","NEUTRAL"),IF(N35&gt;=Umbral_NEUTRAL_pct,"NEUTRAL",IF(N35&gt;=Umbral_WATCH_pct,"WATCH","NO ANUNCIAR")))</f>
        <v/>
      </c>
    </row>
    <row r="36">
      <c r="A36" s="122" t="inlineStr">
        <is>
          <t>Hevea</t>
        </is>
      </c>
      <c r="B36" s="122" t="inlineStr">
        <is>
          <t>557-1095</t>
        </is>
      </c>
      <c r="C36" s="122" t="inlineStr">
        <is>
          <t>BELLAGIO-8 SET SOFÁ 3 PLAZAS / 3 SEATER SOFA SET / SET CANAPÉ 3 PLACES</t>
        </is>
      </c>
      <c r="D36" s="124" t="n">
        <v>1796</v>
      </c>
      <c r="E36" s="124" t="n">
        <v>2850</v>
      </c>
      <c r="F36" s="124">
        <f>E36*(1+IVA)</f>
        <v/>
      </c>
      <c r="G36" s="124">
        <f>E36-D36</f>
        <v/>
      </c>
      <c r="H36" s="194">
        <f>IFERROR(G36/E36,0)</f>
        <v/>
      </c>
      <c r="I36" s="124">
        <f>F36*Comision_pago_pct+Comision_pago_fija</f>
        <v/>
      </c>
      <c r="J36" s="124">
        <f>IF(A36="Hevea",IF(F36&gt;=Hevea_umbral_envio_gratis,0,Hevea_coste_envio_bajo),Balliu_coste_envio)</f>
        <v/>
      </c>
      <c r="K36" s="124">
        <f>Tasa_devolucion*Coste_devolucion</f>
        <v/>
      </c>
      <c r="L36" s="124">
        <f>Tasa_incidencia*Coste_incidencia</f>
        <v/>
      </c>
      <c r="M36" s="124">
        <f>G36-I36-J36-K36-L36</f>
        <v/>
      </c>
      <c r="N36" s="194">
        <f>IFERROR(M36/E36,0)</f>
        <v/>
      </c>
      <c r="O36" s="124">
        <f>MAX(M36,0)</f>
        <v/>
      </c>
      <c r="P36" s="195">
        <f>IFERROR(F36/O36,0)</f>
        <v/>
      </c>
      <c r="Q36" s="196">
        <f>IF(N36&gt;=Umbral_PUSH_pct,IF(M36&gt;=Umbral_PUSH_eur,"PUSH","NEUTRAL"),IF(N36&gt;=Umbral_NEUTRAL_pct,"NEUTRAL",IF(N36&gt;=Umbral_WATCH_pct,"WATCH","NO ANUNCIAR")))</f>
        <v/>
      </c>
    </row>
    <row r="37">
      <c r="A37" s="116" t="inlineStr">
        <is>
          <t>Hevea</t>
        </is>
      </c>
      <c r="B37" s="116" t="inlineStr">
        <is>
          <t>600-010090</t>
        </is>
      </c>
      <c r="C37" s="116" t="inlineStr">
        <is>
          <t>CLOE-1 SILLON/ARMCHAIR/FAUTEUIL</t>
        </is>
      </c>
      <c r="D37" s="118" t="n">
        <v>508</v>
      </c>
      <c r="E37" s="118" t="n">
        <v>805</v>
      </c>
      <c r="F37" s="118">
        <f>E37*(1+IVA)</f>
        <v/>
      </c>
      <c r="G37" s="118">
        <f>E37-D37</f>
        <v/>
      </c>
      <c r="H37" s="191">
        <f>IFERROR(G37/E37,0)</f>
        <v/>
      </c>
      <c r="I37" s="118">
        <f>F37*Comision_pago_pct+Comision_pago_fija</f>
        <v/>
      </c>
      <c r="J37" s="118">
        <f>IF(A37="Hevea",IF(F37&gt;=Hevea_umbral_envio_gratis,0,Hevea_coste_envio_bajo),Balliu_coste_envio)</f>
        <v/>
      </c>
      <c r="K37" s="118">
        <f>Tasa_devolucion*Coste_devolucion</f>
        <v/>
      </c>
      <c r="L37" s="118">
        <f>Tasa_incidencia*Coste_incidencia</f>
        <v/>
      </c>
      <c r="M37" s="118">
        <f>G37-I37-J37-K37-L37</f>
        <v/>
      </c>
      <c r="N37" s="191">
        <f>IFERROR(M37/E37,0)</f>
        <v/>
      </c>
      <c r="O37" s="118">
        <f>MAX(M37,0)</f>
        <v/>
      </c>
      <c r="P37" s="192">
        <f>IFERROR(F37/O37,0)</f>
        <v/>
      </c>
      <c r="Q37" s="193">
        <f>IF(N37&gt;=Umbral_PUSH_pct,IF(M37&gt;=Umbral_PUSH_eur,"PUSH","NEUTRAL"),IF(N37&gt;=Umbral_NEUTRAL_pct,"NEUTRAL",IF(N37&gt;=Umbral_WATCH_pct,"WATCH","NO ANUNCIAR")))</f>
        <v/>
      </c>
    </row>
    <row r="38">
      <c r="A38" s="122" t="inlineStr">
        <is>
          <t>Hevea</t>
        </is>
      </c>
      <c r="B38" s="122" t="inlineStr">
        <is>
          <t>600-010091</t>
        </is>
      </c>
      <c r="C38" s="122" t="inlineStr">
        <is>
          <t>CLOE SOFA 2 PLAZAS/SOFA/CANAPÉ</t>
        </is>
      </c>
      <c r="D38" s="124" t="n">
        <v>722</v>
      </c>
      <c r="E38" s="124" t="n">
        <v>1145</v>
      </c>
      <c r="F38" s="124">
        <f>E38*(1+IVA)</f>
        <v/>
      </c>
      <c r="G38" s="124">
        <f>E38-D38</f>
        <v/>
      </c>
      <c r="H38" s="194">
        <f>IFERROR(G38/E38,0)</f>
        <v/>
      </c>
      <c r="I38" s="124">
        <f>F38*Comision_pago_pct+Comision_pago_fija</f>
        <v/>
      </c>
      <c r="J38" s="124">
        <f>IF(A38="Hevea",IF(F38&gt;=Hevea_umbral_envio_gratis,0,Hevea_coste_envio_bajo),Balliu_coste_envio)</f>
        <v/>
      </c>
      <c r="K38" s="124">
        <f>Tasa_devolucion*Coste_devolucion</f>
        <v/>
      </c>
      <c r="L38" s="124">
        <f>Tasa_incidencia*Coste_incidencia</f>
        <v/>
      </c>
      <c r="M38" s="124">
        <f>G38-I38-J38-K38-L38</f>
        <v/>
      </c>
      <c r="N38" s="194">
        <f>IFERROR(M38/E38,0)</f>
        <v/>
      </c>
      <c r="O38" s="124">
        <f>MAX(M38,0)</f>
        <v/>
      </c>
      <c r="P38" s="195">
        <f>IFERROR(F38/O38,0)</f>
        <v/>
      </c>
      <c r="Q38" s="196">
        <f>IF(N38&gt;=Umbral_PUSH_pct,IF(M38&gt;=Umbral_PUSH_eur,"PUSH","NEUTRAL"),IF(N38&gt;=Umbral_NEUTRAL_pct,"NEUTRAL",IF(N38&gt;=Umbral_WATCH_pct,"WATCH","NO ANUNCIAR")))</f>
        <v/>
      </c>
    </row>
    <row r="39">
      <c r="A39" s="116" t="inlineStr">
        <is>
          <t>Hevea</t>
        </is>
      </c>
      <c r="B39" s="116" t="inlineStr">
        <is>
          <t>600-010092</t>
        </is>
      </c>
      <c r="C39" s="116" t="inlineStr">
        <is>
          <t>CLOE SOFA 3 PLAZAS/SOFA/CANAPÉ</t>
        </is>
      </c>
      <c r="D39" s="118" t="n">
        <v>999</v>
      </c>
      <c r="E39" s="118" t="n">
        <v>1585</v>
      </c>
      <c r="F39" s="118">
        <f>E39*(1+IVA)</f>
        <v/>
      </c>
      <c r="G39" s="118">
        <f>E39-D39</f>
        <v/>
      </c>
      <c r="H39" s="191">
        <f>IFERROR(G39/E39,0)</f>
        <v/>
      </c>
      <c r="I39" s="118">
        <f>F39*Comision_pago_pct+Comision_pago_fija</f>
        <v/>
      </c>
      <c r="J39" s="118">
        <f>IF(A39="Hevea",IF(F39&gt;=Hevea_umbral_envio_gratis,0,Hevea_coste_envio_bajo),Balliu_coste_envio)</f>
        <v/>
      </c>
      <c r="K39" s="118">
        <f>Tasa_devolucion*Coste_devolucion</f>
        <v/>
      </c>
      <c r="L39" s="118">
        <f>Tasa_incidencia*Coste_incidencia</f>
        <v/>
      </c>
      <c r="M39" s="118">
        <f>G39-I39-J39-K39-L39</f>
        <v/>
      </c>
      <c r="N39" s="191">
        <f>IFERROR(M39/E39,0)</f>
        <v/>
      </c>
      <c r="O39" s="118">
        <f>MAX(M39,0)</f>
        <v/>
      </c>
      <c r="P39" s="192">
        <f>IFERROR(F39/O39,0)</f>
        <v/>
      </c>
      <c r="Q39" s="193">
        <f>IF(N39&gt;=Umbral_PUSH_pct,IF(M39&gt;=Umbral_PUSH_eur,"PUSH","NEUTRAL"),IF(N39&gt;=Umbral_NEUTRAL_pct,"NEUTRAL",IF(N39&gt;=Umbral_WATCH_pct,"WATCH","NO ANUNCIAR")))</f>
        <v/>
      </c>
    </row>
    <row r="40">
      <c r="A40" s="122" t="inlineStr">
        <is>
          <t>Hevea</t>
        </is>
      </c>
      <c r="B40" s="122" t="inlineStr">
        <is>
          <t>600-010093</t>
        </is>
      </c>
      <c r="C40" s="122" t="inlineStr">
        <is>
          <t>CLOE-5 REPOSAPIES/FOOTSTOOL/REPOSE-PIEDS</t>
        </is>
      </c>
      <c r="D40" s="124" t="n">
        <v>98</v>
      </c>
      <c r="E40" s="124" t="n">
        <v>155</v>
      </c>
      <c r="F40" s="124">
        <f>E40*(1+IVA)</f>
        <v/>
      </c>
      <c r="G40" s="124">
        <f>E40-D40</f>
        <v/>
      </c>
      <c r="H40" s="194">
        <f>IFERROR(G40/E40,0)</f>
        <v/>
      </c>
      <c r="I40" s="124">
        <f>F40*Comision_pago_pct+Comision_pago_fija</f>
        <v/>
      </c>
      <c r="J40" s="124">
        <f>IF(A40="Hevea",IF(F40&gt;=Hevea_umbral_envio_gratis,0,Hevea_coste_envio_bajo),Balliu_coste_envio)</f>
        <v/>
      </c>
      <c r="K40" s="124">
        <f>Tasa_devolucion*Coste_devolucion</f>
        <v/>
      </c>
      <c r="L40" s="124">
        <f>Tasa_incidencia*Coste_incidencia</f>
        <v/>
      </c>
      <c r="M40" s="124">
        <f>G40-I40-J40-K40-L40</f>
        <v/>
      </c>
      <c r="N40" s="194">
        <f>IFERROR(M40/E40,0)</f>
        <v/>
      </c>
      <c r="O40" s="124">
        <f>MAX(M40,0)</f>
        <v/>
      </c>
      <c r="P40" s="195">
        <f>IFERROR(F40/O40,0)</f>
        <v/>
      </c>
      <c r="Q40" s="196">
        <f>IF(N40&gt;=Umbral_PUSH_pct,IF(M40&gt;=Umbral_PUSH_eur,"PUSH","NEUTRAL"),IF(N40&gt;=Umbral_NEUTRAL_pct,"NEUTRAL",IF(N40&gt;=Umbral_WATCH_pct,"WATCH","NO ANUNCIAR")))</f>
        <v/>
      </c>
    </row>
    <row r="41">
      <c r="A41" s="116" t="inlineStr">
        <is>
          <t>Hevea</t>
        </is>
      </c>
      <c r="B41" s="116" t="inlineStr">
        <is>
          <t>557-011090</t>
        </is>
      </c>
      <c r="C41" s="116" t="inlineStr">
        <is>
          <t>ODIN-1 SILLON/ARMCHAIR/FAUTEUIL</t>
        </is>
      </c>
      <c r="D41" s="118" t="n">
        <v>268</v>
      </c>
      <c r="E41" s="118" t="n">
        <v>425</v>
      </c>
      <c r="F41" s="118">
        <f>E41*(1+IVA)</f>
        <v/>
      </c>
      <c r="G41" s="118">
        <f>E41-D41</f>
        <v/>
      </c>
      <c r="H41" s="191">
        <f>IFERROR(G41/E41,0)</f>
        <v/>
      </c>
      <c r="I41" s="118">
        <f>F41*Comision_pago_pct+Comision_pago_fija</f>
        <v/>
      </c>
      <c r="J41" s="118">
        <f>IF(A41="Hevea",IF(F41&gt;=Hevea_umbral_envio_gratis,0,Hevea_coste_envio_bajo),Balliu_coste_envio)</f>
        <v/>
      </c>
      <c r="K41" s="118">
        <f>Tasa_devolucion*Coste_devolucion</f>
        <v/>
      </c>
      <c r="L41" s="118">
        <f>Tasa_incidencia*Coste_incidencia</f>
        <v/>
      </c>
      <c r="M41" s="118">
        <f>G41-I41-J41-K41-L41</f>
        <v/>
      </c>
      <c r="N41" s="191">
        <f>IFERROR(M41/E41,0)</f>
        <v/>
      </c>
      <c r="O41" s="118">
        <f>MAX(M41,0)</f>
        <v/>
      </c>
      <c r="P41" s="192">
        <f>IFERROR(F41/O41,0)</f>
        <v/>
      </c>
      <c r="Q41" s="193">
        <f>IF(N41&gt;=Umbral_PUSH_pct,IF(M41&gt;=Umbral_PUSH_eur,"PUSH","NEUTRAL"),IF(N41&gt;=Umbral_NEUTRAL_pct,"NEUTRAL",IF(N41&gt;=Umbral_WATCH_pct,"WATCH","NO ANUNCIAR")))</f>
        <v/>
      </c>
    </row>
    <row r="42">
      <c r="A42" s="122" t="inlineStr">
        <is>
          <t>Hevea</t>
        </is>
      </c>
      <c r="B42" s="122" t="inlineStr">
        <is>
          <t>557-011091</t>
        </is>
      </c>
      <c r="C42" s="122" t="inlineStr">
        <is>
          <t>ODIN-2 SOFA 2 PLAZAS/SOFA/CANAPÉ</t>
        </is>
      </c>
      <c r="D42" s="124" t="n">
        <v>454</v>
      </c>
      <c r="E42" s="124" t="n">
        <v>720</v>
      </c>
      <c r="F42" s="124">
        <f>E42*(1+IVA)</f>
        <v/>
      </c>
      <c r="G42" s="124">
        <f>E42-D42</f>
        <v/>
      </c>
      <c r="H42" s="194">
        <f>IFERROR(G42/E42,0)</f>
        <v/>
      </c>
      <c r="I42" s="124">
        <f>F42*Comision_pago_pct+Comision_pago_fija</f>
        <v/>
      </c>
      <c r="J42" s="124">
        <f>IF(A42="Hevea",IF(F42&gt;=Hevea_umbral_envio_gratis,0,Hevea_coste_envio_bajo),Balliu_coste_envio)</f>
        <v/>
      </c>
      <c r="K42" s="124">
        <f>Tasa_devolucion*Coste_devolucion</f>
        <v/>
      </c>
      <c r="L42" s="124">
        <f>Tasa_incidencia*Coste_incidencia</f>
        <v/>
      </c>
      <c r="M42" s="124">
        <f>G42-I42-J42-K42-L42</f>
        <v/>
      </c>
      <c r="N42" s="194">
        <f>IFERROR(M42/E42,0)</f>
        <v/>
      </c>
      <c r="O42" s="124">
        <f>MAX(M42,0)</f>
        <v/>
      </c>
      <c r="P42" s="195">
        <f>IFERROR(F42/O42,0)</f>
        <v/>
      </c>
      <c r="Q42" s="196">
        <f>IF(N42&gt;=Umbral_PUSH_pct,IF(M42&gt;=Umbral_PUSH_eur,"PUSH","NEUTRAL"),IF(N42&gt;=Umbral_NEUTRAL_pct,"NEUTRAL",IF(N42&gt;=Umbral_WATCH_pct,"WATCH","NO ANUNCIAR")))</f>
        <v/>
      </c>
    </row>
    <row r="43">
      <c r="A43" s="116" t="inlineStr">
        <is>
          <t>Hevea</t>
        </is>
      </c>
      <c r="B43" s="116" t="inlineStr">
        <is>
          <t>557-011092</t>
        </is>
      </c>
      <c r="C43" s="116" t="inlineStr">
        <is>
          <t>ODIN-3 SOFA 3 PLAZAS/SOFA/CANAPÉ</t>
        </is>
      </c>
      <c r="D43" s="118" t="n">
        <v>596</v>
      </c>
      <c r="E43" s="118" t="n">
        <v>945</v>
      </c>
      <c r="F43" s="118">
        <f>E43*(1+IVA)</f>
        <v/>
      </c>
      <c r="G43" s="118">
        <f>E43-D43</f>
        <v/>
      </c>
      <c r="H43" s="191">
        <f>IFERROR(G43/E43,0)</f>
        <v/>
      </c>
      <c r="I43" s="118">
        <f>F43*Comision_pago_pct+Comision_pago_fija</f>
        <v/>
      </c>
      <c r="J43" s="118">
        <f>IF(A43="Hevea",IF(F43&gt;=Hevea_umbral_envio_gratis,0,Hevea_coste_envio_bajo),Balliu_coste_envio)</f>
        <v/>
      </c>
      <c r="K43" s="118">
        <f>Tasa_devolucion*Coste_devolucion</f>
        <v/>
      </c>
      <c r="L43" s="118">
        <f>Tasa_incidencia*Coste_incidencia</f>
        <v/>
      </c>
      <c r="M43" s="118">
        <f>G43-I43-J43-K43-L43</f>
        <v/>
      </c>
      <c r="N43" s="191">
        <f>IFERROR(M43/E43,0)</f>
        <v/>
      </c>
      <c r="O43" s="118">
        <f>MAX(M43,0)</f>
        <v/>
      </c>
      <c r="P43" s="192">
        <f>IFERROR(F43/O43,0)</f>
        <v/>
      </c>
      <c r="Q43" s="193">
        <f>IF(N43&gt;=Umbral_PUSH_pct,IF(M43&gt;=Umbral_PUSH_eur,"PUSH","NEUTRAL"),IF(N43&gt;=Umbral_NEUTRAL_pct,"NEUTRAL",IF(N43&gt;=Umbral_WATCH_pct,"WATCH","NO ANUNCIAR")))</f>
        <v/>
      </c>
    </row>
    <row r="44">
      <c r="A44" s="122" t="inlineStr">
        <is>
          <t>Hevea</t>
        </is>
      </c>
      <c r="B44" s="122" t="inlineStr">
        <is>
          <t>557-011075</t>
        </is>
      </c>
      <c r="C44" s="122" t="inlineStr">
        <is>
          <t>SAIPROS-90 MESA CENTRO 90/COFFEE TABLE/TABLE CENTRE</t>
        </is>
      </c>
      <c r="D44" s="124" t="n">
        <v>177</v>
      </c>
      <c r="E44" s="124" t="n">
        <v>280</v>
      </c>
      <c r="F44" s="124">
        <f>E44*(1+IVA)</f>
        <v/>
      </c>
      <c r="G44" s="124">
        <f>E44-D44</f>
        <v/>
      </c>
      <c r="H44" s="194">
        <f>IFERROR(G44/E44,0)</f>
        <v/>
      </c>
      <c r="I44" s="124">
        <f>F44*Comision_pago_pct+Comision_pago_fija</f>
        <v/>
      </c>
      <c r="J44" s="124">
        <f>IF(A44="Hevea",IF(F44&gt;=Hevea_umbral_envio_gratis,0,Hevea_coste_envio_bajo),Balliu_coste_envio)</f>
        <v/>
      </c>
      <c r="K44" s="124">
        <f>Tasa_devolucion*Coste_devolucion</f>
        <v/>
      </c>
      <c r="L44" s="124">
        <f>Tasa_incidencia*Coste_incidencia</f>
        <v/>
      </c>
      <c r="M44" s="124">
        <f>G44-I44-J44-K44-L44</f>
        <v/>
      </c>
      <c r="N44" s="194">
        <f>IFERROR(M44/E44,0)</f>
        <v/>
      </c>
      <c r="O44" s="124">
        <f>MAX(M44,0)</f>
        <v/>
      </c>
      <c r="P44" s="195">
        <f>IFERROR(F44/O44,0)</f>
        <v/>
      </c>
      <c r="Q44" s="196">
        <f>IF(N44&gt;=Umbral_PUSH_pct,IF(M44&gt;=Umbral_PUSH_eur,"PUSH","NEUTRAL"),IF(N44&gt;=Umbral_NEUTRAL_pct,"NEUTRAL",IF(N44&gt;=Umbral_WATCH_pct,"WATCH","NO ANUNCIAR")))</f>
        <v/>
      </c>
    </row>
    <row r="45">
      <c r="A45" s="116" t="inlineStr">
        <is>
          <t>Hevea</t>
        </is>
      </c>
      <c r="B45" s="116" t="inlineStr">
        <is>
          <t>557-011076</t>
        </is>
      </c>
      <c r="C45" s="116" t="inlineStr">
        <is>
          <t>SAIPROS-120 MESA CENTRO 120/COFFEE TABLE/TABLE CENTRE</t>
        </is>
      </c>
      <c r="D45" s="118" t="n">
        <v>246</v>
      </c>
      <c r="E45" s="118" t="n">
        <v>390</v>
      </c>
      <c r="F45" s="118">
        <f>E45*(1+IVA)</f>
        <v/>
      </c>
      <c r="G45" s="118">
        <f>E45-D45</f>
        <v/>
      </c>
      <c r="H45" s="191">
        <f>IFERROR(G45/E45,0)</f>
        <v/>
      </c>
      <c r="I45" s="118">
        <f>F45*Comision_pago_pct+Comision_pago_fija</f>
        <v/>
      </c>
      <c r="J45" s="118">
        <f>IF(A45="Hevea",IF(F45&gt;=Hevea_umbral_envio_gratis,0,Hevea_coste_envio_bajo),Balliu_coste_envio)</f>
        <v/>
      </c>
      <c r="K45" s="118">
        <f>Tasa_devolucion*Coste_devolucion</f>
        <v/>
      </c>
      <c r="L45" s="118">
        <f>Tasa_incidencia*Coste_incidencia</f>
        <v/>
      </c>
      <c r="M45" s="118">
        <f>G45-I45-J45-K45-L45</f>
        <v/>
      </c>
      <c r="N45" s="191">
        <f>IFERROR(M45/E45,0)</f>
        <v/>
      </c>
      <c r="O45" s="118">
        <f>MAX(M45,0)</f>
        <v/>
      </c>
      <c r="P45" s="192">
        <f>IFERROR(F45/O45,0)</f>
        <v/>
      </c>
      <c r="Q45" s="193">
        <f>IF(N45&gt;=Umbral_PUSH_pct,IF(M45&gt;=Umbral_PUSH_eur,"PUSH","NEUTRAL"),IF(N45&gt;=Umbral_NEUTRAL_pct,"NEUTRAL",IF(N45&gt;=Umbral_WATCH_pct,"WATCH","NO ANUNCIAR")))</f>
        <v/>
      </c>
    </row>
    <row r="46">
      <c r="A46" s="122" t="inlineStr">
        <is>
          <t>Hevea</t>
        </is>
      </c>
      <c r="B46" s="122" t="inlineStr">
        <is>
          <t>557-011094</t>
        </is>
      </c>
      <c r="C46" s="122" t="inlineStr">
        <is>
          <t>ODIN-7 SET SOFÁ 2 PLAZAS / 2 SEATER SOFA SET / SET CANAPÉ 2 PLACES</t>
        </is>
      </c>
      <c r="D46" s="124" t="n">
        <v>1166</v>
      </c>
      <c r="E46" s="124" t="n">
        <v>1850</v>
      </c>
      <c r="F46" s="124">
        <f>E46*(1+IVA)</f>
        <v/>
      </c>
      <c r="G46" s="124">
        <f>E46-D46</f>
        <v/>
      </c>
      <c r="H46" s="194">
        <f>IFERROR(G46/E46,0)</f>
        <v/>
      </c>
      <c r="I46" s="124">
        <f>F46*Comision_pago_pct+Comision_pago_fija</f>
        <v/>
      </c>
      <c r="J46" s="124">
        <f>IF(A46="Hevea",IF(F46&gt;=Hevea_umbral_envio_gratis,0,Hevea_coste_envio_bajo),Balliu_coste_envio)</f>
        <v/>
      </c>
      <c r="K46" s="124">
        <f>Tasa_devolucion*Coste_devolucion</f>
        <v/>
      </c>
      <c r="L46" s="124">
        <f>Tasa_incidencia*Coste_incidencia</f>
        <v/>
      </c>
      <c r="M46" s="124">
        <f>G46-I46-J46-K46-L46</f>
        <v/>
      </c>
      <c r="N46" s="194">
        <f>IFERROR(M46/E46,0)</f>
        <v/>
      </c>
      <c r="O46" s="124">
        <f>MAX(M46,0)</f>
        <v/>
      </c>
      <c r="P46" s="195">
        <f>IFERROR(F46/O46,0)</f>
        <v/>
      </c>
      <c r="Q46" s="196">
        <f>IF(N46&gt;=Umbral_PUSH_pct,IF(M46&gt;=Umbral_PUSH_eur,"PUSH","NEUTRAL"),IF(N46&gt;=Umbral_NEUTRAL_pct,"NEUTRAL",IF(N46&gt;=Umbral_WATCH_pct,"WATCH","NO ANUNCIAR")))</f>
        <v/>
      </c>
    </row>
    <row r="47">
      <c r="A47" s="116" t="inlineStr">
        <is>
          <t>Hevea</t>
        </is>
      </c>
      <c r="B47" s="116" t="inlineStr">
        <is>
          <t>557-011095</t>
        </is>
      </c>
      <c r="C47" s="116" t="inlineStr">
        <is>
          <t>ODIN-8 SET SOFÁ 3 PLAZAS / 3 SEATER SOFA SET / SET CANAPÉ 3 PLACES</t>
        </is>
      </c>
      <c r="D47" s="118" t="n">
        <v>1377</v>
      </c>
      <c r="E47" s="118" t="n">
        <v>2185</v>
      </c>
      <c r="F47" s="118">
        <f>E47*(1+IVA)</f>
        <v/>
      </c>
      <c r="G47" s="118">
        <f>E47-D47</f>
        <v/>
      </c>
      <c r="H47" s="191">
        <f>IFERROR(G47/E47,0)</f>
        <v/>
      </c>
      <c r="I47" s="118">
        <f>F47*Comision_pago_pct+Comision_pago_fija</f>
        <v/>
      </c>
      <c r="J47" s="118">
        <f>IF(A47="Hevea",IF(F47&gt;=Hevea_umbral_envio_gratis,0,Hevea_coste_envio_bajo),Balliu_coste_envio)</f>
        <v/>
      </c>
      <c r="K47" s="118">
        <f>Tasa_devolucion*Coste_devolucion</f>
        <v/>
      </c>
      <c r="L47" s="118">
        <f>Tasa_incidencia*Coste_incidencia</f>
        <v/>
      </c>
      <c r="M47" s="118">
        <f>G47-I47-J47-K47-L47</f>
        <v/>
      </c>
      <c r="N47" s="191">
        <f>IFERROR(M47/E47,0)</f>
        <v/>
      </c>
      <c r="O47" s="118">
        <f>MAX(M47,0)</f>
        <v/>
      </c>
      <c r="P47" s="192">
        <f>IFERROR(F47/O47,0)</f>
        <v/>
      </c>
      <c r="Q47" s="193">
        <f>IF(N47&gt;=Umbral_PUSH_pct,IF(M47&gt;=Umbral_PUSH_eur,"PUSH","NEUTRAL"),IF(N47&gt;=Umbral_NEUTRAL_pct,"NEUTRAL",IF(N47&gt;=Umbral_WATCH_pct,"WATCH","NO ANUNCIAR")))</f>
        <v/>
      </c>
    </row>
    <row r="48">
      <c r="A48" s="122" t="inlineStr">
        <is>
          <t>Hevea</t>
        </is>
      </c>
      <c r="B48" s="122" t="inlineStr">
        <is>
          <t>557-010726</t>
        </is>
      </c>
      <c r="C48" s="122" t="inlineStr">
        <is>
          <t>ALBANIA-1 SILLON/ARMCHAIR/FAUTEUIL</t>
        </is>
      </c>
      <c r="D48" s="124" t="n">
        <v>312</v>
      </c>
      <c r="E48" s="124" t="n">
        <v>495</v>
      </c>
      <c r="F48" s="124">
        <f>E48*(1+IVA)</f>
        <v/>
      </c>
      <c r="G48" s="124">
        <f>E48-D48</f>
        <v/>
      </c>
      <c r="H48" s="194">
        <f>IFERROR(G48/E48,0)</f>
        <v/>
      </c>
      <c r="I48" s="124">
        <f>F48*Comision_pago_pct+Comision_pago_fija</f>
        <v/>
      </c>
      <c r="J48" s="124">
        <f>IF(A48="Hevea",IF(F48&gt;=Hevea_umbral_envio_gratis,0,Hevea_coste_envio_bajo),Balliu_coste_envio)</f>
        <v/>
      </c>
      <c r="K48" s="124">
        <f>Tasa_devolucion*Coste_devolucion</f>
        <v/>
      </c>
      <c r="L48" s="124">
        <f>Tasa_incidencia*Coste_incidencia</f>
        <v/>
      </c>
      <c r="M48" s="124">
        <f>G48-I48-J48-K48-L48</f>
        <v/>
      </c>
      <c r="N48" s="194">
        <f>IFERROR(M48/E48,0)</f>
        <v/>
      </c>
      <c r="O48" s="124">
        <f>MAX(M48,0)</f>
        <v/>
      </c>
      <c r="P48" s="195">
        <f>IFERROR(F48/O48,0)</f>
        <v/>
      </c>
      <c r="Q48" s="196">
        <f>IF(N48&gt;=Umbral_PUSH_pct,IF(M48&gt;=Umbral_PUSH_eur,"PUSH","NEUTRAL"),IF(N48&gt;=Umbral_NEUTRAL_pct,"NEUTRAL",IF(N48&gt;=Umbral_WATCH_pct,"WATCH","NO ANUNCIAR")))</f>
        <v/>
      </c>
    </row>
    <row r="49">
      <c r="A49" s="116" t="inlineStr">
        <is>
          <t>Hevea</t>
        </is>
      </c>
      <c r="B49" s="116" t="inlineStr">
        <is>
          <t>557-010727</t>
        </is>
      </c>
      <c r="C49" s="116" t="inlineStr">
        <is>
          <t>ALBANIA-2 SOFA 2 PLAZAS/SOFA/CANAPÉ</t>
        </is>
      </c>
      <c r="D49" s="118" t="n">
        <v>495</v>
      </c>
      <c r="E49" s="118" t="n">
        <v>785</v>
      </c>
      <c r="F49" s="118">
        <f>E49*(1+IVA)</f>
        <v/>
      </c>
      <c r="G49" s="118">
        <f>E49-D49</f>
        <v/>
      </c>
      <c r="H49" s="191">
        <f>IFERROR(G49/E49,0)</f>
        <v/>
      </c>
      <c r="I49" s="118">
        <f>F49*Comision_pago_pct+Comision_pago_fija</f>
        <v/>
      </c>
      <c r="J49" s="118">
        <f>IF(A49="Hevea",IF(F49&gt;=Hevea_umbral_envio_gratis,0,Hevea_coste_envio_bajo),Balliu_coste_envio)</f>
        <v/>
      </c>
      <c r="K49" s="118">
        <f>Tasa_devolucion*Coste_devolucion</f>
        <v/>
      </c>
      <c r="L49" s="118">
        <f>Tasa_incidencia*Coste_incidencia</f>
        <v/>
      </c>
      <c r="M49" s="118">
        <f>G49-I49-J49-K49-L49</f>
        <v/>
      </c>
      <c r="N49" s="191">
        <f>IFERROR(M49/E49,0)</f>
        <v/>
      </c>
      <c r="O49" s="118">
        <f>MAX(M49,0)</f>
        <v/>
      </c>
      <c r="P49" s="192">
        <f>IFERROR(F49/O49,0)</f>
        <v/>
      </c>
      <c r="Q49" s="193">
        <f>IF(N49&gt;=Umbral_PUSH_pct,IF(M49&gt;=Umbral_PUSH_eur,"PUSH","NEUTRAL"),IF(N49&gt;=Umbral_NEUTRAL_pct,"NEUTRAL",IF(N49&gt;=Umbral_WATCH_pct,"WATCH","NO ANUNCIAR")))</f>
        <v/>
      </c>
    </row>
    <row r="50">
      <c r="A50" s="122" t="inlineStr">
        <is>
          <t>Hevea</t>
        </is>
      </c>
      <c r="B50" s="122" t="inlineStr">
        <is>
          <t>557-010728</t>
        </is>
      </c>
      <c r="C50" s="122" t="inlineStr">
        <is>
          <t>ALBANIA-3 SOFA 3 PLAZAS/SOFA/CANAPÉ</t>
        </is>
      </c>
      <c r="D50" s="124" t="n">
        <v>627</v>
      </c>
      <c r="E50" s="124" t="n">
        <v>995</v>
      </c>
      <c r="F50" s="124">
        <f>E50*(1+IVA)</f>
        <v/>
      </c>
      <c r="G50" s="124">
        <f>E50-D50</f>
        <v/>
      </c>
      <c r="H50" s="194">
        <f>IFERROR(G50/E50,0)</f>
        <v/>
      </c>
      <c r="I50" s="124">
        <f>F50*Comision_pago_pct+Comision_pago_fija</f>
        <v/>
      </c>
      <c r="J50" s="124">
        <f>IF(A50="Hevea",IF(F50&gt;=Hevea_umbral_envio_gratis,0,Hevea_coste_envio_bajo),Balliu_coste_envio)</f>
        <v/>
      </c>
      <c r="K50" s="124">
        <f>Tasa_devolucion*Coste_devolucion</f>
        <v/>
      </c>
      <c r="L50" s="124">
        <f>Tasa_incidencia*Coste_incidencia</f>
        <v/>
      </c>
      <c r="M50" s="124">
        <f>G50-I50-J50-K50-L50</f>
        <v/>
      </c>
      <c r="N50" s="194">
        <f>IFERROR(M50/E50,0)</f>
        <v/>
      </c>
      <c r="O50" s="124">
        <f>MAX(M50,0)</f>
        <v/>
      </c>
      <c r="P50" s="195">
        <f>IFERROR(F50/O50,0)</f>
        <v/>
      </c>
      <c r="Q50" s="196">
        <f>IF(N50&gt;=Umbral_PUSH_pct,IF(M50&gt;=Umbral_PUSH_eur,"PUSH","NEUTRAL"),IF(N50&gt;=Umbral_NEUTRAL_pct,"NEUTRAL",IF(N50&gt;=Umbral_WATCH_pct,"WATCH","NO ANUNCIAR")))</f>
        <v/>
      </c>
    </row>
    <row r="51">
      <c r="A51" s="116" t="inlineStr">
        <is>
          <t>Hevea</t>
        </is>
      </c>
      <c r="B51" s="116" t="inlineStr">
        <is>
          <t>557-010729</t>
        </is>
      </c>
      <c r="C51" s="116" t="inlineStr">
        <is>
          <t>ALBANIA-7 SET SOFÁ 2 PLAZAS / 2 SEATER SOFA SET / SET CANAPÉ 2 PLACES</t>
        </is>
      </c>
      <c r="D51" s="118" t="n">
        <v>1465</v>
      </c>
      <c r="E51" s="118" t="n">
        <v>2325</v>
      </c>
      <c r="F51" s="118">
        <f>E51*(1+IVA)</f>
        <v/>
      </c>
      <c r="G51" s="118">
        <f>E51-D51</f>
        <v/>
      </c>
      <c r="H51" s="191">
        <f>IFERROR(G51/E51,0)</f>
        <v/>
      </c>
      <c r="I51" s="118">
        <f>F51*Comision_pago_pct+Comision_pago_fija</f>
        <v/>
      </c>
      <c r="J51" s="118">
        <f>IF(A51="Hevea",IF(F51&gt;=Hevea_umbral_envio_gratis,0,Hevea_coste_envio_bajo),Balliu_coste_envio)</f>
        <v/>
      </c>
      <c r="K51" s="118">
        <f>Tasa_devolucion*Coste_devolucion</f>
        <v/>
      </c>
      <c r="L51" s="118">
        <f>Tasa_incidencia*Coste_incidencia</f>
        <v/>
      </c>
      <c r="M51" s="118">
        <f>G51-I51-J51-K51-L51</f>
        <v/>
      </c>
      <c r="N51" s="191">
        <f>IFERROR(M51/E51,0)</f>
        <v/>
      </c>
      <c r="O51" s="118">
        <f>MAX(M51,0)</f>
        <v/>
      </c>
      <c r="P51" s="192">
        <f>IFERROR(F51/O51,0)</f>
        <v/>
      </c>
      <c r="Q51" s="193">
        <f>IF(N51&gt;=Umbral_PUSH_pct,IF(M51&gt;=Umbral_PUSH_eur,"PUSH","NEUTRAL"),IF(N51&gt;=Umbral_NEUTRAL_pct,"NEUTRAL",IF(N51&gt;=Umbral_WATCH_pct,"WATCH","NO ANUNCIAR")))</f>
        <v/>
      </c>
    </row>
    <row r="52">
      <c r="A52" s="122" t="inlineStr">
        <is>
          <t>Hevea</t>
        </is>
      </c>
      <c r="B52" s="122" t="inlineStr">
        <is>
          <t>557-010730</t>
        </is>
      </c>
      <c r="C52" s="122" t="inlineStr">
        <is>
          <t>ALBANIA-8 SET SOFÁ 3 PLAZAS / 3 SEATER SOFA SET / SET CANAPÉ 3 PLACES</t>
        </is>
      </c>
      <c r="D52" s="124" t="n">
        <v>1635</v>
      </c>
      <c r="E52" s="124" t="n">
        <v>2595</v>
      </c>
      <c r="F52" s="124">
        <f>E52*(1+IVA)</f>
        <v/>
      </c>
      <c r="G52" s="124">
        <f>E52-D52</f>
        <v/>
      </c>
      <c r="H52" s="194">
        <f>IFERROR(G52/E52,0)</f>
        <v/>
      </c>
      <c r="I52" s="124">
        <f>F52*Comision_pago_pct+Comision_pago_fija</f>
        <v/>
      </c>
      <c r="J52" s="124">
        <f>IF(A52="Hevea",IF(F52&gt;=Hevea_umbral_envio_gratis,0,Hevea_coste_envio_bajo),Balliu_coste_envio)</f>
        <v/>
      </c>
      <c r="K52" s="124">
        <f>Tasa_devolucion*Coste_devolucion</f>
        <v/>
      </c>
      <c r="L52" s="124">
        <f>Tasa_incidencia*Coste_incidencia</f>
        <v/>
      </c>
      <c r="M52" s="124">
        <f>G52-I52-J52-K52-L52</f>
        <v/>
      </c>
      <c r="N52" s="194">
        <f>IFERROR(M52/E52,0)</f>
        <v/>
      </c>
      <c r="O52" s="124">
        <f>MAX(M52,0)</f>
        <v/>
      </c>
      <c r="P52" s="195">
        <f>IFERROR(F52/O52,0)</f>
        <v/>
      </c>
      <c r="Q52" s="196">
        <f>IF(N52&gt;=Umbral_PUSH_pct,IF(M52&gt;=Umbral_PUSH_eur,"PUSH","NEUTRAL"),IF(N52&gt;=Umbral_NEUTRAL_pct,"NEUTRAL",IF(N52&gt;=Umbral_WATCH_pct,"WATCH","NO ANUNCIAR")))</f>
        <v/>
      </c>
    </row>
    <row r="53">
      <c r="A53" s="116" t="inlineStr">
        <is>
          <t>Hevea</t>
        </is>
      </c>
      <c r="B53" s="116" t="inlineStr">
        <is>
          <t>557-0185</t>
        </is>
      </c>
      <c r="C53" s="116" t="inlineStr">
        <is>
          <t>STANDARD 55-XL STANDARD XL REPOSAPIES</t>
        </is>
      </c>
      <c r="D53" s="118" t="n">
        <v>186</v>
      </c>
      <c r="E53" s="118" t="n">
        <v>295</v>
      </c>
      <c r="F53" s="118">
        <f>E53*(1+IVA)</f>
        <v/>
      </c>
      <c r="G53" s="118">
        <f>E53-D53</f>
        <v/>
      </c>
      <c r="H53" s="191">
        <f>IFERROR(G53/E53,0)</f>
        <v/>
      </c>
      <c r="I53" s="118">
        <f>F53*Comision_pago_pct+Comision_pago_fija</f>
        <v/>
      </c>
      <c r="J53" s="118">
        <f>IF(A53="Hevea",IF(F53&gt;=Hevea_umbral_envio_gratis,0,Hevea_coste_envio_bajo),Balliu_coste_envio)</f>
        <v/>
      </c>
      <c r="K53" s="118">
        <f>Tasa_devolucion*Coste_devolucion</f>
        <v/>
      </c>
      <c r="L53" s="118">
        <f>Tasa_incidencia*Coste_incidencia</f>
        <v/>
      </c>
      <c r="M53" s="118">
        <f>G53-I53-J53-K53-L53</f>
        <v/>
      </c>
      <c r="N53" s="191">
        <f>IFERROR(M53/E53,0)</f>
        <v/>
      </c>
      <c r="O53" s="118">
        <f>MAX(M53,0)</f>
        <v/>
      </c>
      <c r="P53" s="192">
        <f>IFERROR(F53/O53,0)</f>
        <v/>
      </c>
      <c r="Q53" s="193">
        <f>IF(N53&gt;=Umbral_PUSH_pct,IF(M53&gt;=Umbral_PUSH_eur,"PUSH","NEUTRAL"),IF(N53&gt;=Umbral_NEUTRAL_pct,"NEUTRAL",IF(N53&gt;=Umbral_WATCH_pct,"WATCH","NO ANUNCIAR")))</f>
        <v/>
      </c>
    </row>
    <row r="54">
      <c r="A54" s="122" t="inlineStr">
        <is>
          <t>Hevea</t>
        </is>
      </c>
      <c r="B54" s="122" t="inlineStr">
        <is>
          <t>557-010478</t>
        </is>
      </c>
      <c r="C54" s="122" t="inlineStr">
        <is>
          <t>BOLONIA XL-1 SILLÓN/ARMCHAIR/CANAPÉ</t>
        </is>
      </c>
      <c r="D54" s="124" t="n">
        <v>530</v>
      </c>
      <c r="E54" s="124" t="n">
        <v>840</v>
      </c>
      <c r="F54" s="124">
        <f>E54*(1+IVA)</f>
        <v/>
      </c>
      <c r="G54" s="124">
        <f>E54-D54</f>
        <v/>
      </c>
      <c r="H54" s="194">
        <f>IFERROR(G54/E54,0)</f>
        <v/>
      </c>
      <c r="I54" s="124">
        <f>F54*Comision_pago_pct+Comision_pago_fija</f>
        <v/>
      </c>
      <c r="J54" s="124">
        <f>IF(A54="Hevea",IF(F54&gt;=Hevea_umbral_envio_gratis,0,Hevea_coste_envio_bajo),Balliu_coste_envio)</f>
        <v/>
      </c>
      <c r="K54" s="124">
        <f>Tasa_devolucion*Coste_devolucion</f>
        <v/>
      </c>
      <c r="L54" s="124">
        <f>Tasa_incidencia*Coste_incidencia</f>
        <v/>
      </c>
      <c r="M54" s="124">
        <f>G54-I54-J54-K54-L54</f>
        <v/>
      </c>
      <c r="N54" s="194">
        <f>IFERROR(M54/E54,0)</f>
        <v/>
      </c>
      <c r="O54" s="124">
        <f>MAX(M54,0)</f>
        <v/>
      </c>
      <c r="P54" s="195">
        <f>IFERROR(F54/O54,0)</f>
        <v/>
      </c>
      <c r="Q54" s="196">
        <f>IF(N54&gt;=Umbral_PUSH_pct,IF(M54&gt;=Umbral_PUSH_eur,"PUSH","NEUTRAL"),IF(N54&gt;=Umbral_NEUTRAL_pct,"NEUTRAL",IF(N54&gt;=Umbral_WATCH_pct,"WATCH","NO ANUNCIAR")))</f>
        <v/>
      </c>
    </row>
    <row r="55">
      <c r="A55" s="116" t="inlineStr">
        <is>
          <t>Hevea</t>
        </is>
      </c>
      <c r="B55" s="116" t="inlineStr">
        <is>
          <t>557-010479</t>
        </is>
      </c>
      <c r="C55" s="116" t="inlineStr">
        <is>
          <t>BOLONIA XL-2 SOFA 2 PLAZAS/SOFA/CANAPÉ</t>
        </is>
      </c>
      <c r="D55" s="118" t="n">
        <v>823</v>
      </c>
      <c r="E55" s="118" t="n">
        <v>1305</v>
      </c>
      <c r="F55" s="118">
        <f>E55*(1+IVA)</f>
        <v/>
      </c>
      <c r="G55" s="118">
        <f>E55-D55</f>
        <v/>
      </c>
      <c r="H55" s="191">
        <f>IFERROR(G55/E55,0)</f>
        <v/>
      </c>
      <c r="I55" s="118">
        <f>F55*Comision_pago_pct+Comision_pago_fija</f>
        <v/>
      </c>
      <c r="J55" s="118">
        <f>IF(A55="Hevea",IF(F55&gt;=Hevea_umbral_envio_gratis,0,Hevea_coste_envio_bajo),Balliu_coste_envio)</f>
        <v/>
      </c>
      <c r="K55" s="118">
        <f>Tasa_devolucion*Coste_devolucion</f>
        <v/>
      </c>
      <c r="L55" s="118">
        <f>Tasa_incidencia*Coste_incidencia</f>
        <v/>
      </c>
      <c r="M55" s="118">
        <f>G55-I55-J55-K55-L55</f>
        <v/>
      </c>
      <c r="N55" s="191">
        <f>IFERROR(M55/E55,0)</f>
        <v/>
      </c>
      <c r="O55" s="118">
        <f>MAX(M55,0)</f>
        <v/>
      </c>
      <c r="P55" s="192">
        <f>IFERROR(F55/O55,0)</f>
        <v/>
      </c>
      <c r="Q55" s="193">
        <f>IF(N55&gt;=Umbral_PUSH_pct,IF(M55&gt;=Umbral_PUSH_eur,"PUSH","NEUTRAL"),IF(N55&gt;=Umbral_NEUTRAL_pct,"NEUTRAL",IF(N55&gt;=Umbral_WATCH_pct,"WATCH","NO ANUNCIAR")))</f>
        <v/>
      </c>
    </row>
    <row r="56">
      <c r="A56" s="122" t="inlineStr">
        <is>
          <t>Hevea</t>
        </is>
      </c>
      <c r="B56" s="122" t="inlineStr">
        <is>
          <t>557-010480</t>
        </is>
      </c>
      <c r="C56" s="122" t="inlineStr">
        <is>
          <t>BOLONIA XL-3 SOFA 3 PLAZAS/SOFA/CANAPÉ</t>
        </is>
      </c>
      <c r="D56" s="124" t="n">
        <v>1097</v>
      </c>
      <c r="E56" s="124" t="n">
        <v>1740</v>
      </c>
      <c r="F56" s="124">
        <f>E56*(1+IVA)</f>
        <v/>
      </c>
      <c r="G56" s="124">
        <f>E56-D56</f>
        <v/>
      </c>
      <c r="H56" s="194">
        <f>IFERROR(G56/E56,0)</f>
        <v/>
      </c>
      <c r="I56" s="124">
        <f>F56*Comision_pago_pct+Comision_pago_fija</f>
        <v/>
      </c>
      <c r="J56" s="124">
        <f>IF(A56="Hevea",IF(F56&gt;=Hevea_umbral_envio_gratis,0,Hevea_coste_envio_bajo),Balliu_coste_envio)</f>
        <v/>
      </c>
      <c r="K56" s="124">
        <f>Tasa_devolucion*Coste_devolucion</f>
        <v/>
      </c>
      <c r="L56" s="124">
        <f>Tasa_incidencia*Coste_incidencia</f>
        <v/>
      </c>
      <c r="M56" s="124">
        <f>G56-I56-J56-K56-L56</f>
        <v/>
      </c>
      <c r="N56" s="194">
        <f>IFERROR(M56/E56,0)</f>
        <v/>
      </c>
      <c r="O56" s="124">
        <f>MAX(M56,0)</f>
        <v/>
      </c>
      <c r="P56" s="195">
        <f>IFERROR(F56/O56,0)</f>
        <v/>
      </c>
      <c r="Q56" s="196">
        <f>IF(N56&gt;=Umbral_PUSH_pct,IF(M56&gt;=Umbral_PUSH_eur,"PUSH","NEUTRAL"),IF(N56&gt;=Umbral_NEUTRAL_pct,"NEUTRAL",IF(N56&gt;=Umbral_WATCH_pct,"WATCH","NO ANUNCIAR")))</f>
        <v/>
      </c>
    </row>
    <row r="57">
      <c r="A57" s="116" t="inlineStr">
        <is>
          <t>Hevea</t>
        </is>
      </c>
      <c r="B57" s="116" t="inlineStr">
        <is>
          <t>557-0008</t>
        </is>
      </c>
      <c r="C57" s="116" t="inlineStr">
        <is>
          <t>BOLONIA-4 MESA CENTRO-125X65X42</t>
        </is>
      </c>
      <c r="D57" s="118" t="n">
        <v>297</v>
      </c>
      <c r="E57" s="118" t="n">
        <v>470</v>
      </c>
      <c r="F57" s="118">
        <f>E57*(1+IVA)</f>
        <v/>
      </c>
      <c r="G57" s="118">
        <f>E57-D57</f>
        <v/>
      </c>
      <c r="H57" s="191">
        <f>IFERROR(G57/E57,0)</f>
        <v/>
      </c>
      <c r="I57" s="118">
        <f>F57*Comision_pago_pct+Comision_pago_fija</f>
        <v/>
      </c>
      <c r="J57" s="118">
        <f>IF(A57="Hevea",IF(F57&gt;=Hevea_umbral_envio_gratis,0,Hevea_coste_envio_bajo),Balliu_coste_envio)</f>
        <v/>
      </c>
      <c r="K57" s="118">
        <f>Tasa_devolucion*Coste_devolucion</f>
        <v/>
      </c>
      <c r="L57" s="118">
        <f>Tasa_incidencia*Coste_incidencia</f>
        <v/>
      </c>
      <c r="M57" s="118">
        <f>G57-I57-J57-K57-L57</f>
        <v/>
      </c>
      <c r="N57" s="191">
        <f>IFERROR(M57/E57,0)</f>
        <v/>
      </c>
      <c r="O57" s="118">
        <f>MAX(M57,0)</f>
        <v/>
      </c>
      <c r="P57" s="192">
        <f>IFERROR(F57/O57,0)</f>
        <v/>
      </c>
      <c r="Q57" s="193">
        <f>IF(N57&gt;=Umbral_PUSH_pct,IF(M57&gt;=Umbral_PUSH_eur,"PUSH","NEUTRAL"),IF(N57&gt;=Umbral_NEUTRAL_pct,"NEUTRAL",IF(N57&gt;=Umbral_WATCH_pct,"WATCH","NO ANUNCIAR")))</f>
        <v/>
      </c>
    </row>
    <row r="58">
      <c r="A58" s="122" t="inlineStr">
        <is>
          <t>Hevea</t>
        </is>
      </c>
      <c r="B58" s="122" t="inlineStr">
        <is>
          <t>557-010482</t>
        </is>
      </c>
      <c r="C58" s="122" t="inlineStr">
        <is>
          <t>STANDARD-XL REPOSAPIES/FOOTSTOOL/REPOSE-PIEDS</t>
        </is>
      </c>
      <c r="D58" s="124" t="n">
        <v>215</v>
      </c>
      <c r="E58" s="124" t="n">
        <v>340</v>
      </c>
      <c r="F58" s="124">
        <f>E58*(1+IVA)</f>
        <v/>
      </c>
      <c r="G58" s="124">
        <f>E58-D58</f>
        <v/>
      </c>
      <c r="H58" s="194">
        <f>IFERROR(G58/E58,0)</f>
        <v/>
      </c>
      <c r="I58" s="124">
        <f>F58*Comision_pago_pct+Comision_pago_fija</f>
        <v/>
      </c>
      <c r="J58" s="124">
        <f>IF(A58="Hevea",IF(F58&gt;=Hevea_umbral_envio_gratis,0,Hevea_coste_envio_bajo),Balliu_coste_envio)</f>
        <v/>
      </c>
      <c r="K58" s="124">
        <f>Tasa_devolucion*Coste_devolucion</f>
        <v/>
      </c>
      <c r="L58" s="124">
        <f>Tasa_incidencia*Coste_incidencia</f>
        <v/>
      </c>
      <c r="M58" s="124">
        <f>G58-I58-J58-K58-L58</f>
        <v/>
      </c>
      <c r="N58" s="194">
        <f>IFERROR(M58/E58,0)</f>
        <v/>
      </c>
      <c r="O58" s="124">
        <f>MAX(M58,0)</f>
        <v/>
      </c>
      <c r="P58" s="195">
        <f>IFERROR(F58/O58,0)</f>
        <v/>
      </c>
      <c r="Q58" s="196">
        <f>IF(N58&gt;=Umbral_PUSH_pct,IF(M58&gt;=Umbral_PUSH_eur,"PUSH","NEUTRAL"),IF(N58&gt;=Umbral_NEUTRAL_pct,"NEUTRAL",IF(N58&gt;=Umbral_WATCH_pct,"WATCH","NO ANUNCIAR")))</f>
        <v/>
      </c>
    </row>
    <row r="59">
      <c r="A59" s="116" t="inlineStr">
        <is>
          <t>Hevea</t>
        </is>
      </c>
      <c r="B59" s="116" t="inlineStr">
        <is>
          <t>557-0793</t>
        </is>
      </c>
      <c r="C59" s="116" t="inlineStr">
        <is>
          <t>BOLONIA XL-7 SET SOFA 2 PLAZAS/SOFA/CANAPÉ</t>
        </is>
      </c>
      <c r="D59" s="118" t="n">
        <v>2174</v>
      </c>
      <c r="E59" s="118" t="n">
        <v>3450</v>
      </c>
      <c r="F59" s="118">
        <f>E59*(1+IVA)</f>
        <v/>
      </c>
      <c r="G59" s="118">
        <f>E59-D59</f>
        <v/>
      </c>
      <c r="H59" s="191">
        <f>IFERROR(G59/E59,0)</f>
        <v/>
      </c>
      <c r="I59" s="118">
        <f>F59*Comision_pago_pct+Comision_pago_fija</f>
        <v/>
      </c>
      <c r="J59" s="118">
        <f>IF(A59="Hevea",IF(F59&gt;=Hevea_umbral_envio_gratis,0,Hevea_coste_envio_bajo),Balliu_coste_envio)</f>
        <v/>
      </c>
      <c r="K59" s="118">
        <f>Tasa_devolucion*Coste_devolucion</f>
        <v/>
      </c>
      <c r="L59" s="118">
        <f>Tasa_incidencia*Coste_incidencia</f>
        <v/>
      </c>
      <c r="M59" s="118">
        <f>G59-I59-J59-K59-L59</f>
        <v/>
      </c>
      <c r="N59" s="191">
        <f>IFERROR(M59/E59,0)</f>
        <v/>
      </c>
      <c r="O59" s="118">
        <f>MAX(M59,0)</f>
        <v/>
      </c>
      <c r="P59" s="192">
        <f>IFERROR(F59/O59,0)</f>
        <v/>
      </c>
      <c r="Q59" s="193">
        <f>IF(N59&gt;=Umbral_PUSH_pct,IF(M59&gt;=Umbral_PUSH_eur,"PUSH","NEUTRAL"),IF(N59&gt;=Umbral_NEUTRAL_pct,"NEUTRAL",IF(N59&gt;=Umbral_WATCH_pct,"WATCH","NO ANUNCIAR")))</f>
        <v/>
      </c>
    </row>
    <row r="60">
      <c r="A60" s="122" t="inlineStr">
        <is>
          <t>Hevea</t>
        </is>
      </c>
      <c r="B60" s="122" t="inlineStr">
        <is>
          <t>557-010483</t>
        </is>
      </c>
      <c r="C60" s="122" t="inlineStr">
        <is>
          <t>BOLONIA XL-8 SET SOFA 3 PLAZAS/SOFA/CANAPÉ</t>
        </is>
      </c>
      <c r="D60" s="124" t="n">
        <v>2451</v>
      </c>
      <c r="E60" s="124" t="n">
        <v>3890</v>
      </c>
      <c r="F60" s="124">
        <f>E60*(1+IVA)</f>
        <v/>
      </c>
      <c r="G60" s="124">
        <f>E60-D60</f>
        <v/>
      </c>
      <c r="H60" s="194">
        <f>IFERROR(G60/E60,0)</f>
        <v/>
      </c>
      <c r="I60" s="124">
        <f>F60*Comision_pago_pct+Comision_pago_fija</f>
        <v/>
      </c>
      <c r="J60" s="124">
        <f>IF(A60="Hevea",IF(F60&gt;=Hevea_umbral_envio_gratis,0,Hevea_coste_envio_bajo),Balliu_coste_envio)</f>
        <v/>
      </c>
      <c r="K60" s="124">
        <f>Tasa_devolucion*Coste_devolucion</f>
        <v/>
      </c>
      <c r="L60" s="124">
        <f>Tasa_incidencia*Coste_incidencia</f>
        <v/>
      </c>
      <c r="M60" s="124">
        <f>G60-I60-J60-K60-L60</f>
        <v/>
      </c>
      <c r="N60" s="194">
        <f>IFERROR(M60/E60,0)</f>
        <v/>
      </c>
      <c r="O60" s="124">
        <f>MAX(M60,0)</f>
        <v/>
      </c>
      <c r="P60" s="195">
        <f>IFERROR(F60/O60,0)</f>
        <v/>
      </c>
      <c r="Q60" s="196">
        <f>IF(N60&gt;=Umbral_PUSH_pct,IF(M60&gt;=Umbral_PUSH_eur,"PUSH","NEUTRAL"),IF(N60&gt;=Umbral_NEUTRAL_pct,"NEUTRAL",IF(N60&gt;=Umbral_WATCH_pct,"WATCH","NO ANUNCIAR")))</f>
        <v/>
      </c>
    </row>
    <row r="61">
      <c r="A61" s="116" t="inlineStr">
        <is>
          <t>Hevea</t>
        </is>
      </c>
      <c r="B61" s="116" t="inlineStr">
        <is>
          <t>558-0051</t>
        </is>
      </c>
      <c r="C61" s="116" t="inlineStr">
        <is>
          <t>DIVA-1 BICOLOR SILLON/ARMCHAIR/FAUTEUIL</t>
        </is>
      </c>
      <c r="D61" s="118" t="n">
        <v>492</v>
      </c>
      <c r="E61" s="118" t="n">
        <v>780</v>
      </c>
      <c r="F61" s="118">
        <f>E61*(1+IVA)</f>
        <v/>
      </c>
      <c r="G61" s="118">
        <f>E61-D61</f>
        <v/>
      </c>
      <c r="H61" s="191">
        <f>IFERROR(G61/E61,0)</f>
        <v/>
      </c>
      <c r="I61" s="118">
        <f>F61*Comision_pago_pct+Comision_pago_fija</f>
        <v/>
      </c>
      <c r="J61" s="118">
        <f>IF(A61="Hevea",IF(F61&gt;=Hevea_umbral_envio_gratis,0,Hevea_coste_envio_bajo),Balliu_coste_envio)</f>
        <v/>
      </c>
      <c r="K61" s="118">
        <f>Tasa_devolucion*Coste_devolucion</f>
        <v/>
      </c>
      <c r="L61" s="118">
        <f>Tasa_incidencia*Coste_incidencia</f>
        <v/>
      </c>
      <c r="M61" s="118">
        <f>G61-I61-J61-K61-L61</f>
        <v/>
      </c>
      <c r="N61" s="191">
        <f>IFERROR(M61/E61,0)</f>
        <v/>
      </c>
      <c r="O61" s="118">
        <f>MAX(M61,0)</f>
        <v/>
      </c>
      <c r="P61" s="192">
        <f>IFERROR(F61/O61,0)</f>
        <v/>
      </c>
      <c r="Q61" s="193">
        <f>IF(N61&gt;=Umbral_PUSH_pct,IF(M61&gt;=Umbral_PUSH_eur,"PUSH","NEUTRAL"),IF(N61&gt;=Umbral_NEUTRAL_pct,"NEUTRAL",IF(N61&gt;=Umbral_WATCH_pct,"WATCH","NO ANUNCIAR")))</f>
        <v/>
      </c>
    </row>
    <row r="62">
      <c r="A62" s="122" t="inlineStr">
        <is>
          <t>Hevea</t>
        </is>
      </c>
      <c r="B62" s="122" t="inlineStr">
        <is>
          <t>558-0070</t>
        </is>
      </c>
      <c r="C62" s="122" t="inlineStr">
        <is>
          <t>DIVA-2 BICOLOR SOFA 2 PLAZAS/SOFA/CANAPÉ</t>
        </is>
      </c>
      <c r="D62" s="124" t="n">
        <v>709</v>
      </c>
      <c r="E62" s="124" t="n">
        <v>1125</v>
      </c>
      <c r="F62" s="124">
        <f>E62*(1+IVA)</f>
        <v/>
      </c>
      <c r="G62" s="124">
        <f>E62-D62</f>
        <v/>
      </c>
      <c r="H62" s="194">
        <f>IFERROR(G62/E62,0)</f>
        <v/>
      </c>
      <c r="I62" s="124">
        <f>F62*Comision_pago_pct+Comision_pago_fija</f>
        <v/>
      </c>
      <c r="J62" s="124">
        <f>IF(A62="Hevea",IF(F62&gt;=Hevea_umbral_envio_gratis,0,Hevea_coste_envio_bajo),Balliu_coste_envio)</f>
        <v/>
      </c>
      <c r="K62" s="124">
        <f>Tasa_devolucion*Coste_devolucion</f>
        <v/>
      </c>
      <c r="L62" s="124">
        <f>Tasa_incidencia*Coste_incidencia</f>
        <v/>
      </c>
      <c r="M62" s="124">
        <f>G62-I62-J62-K62-L62</f>
        <v/>
      </c>
      <c r="N62" s="194">
        <f>IFERROR(M62/E62,0)</f>
        <v/>
      </c>
      <c r="O62" s="124">
        <f>MAX(M62,0)</f>
        <v/>
      </c>
      <c r="P62" s="195">
        <f>IFERROR(F62/O62,0)</f>
        <v/>
      </c>
      <c r="Q62" s="196">
        <f>IF(N62&gt;=Umbral_PUSH_pct,IF(M62&gt;=Umbral_PUSH_eur,"PUSH","NEUTRAL"),IF(N62&gt;=Umbral_NEUTRAL_pct,"NEUTRAL",IF(N62&gt;=Umbral_WATCH_pct,"WATCH","NO ANUNCIAR")))</f>
        <v/>
      </c>
    </row>
    <row r="63">
      <c r="A63" s="116" t="inlineStr">
        <is>
          <t>Hevea</t>
        </is>
      </c>
      <c r="B63" s="116" t="inlineStr">
        <is>
          <t>558-0052</t>
        </is>
      </c>
      <c r="C63" s="116" t="inlineStr">
        <is>
          <t>DIVA-3 BICOLOR SOFA 3 PLAZAS/SOFA/CANAPÉ</t>
        </is>
      </c>
      <c r="D63" s="118" t="n">
        <v>876</v>
      </c>
      <c r="E63" s="118" t="n">
        <v>1390</v>
      </c>
      <c r="F63" s="118">
        <f>E63*(1+IVA)</f>
        <v/>
      </c>
      <c r="G63" s="118">
        <f>E63-D63</f>
        <v/>
      </c>
      <c r="H63" s="191">
        <f>IFERROR(G63/E63,0)</f>
        <v/>
      </c>
      <c r="I63" s="118">
        <f>F63*Comision_pago_pct+Comision_pago_fija</f>
        <v/>
      </c>
      <c r="J63" s="118">
        <f>IF(A63="Hevea",IF(F63&gt;=Hevea_umbral_envio_gratis,0,Hevea_coste_envio_bajo),Balliu_coste_envio)</f>
        <v/>
      </c>
      <c r="K63" s="118">
        <f>Tasa_devolucion*Coste_devolucion</f>
        <v/>
      </c>
      <c r="L63" s="118">
        <f>Tasa_incidencia*Coste_incidencia</f>
        <v/>
      </c>
      <c r="M63" s="118">
        <f>G63-I63-J63-K63-L63</f>
        <v/>
      </c>
      <c r="N63" s="191">
        <f>IFERROR(M63/E63,0)</f>
        <v/>
      </c>
      <c r="O63" s="118">
        <f>MAX(M63,0)</f>
        <v/>
      </c>
      <c r="P63" s="192">
        <f>IFERROR(F63/O63,0)</f>
        <v/>
      </c>
      <c r="Q63" s="193">
        <f>IF(N63&gt;=Umbral_PUSH_pct,IF(M63&gt;=Umbral_PUSH_eur,"PUSH","NEUTRAL"),IF(N63&gt;=Umbral_NEUTRAL_pct,"NEUTRAL",IF(N63&gt;=Umbral_WATCH_pct,"WATCH","NO ANUNCIAR")))</f>
        <v/>
      </c>
    </row>
    <row r="64">
      <c r="A64" s="122" t="inlineStr">
        <is>
          <t>Hevea</t>
        </is>
      </c>
      <c r="B64" s="122" t="inlineStr">
        <is>
          <t>558-0033</t>
        </is>
      </c>
      <c r="C64" s="122" t="inlineStr">
        <is>
          <t>BICOLOR MESA CENTRO 120/COFFEE TABLE/TABLE CENTRE HPL</t>
        </is>
      </c>
      <c r="D64" s="124" t="n">
        <v>372</v>
      </c>
      <c r="E64" s="124" t="n">
        <v>590</v>
      </c>
      <c r="F64" s="124">
        <f>E64*(1+IVA)</f>
        <v/>
      </c>
      <c r="G64" s="124">
        <f>E64-D64</f>
        <v/>
      </c>
      <c r="H64" s="194">
        <f>IFERROR(G64/E64,0)</f>
        <v/>
      </c>
      <c r="I64" s="124">
        <f>F64*Comision_pago_pct+Comision_pago_fija</f>
        <v/>
      </c>
      <c r="J64" s="124">
        <f>IF(A64="Hevea",IF(F64&gt;=Hevea_umbral_envio_gratis,0,Hevea_coste_envio_bajo),Balliu_coste_envio)</f>
        <v/>
      </c>
      <c r="K64" s="124">
        <f>Tasa_devolucion*Coste_devolucion</f>
        <v/>
      </c>
      <c r="L64" s="124">
        <f>Tasa_incidencia*Coste_incidencia</f>
        <v/>
      </c>
      <c r="M64" s="124">
        <f>G64-I64-J64-K64-L64</f>
        <v/>
      </c>
      <c r="N64" s="194">
        <f>IFERROR(M64/E64,0)</f>
        <v/>
      </c>
      <c r="O64" s="124">
        <f>MAX(M64,0)</f>
        <v/>
      </c>
      <c r="P64" s="195">
        <f>IFERROR(F64/O64,0)</f>
        <v/>
      </c>
      <c r="Q64" s="196">
        <f>IF(N64&gt;=Umbral_PUSH_pct,IF(M64&gt;=Umbral_PUSH_eur,"PUSH","NEUTRAL"),IF(N64&gt;=Umbral_NEUTRAL_pct,"NEUTRAL",IF(N64&gt;=Umbral_WATCH_pct,"WATCH","NO ANUNCIAR")))</f>
        <v/>
      </c>
    </row>
    <row r="65">
      <c r="A65" s="116" t="inlineStr">
        <is>
          <t>Hevea</t>
        </is>
      </c>
      <c r="B65" s="116" t="inlineStr">
        <is>
          <t>558-0039</t>
        </is>
      </c>
      <c r="C65" s="116" t="inlineStr">
        <is>
          <t>BICOLOR MESA CENTRO 135/COFFEE TABLE/TABLE CENTRE HPL</t>
        </is>
      </c>
      <c r="D65" s="118" t="n">
        <v>435</v>
      </c>
      <c r="E65" s="118" t="n">
        <v>690</v>
      </c>
      <c r="F65" s="118">
        <f>E65*(1+IVA)</f>
        <v/>
      </c>
      <c r="G65" s="118">
        <f>E65-D65</f>
        <v/>
      </c>
      <c r="H65" s="191">
        <f>IFERROR(G65/E65,0)</f>
        <v/>
      </c>
      <c r="I65" s="118">
        <f>F65*Comision_pago_pct+Comision_pago_fija</f>
        <v/>
      </c>
      <c r="J65" s="118">
        <f>IF(A65="Hevea",IF(F65&gt;=Hevea_umbral_envio_gratis,0,Hevea_coste_envio_bajo),Balliu_coste_envio)</f>
        <v/>
      </c>
      <c r="K65" s="118">
        <f>Tasa_devolucion*Coste_devolucion</f>
        <v/>
      </c>
      <c r="L65" s="118">
        <f>Tasa_incidencia*Coste_incidencia</f>
        <v/>
      </c>
      <c r="M65" s="118">
        <f>G65-I65-J65-K65-L65</f>
        <v/>
      </c>
      <c r="N65" s="191">
        <f>IFERROR(M65/E65,0)</f>
        <v/>
      </c>
      <c r="O65" s="118">
        <f>MAX(M65,0)</f>
        <v/>
      </c>
      <c r="P65" s="192">
        <f>IFERROR(F65/O65,0)</f>
        <v/>
      </c>
      <c r="Q65" s="193">
        <f>IF(N65&gt;=Umbral_PUSH_pct,IF(M65&gt;=Umbral_PUSH_eur,"PUSH","NEUTRAL"),IF(N65&gt;=Umbral_NEUTRAL_pct,"NEUTRAL",IF(N65&gt;=Umbral_WATCH_pct,"WATCH","NO ANUNCIAR")))</f>
        <v/>
      </c>
    </row>
    <row r="66">
      <c r="A66" s="122" t="inlineStr">
        <is>
          <t>Hevea</t>
        </is>
      </c>
      <c r="B66" s="122" t="inlineStr">
        <is>
          <t>558-0049</t>
        </is>
      </c>
      <c r="C66" s="122" t="inlineStr">
        <is>
          <t>BICOLOR STANDARD-55 REPOSAPIES/FOOTSTOOL/REPOSE-PIEDS</t>
        </is>
      </c>
      <c r="D66" s="124" t="n">
        <v>265</v>
      </c>
      <c r="E66" s="124" t="n">
        <v>420</v>
      </c>
      <c r="F66" s="124">
        <f>E66*(1+IVA)</f>
        <v/>
      </c>
      <c r="G66" s="124">
        <f>E66-D66</f>
        <v/>
      </c>
      <c r="H66" s="194">
        <f>IFERROR(G66/E66,0)</f>
        <v/>
      </c>
      <c r="I66" s="124">
        <f>F66*Comision_pago_pct+Comision_pago_fija</f>
        <v/>
      </c>
      <c r="J66" s="124">
        <f>IF(A66="Hevea",IF(F66&gt;=Hevea_umbral_envio_gratis,0,Hevea_coste_envio_bajo),Balliu_coste_envio)</f>
        <v/>
      </c>
      <c r="K66" s="124">
        <f>Tasa_devolucion*Coste_devolucion</f>
        <v/>
      </c>
      <c r="L66" s="124">
        <f>Tasa_incidencia*Coste_incidencia</f>
        <v/>
      </c>
      <c r="M66" s="124">
        <f>G66-I66-J66-K66-L66</f>
        <v/>
      </c>
      <c r="N66" s="194">
        <f>IFERROR(M66/E66,0)</f>
        <v/>
      </c>
      <c r="O66" s="124">
        <f>MAX(M66,0)</f>
        <v/>
      </c>
      <c r="P66" s="195">
        <f>IFERROR(F66/O66,0)</f>
        <v/>
      </c>
      <c r="Q66" s="196">
        <f>IF(N66&gt;=Umbral_PUSH_pct,IF(M66&gt;=Umbral_PUSH_eur,"PUSH","NEUTRAL"),IF(N66&gt;=Umbral_NEUTRAL_pct,"NEUTRAL",IF(N66&gt;=Umbral_WATCH_pct,"WATCH","NO ANUNCIAR")))</f>
        <v/>
      </c>
    </row>
    <row r="67">
      <c r="A67" s="116" t="inlineStr">
        <is>
          <t>Hevea</t>
        </is>
      </c>
      <c r="B67" s="116" t="inlineStr">
        <is>
          <t>558-0066</t>
        </is>
      </c>
      <c r="C67" s="116" t="inlineStr">
        <is>
          <t>DIVA-7 BICOLOR SET SOFA 2 PLAZAS/SOFA/CANAPÉ</t>
        </is>
      </c>
      <c r="D67" s="118" t="n">
        <v>2064</v>
      </c>
      <c r="E67" s="118" t="n">
        <v>3275</v>
      </c>
      <c r="F67" s="118">
        <f>E67*(1+IVA)</f>
        <v/>
      </c>
      <c r="G67" s="118">
        <f>E67-D67</f>
        <v/>
      </c>
      <c r="H67" s="191">
        <f>IFERROR(G67/E67,0)</f>
        <v/>
      </c>
      <c r="I67" s="118">
        <f>F67*Comision_pago_pct+Comision_pago_fija</f>
        <v/>
      </c>
      <c r="J67" s="118">
        <f>IF(A67="Hevea",IF(F67&gt;=Hevea_umbral_envio_gratis,0,Hevea_coste_envio_bajo),Balliu_coste_envio)</f>
        <v/>
      </c>
      <c r="K67" s="118">
        <f>Tasa_devolucion*Coste_devolucion</f>
        <v/>
      </c>
      <c r="L67" s="118">
        <f>Tasa_incidencia*Coste_incidencia</f>
        <v/>
      </c>
      <c r="M67" s="118">
        <f>G67-I67-J67-K67-L67</f>
        <v/>
      </c>
      <c r="N67" s="191">
        <f>IFERROR(M67/E67,0)</f>
        <v/>
      </c>
      <c r="O67" s="118">
        <f>MAX(M67,0)</f>
        <v/>
      </c>
      <c r="P67" s="192">
        <f>IFERROR(F67/O67,0)</f>
        <v/>
      </c>
      <c r="Q67" s="193">
        <f>IF(N67&gt;=Umbral_PUSH_pct,IF(M67&gt;=Umbral_PUSH_eur,"PUSH","NEUTRAL"),IF(N67&gt;=Umbral_NEUTRAL_pct,"NEUTRAL",IF(N67&gt;=Umbral_WATCH_pct,"WATCH","NO ANUNCIAR")))</f>
        <v/>
      </c>
    </row>
    <row r="68">
      <c r="A68" s="122" t="inlineStr">
        <is>
          <t>Hevea</t>
        </is>
      </c>
      <c r="B68" s="122" t="inlineStr">
        <is>
          <t>558-0050</t>
        </is>
      </c>
      <c r="C68" s="122" t="inlineStr">
        <is>
          <t>DIVA-8 BICOLOR SET SOFA 3 PLAZAS/SOFA/CANAPÉ</t>
        </is>
      </c>
      <c r="D68" s="124" t="n">
        <v>2294</v>
      </c>
      <c r="E68" s="124" t="n">
        <v>3640</v>
      </c>
      <c r="F68" s="124">
        <f>E68*(1+IVA)</f>
        <v/>
      </c>
      <c r="G68" s="124">
        <f>E68-D68</f>
        <v/>
      </c>
      <c r="H68" s="194">
        <f>IFERROR(G68/E68,0)</f>
        <v/>
      </c>
      <c r="I68" s="124">
        <f>F68*Comision_pago_pct+Comision_pago_fija</f>
        <v/>
      </c>
      <c r="J68" s="124">
        <f>IF(A68="Hevea",IF(F68&gt;=Hevea_umbral_envio_gratis,0,Hevea_coste_envio_bajo),Balliu_coste_envio)</f>
        <v/>
      </c>
      <c r="K68" s="124">
        <f>Tasa_devolucion*Coste_devolucion</f>
        <v/>
      </c>
      <c r="L68" s="124">
        <f>Tasa_incidencia*Coste_incidencia</f>
        <v/>
      </c>
      <c r="M68" s="124">
        <f>G68-I68-J68-K68-L68</f>
        <v/>
      </c>
      <c r="N68" s="194">
        <f>IFERROR(M68/E68,0)</f>
        <v/>
      </c>
      <c r="O68" s="124">
        <f>MAX(M68,0)</f>
        <v/>
      </c>
      <c r="P68" s="195">
        <f>IFERROR(F68/O68,0)</f>
        <v/>
      </c>
      <c r="Q68" s="196">
        <f>IF(N68&gt;=Umbral_PUSH_pct,IF(M68&gt;=Umbral_PUSH_eur,"PUSH","NEUTRAL"),IF(N68&gt;=Umbral_NEUTRAL_pct,"NEUTRAL",IF(N68&gt;=Umbral_WATCH_pct,"WATCH","NO ANUNCIAR")))</f>
        <v/>
      </c>
    </row>
    <row r="69">
      <c r="A69" s="116" t="inlineStr">
        <is>
          <t>Hevea</t>
        </is>
      </c>
      <c r="B69" s="116" t="inlineStr">
        <is>
          <t>557-010716</t>
        </is>
      </c>
      <c r="C69" s="116" t="inlineStr">
        <is>
          <t>LEISA-1 SILLON/ARMCHAIR/FAUTEUIL</t>
        </is>
      </c>
      <c r="D69" s="118" t="n">
        <v>334</v>
      </c>
      <c r="E69" s="118" t="n">
        <v>530</v>
      </c>
      <c r="F69" s="118">
        <f>E69*(1+IVA)</f>
        <v/>
      </c>
      <c r="G69" s="118">
        <f>E69-D69</f>
        <v/>
      </c>
      <c r="H69" s="191">
        <f>IFERROR(G69/E69,0)</f>
        <v/>
      </c>
      <c r="I69" s="118">
        <f>F69*Comision_pago_pct+Comision_pago_fija</f>
        <v/>
      </c>
      <c r="J69" s="118">
        <f>IF(A69="Hevea",IF(F69&gt;=Hevea_umbral_envio_gratis,0,Hevea_coste_envio_bajo),Balliu_coste_envio)</f>
        <v/>
      </c>
      <c r="K69" s="118">
        <f>Tasa_devolucion*Coste_devolucion</f>
        <v/>
      </c>
      <c r="L69" s="118">
        <f>Tasa_incidencia*Coste_incidencia</f>
        <v/>
      </c>
      <c r="M69" s="118">
        <f>G69-I69-J69-K69-L69</f>
        <v/>
      </c>
      <c r="N69" s="191">
        <f>IFERROR(M69/E69,0)</f>
        <v/>
      </c>
      <c r="O69" s="118">
        <f>MAX(M69,0)</f>
        <v/>
      </c>
      <c r="P69" s="192">
        <f>IFERROR(F69/O69,0)</f>
        <v/>
      </c>
      <c r="Q69" s="193">
        <f>IF(N69&gt;=Umbral_PUSH_pct,IF(M69&gt;=Umbral_PUSH_eur,"PUSH","NEUTRAL"),IF(N69&gt;=Umbral_NEUTRAL_pct,"NEUTRAL",IF(N69&gt;=Umbral_WATCH_pct,"WATCH","NO ANUNCIAR")))</f>
        <v/>
      </c>
    </row>
    <row r="70">
      <c r="A70" s="122" t="inlineStr">
        <is>
          <t>Hevea</t>
        </is>
      </c>
      <c r="B70" s="122" t="inlineStr">
        <is>
          <t>557-010717</t>
        </is>
      </c>
      <c r="C70" s="122" t="inlineStr">
        <is>
          <t>LEISA-2 SOFA 2 PLAZAS/SOFA/CANAPÉ</t>
        </is>
      </c>
      <c r="D70" s="124" t="n">
        <v>473</v>
      </c>
      <c r="E70" s="124" t="n">
        <v>750</v>
      </c>
      <c r="F70" s="124">
        <f>E70*(1+IVA)</f>
        <v/>
      </c>
      <c r="G70" s="124">
        <f>E70-D70</f>
        <v/>
      </c>
      <c r="H70" s="194">
        <f>IFERROR(G70/E70,0)</f>
        <v/>
      </c>
      <c r="I70" s="124">
        <f>F70*Comision_pago_pct+Comision_pago_fija</f>
        <v/>
      </c>
      <c r="J70" s="124">
        <f>IF(A70="Hevea",IF(F70&gt;=Hevea_umbral_envio_gratis,0,Hevea_coste_envio_bajo),Balliu_coste_envio)</f>
        <v/>
      </c>
      <c r="K70" s="124">
        <f>Tasa_devolucion*Coste_devolucion</f>
        <v/>
      </c>
      <c r="L70" s="124">
        <f>Tasa_incidencia*Coste_incidencia</f>
        <v/>
      </c>
      <c r="M70" s="124">
        <f>G70-I70-J70-K70-L70</f>
        <v/>
      </c>
      <c r="N70" s="194">
        <f>IFERROR(M70/E70,0)</f>
        <v/>
      </c>
      <c r="O70" s="124">
        <f>MAX(M70,0)</f>
        <v/>
      </c>
      <c r="P70" s="195">
        <f>IFERROR(F70/O70,0)</f>
        <v/>
      </c>
      <c r="Q70" s="196">
        <f>IF(N70&gt;=Umbral_PUSH_pct,IF(M70&gt;=Umbral_PUSH_eur,"PUSH","NEUTRAL"),IF(N70&gt;=Umbral_NEUTRAL_pct,"NEUTRAL",IF(N70&gt;=Umbral_WATCH_pct,"WATCH","NO ANUNCIAR")))</f>
        <v/>
      </c>
    </row>
    <row r="71">
      <c r="A71" s="116" t="inlineStr">
        <is>
          <t>Hevea</t>
        </is>
      </c>
      <c r="B71" s="116" t="inlineStr">
        <is>
          <t>557-010718</t>
        </is>
      </c>
      <c r="C71" s="116" t="inlineStr">
        <is>
          <t>LEISA-3 SOFA 3 PLAZAS/SOFA/CANAPÉ</t>
        </is>
      </c>
      <c r="D71" s="118" t="n">
        <v>612</v>
      </c>
      <c r="E71" s="118" t="n">
        <v>970</v>
      </c>
      <c r="F71" s="118">
        <f>E71*(1+IVA)</f>
        <v/>
      </c>
      <c r="G71" s="118">
        <f>E71-D71</f>
        <v/>
      </c>
      <c r="H71" s="191">
        <f>IFERROR(G71/E71,0)</f>
        <v/>
      </c>
      <c r="I71" s="118">
        <f>F71*Comision_pago_pct+Comision_pago_fija</f>
        <v/>
      </c>
      <c r="J71" s="118">
        <f>IF(A71="Hevea",IF(F71&gt;=Hevea_umbral_envio_gratis,0,Hevea_coste_envio_bajo),Balliu_coste_envio)</f>
        <v/>
      </c>
      <c r="K71" s="118">
        <f>Tasa_devolucion*Coste_devolucion</f>
        <v/>
      </c>
      <c r="L71" s="118">
        <f>Tasa_incidencia*Coste_incidencia</f>
        <v/>
      </c>
      <c r="M71" s="118">
        <f>G71-I71-J71-K71-L71</f>
        <v/>
      </c>
      <c r="N71" s="191">
        <f>IFERROR(M71/E71,0)</f>
        <v/>
      </c>
      <c r="O71" s="118">
        <f>MAX(M71,0)</f>
        <v/>
      </c>
      <c r="P71" s="192">
        <f>IFERROR(F71/O71,0)</f>
        <v/>
      </c>
      <c r="Q71" s="193">
        <f>IF(N71&gt;=Umbral_PUSH_pct,IF(M71&gt;=Umbral_PUSH_eur,"PUSH","NEUTRAL"),IF(N71&gt;=Umbral_NEUTRAL_pct,"NEUTRAL",IF(N71&gt;=Umbral_WATCH_pct,"WATCH","NO ANUNCIAR")))</f>
        <v/>
      </c>
    </row>
    <row r="72">
      <c r="A72" s="122" t="inlineStr">
        <is>
          <t>Hevea</t>
        </is>
      </c>
      <c r="B72" s="122" t="inlineStr">
        <is>
          <t>557-010719</t>
        </is>
      </c>
      <c r="C72" s="122" t="inlineStr">
        <is>
          <t>LEISA-7 SET SOFA 2 PLAZAS/SOFA/CANAPÉ</t>
        </is>
      </c>
      <c r="D72" s="124" t="n">
        <v>1320</v>
      </c>
      <c r="E72" s="124" t="n">
        <v>2095</v>
      </c>
      <c r="F72" s="124">
        <f>E72*(1+IVA)</f>
        <v/>
      </c>
      <c r="G72" s="124">
        <f>E72-D72</f>
        <v/>
      </c>
      <c r="H72" s="194">
        <f>IFERROR(G72/E72,0)</f>
        <v/>
      </c>
      <c r="I72" s="124">
        <f>F72*Comision_pago_pct+Comision_pago_fija</f>
        <v/>
      </c>
      <c r="J72" s="124">
        <f>IF(A72="Hevea",IF(F72&gt;=Hevea_umbral_envio_gratis,0,Hevea_coste_envio_bajo),Balliu_coste_envio)</f>
        <v/>
      </c>
      <c r="K72" s="124">
        <f>Tasa_devolucion*Coste_devolucion</f>
        <v/>
      </c>
      <c r="L72" s="124">
        <f>Tasa_incidencia*Coste_incidencia</f>
        <v/>
      </c>
      <c r="M72" s="124">
        <f>G72-I72-J72-K72-L72</f>
        <v/>
      </c>
      <c r="N72" s="194">
        <f>IFERROR(M72/E72,0)</f>
        <v/>
      </c>
      <c r="O72" s="124">
        <f>MAX(M72,0)</f>
        <v/>
      </c>
      <c r="P72" s="195">
        <f>IFERROR(F72/O72,0)</f>
        <v/>
      </c>
      <c r="Q72" s="196">
        <f>IF(N72&gt;=Umbral_PUSH_pct,IF(M72&gt;=Umbral_PUSH_eur,"PUSH","NEUTRAL"),IF(N72&gt;=Umbral_NEUTRAL_pct,"NEUTRAL",IF(N72&gt;=Umbral_WATCH_pct,"WATCH","NO ANUNCIAR")))</f>
        <v/>
      </c>
    </row>
    <row r="73">
      <c r="A73" s="116" t="inlineStr">
        <is>
          <t>Hevea</t>
        </is>
      </c>
      <c r="B73" s="116" t="inlineStr">
        <is>
          <t>557-010720</t>
        </is>
      </c>
      <c r="C73" s="116" t="inlineStr">
        <is>
          <t>LEISA-8 SET SOFA 3 PLAZAS/SOFA/CANAPÉ</t>
        </is>
      </c>
      <c r="D73" s="118" t="n">
        <v>1509</v>
      </c>
      <c r="E73" s="118" t="n">
        <v>2395</v>
      </c>
      <c r="F73" s="118">
        <f>E73*(1+IVA)</f>
        <v/>
      </c>
      <c r="G73" s="118">
        <f>E73-D73</f>
        <v/>
      </c>
      <c r="H73" s="191">
        <f>IFERROR(G73/E73,0)</f>
        <v/>
      </c>
      <c r="I73" s="118">
        <f>F73*Comision_pago_pct+Comision_pago_fija</f>
        <v/>
      </c>
      <c r="J73" s="118">
        <f>IF(A73="Hevea",IF(F73&gt;=Hevea_umbral_envio_gratis,0,Hevea_coste_envio_bajo),Balliu_coste_envio)</f>
        <v/>
      </c>
      <c r="K73" s="118">
        <f>Tasa_devolucion*Coste_devolucion</f>
        <v/>
      </c>
      <c r="L73" s="118">
        <f>Tasa_incidencia*Coste_incidencia</f>
        <v/>
      </c>
      <c r="M73" s="118">
        <f>G73-I73-J73-K73-L73</f>
        <v/>
      </c>
      <c r="N73" s="191">
        <f>IFERROR(M73/E73,0)</f>
        <v/>
      </c>
      <c r="O73" s="118">
        <f>MAX(M73,0)</f>
        <v/>
      </c>
      <c r="P73" s="192">
        <f>IFERROR(F73/O73,0)</f>
        <v/>
      </c>
      <c r="Q73" s="193">
        <f>IF(N73&gt;=Umbral_PUSH_pct,IF(M73&gt;=Umbral_PUSH_eur,"PUSH","NEUTRAL"),IF(N73&gt;=Umbral_NEUTRAL_pct,"NEUTRAL",IF(N73&gt;=Umbral_WATCH_pct,"WATCH","NO ANUNCIAR")))</f>
        <v/>
      </c>
    </row>
    <row r="74">
      <c r="A74" s="122" t="inlineStr">
        <is>
          <t>Hevea</t>
        </is>
      </c>
      <c r="B74" s="122" t="inlineStr">
        <is>
          <t>557-010103</t>
        </is>
      </c>
      <c r="C74" s="122" t="inlineStr">
        <is>
          <t>DOUNVIL-1 SILLON</t>
        </is>
      </c>
      <c r="D74" s="124" t="n">
        <v>303</v>
      </c>
      <c r="E74" s="124" t="n">
        <v>480</v>
      </c>
      <c r="F74" s="124">
        <f>E74*(1+IVA)</f>
        <v/>
      </c>
      <c r="G74" s="124">
        <f>E74-D74</f>
        <v/>
      </c>
      <c r="H74" s="194">
        <f>IFERROR(G74/E74,0)</f>
        <v/>
      </c>
      <c r="I74" s="124">
        <f>F74*Comision_pago_pct+Comision_pago_fija</f>
        <v/>
      </c>
      <c r="J74" s="124">
        <f>IF(A74="Hevea",IF(F74&gt;=Hevea_umbral_envio_gratis,0,Hevea_coste_envio_bajo),Balliu_coste_envio)</f>
        <v/>
      </c>
      <c r="K74" s="124">
        <f>Tasa_devolucion*Coste_devolucion</f>
        <v/>
      </c>
      <c r="L74" s="124">
        <f>Tasa_incidencia*Coste_incidencia</f>
        <v/>
      </c>
      <c r="M74" s="124">
        <f>G74-I74-J74-K74-L74</f>
        <v/>
      </c>
      <c r="N74" s="194">
        <f>IFERROR(M74/E74,0)</f>
        <v/>
      </c>
      <c r="O74" s="124">
        <f>MAX(M74,0)</f>
        <v/>
      </c>
      <c r="P74" s="195">
        <f>IFERROR(F74/O74,0)</f>
        <v/>
      </c>
      <c r="Q74" s="196">
        <f>IF(N74&gt;=Umbral_PUSH_pct,IF(M74&gt;=Umbral_PUSH_eur,"PUSH","NEUTRAL"),IF(N74&gt;=Umbral_NEUTRAL_pct,"NEUTRAL",IF(N74&gt;=Umbral_WATCH_pct,"WATCH","NO ANUNCIAR")))</f>
        <v/>
      </c>
    </row>
    <row r="75">
      <c r="A75" s="116" t="inlineStr">
        <is>
          <t>Hevea</t>
        </is>
      </c>
      <c r="B75" s="116" t="inlineStr">
        <is>
          <t>557-010104</t>
        </is>
      </c>
      <c r="C75" s="116" t="inlineStr">
        <is>
          <t>DOUNVIL-2 SOFA 2 PLAZAS</t>
        </is>
      </c>
      <c r="D75" s="118" t="n">
        <v>473</v>
      </c>
      <c r="E75" s="118" t="n">
        <v>750</v>
      </c>
      <c r="F75" s="118">
        <f>E75*(1+IVA)</f>
        <v/>
      </c>
      <c r="G75" s="118">
        <f>E75-D75</f>
        <v/>
      </c>
      <c r="H75" s="191">
        <f>IFERROR(G75/E75,0)</f>
        <v/>
      </c>
      <c r="I75" s="118">
        <f>F75*Comision_pago_pct+Comision_pago_fija</f>
        <v/>
      </c>
      <c r="J75" s="118">
        <f>IF(A75="Hevea",IF(F75&gt;=Hevea_umbral_envio_gratis,0,Hevea_coste_envio_bajo),Balliu_coste_envio)</f>
        <v/>
      </c>
      <c r="K75" s="118">
        <f>Tasa_devolucion*Coste_devolucion</f>
        <v/>
      </c>
      <c r="L75" s="118">
        <f>Tasa_incidencia*Coste_incidencia</f>
        <v/>
      </c>
      <c r="M75" s="118">
        <f>G75-I75-J75-K75-L75</f>
        <v/>
      </c>
      <c r="N75" s="191">
        <f>IFERROR(M75/E75,0)</f>
        <v/>
      </c>
      <c r="O75" s="118">
        <f>MAX(M75,0)</f>
        <v/>
      </c>
      <c r="P75" s="192">
        <f>IFERROR(F75/O75,0)</f>
        <v/>
      </c>
      <c r="Q75" s="193">
        <f>IF(N75&gt;=Umbral_PUSH_pct,IF(M75&gt;=Umbral_PUSH_eur,"PUSH","NEUTRAL"),IF(N75&gt;=Umbral_NEUTRAL_pct,"NEUTRAL",IF(N75&gt;=Umbral_WATCH_pct,"WATCH","NO ANUNCIAR")))</f>
        <v/>
      </c>
    </row>
    <row r="76">
      <c r="A76" s="122" t="inlineStr">
        <is>
          <t>Hevea</t>
        </is>
      </c>
      <c r="B76" s="122" t="inlineStr">
        <is>
          <t>557-010105</t>
        </is>
      </c>
      <c r="C76" s="122" t="inlineStr">
        <is>
          <t>DOUNVIL-3 SOFA 3 PLAZAS</t>
        </is>
      </c>
      <c r="D76" s="124" t="n">
        <v>612</v>
      </c>
      <c r="E76" s="124" t="n">
        <v>970</v>
      </c>
      <c r="F76" s="124">
        <f>E76*(1+IVA)</f>
        <v/>
      </c>
      <c r="G76" s="124">
        <f>E76-D76</f>
        <v/>
      </c>
      <c r="H76" s="194">
        <f>IFERROR(G76/E76,0)</f>
        <v/>
      </c>
      <c r="I76" s="124">
        <f>F76*Comision_pago_pct+Comision_pago_fija</f>
        <v/>
      </c>
      <c r="J76" s="124">
        <f>IF(A76="Hevea",IF(F76&gt;=Hevea_umbral_envio_gratis,0,Hevea_coste_envio_bajo),Balliu_coste_envio)</f>
        <v/>
      </c>
      <c r="K76" s="124">
        <f>Tasa_devolucion*Coste_devolucion</f>
        <v/>
      </c>
      <c r="L76" s="124">
        <f>Tasa_incidencia*Coste_incidencia</f>
        <v/>
      </c>
      <c r="M76" s="124">
        <f>G76-I76-J76-K76-L76</f>
        <v/>
      </c>
      <c r="N76" s="194">
        <f>IFERROR(M76/E76,0)</f>
        <v/>
      </c>
      <c r="O76" s="124">
        <f>MAX(M76,0)</f>
        <v/>
      </c>
      <c r="P76" s="195">
        <f>IFERROR(F76/O76,0)</f>
        <v/>
      </c>
      <c r="Q76" s="196">
        <f>IF(N76&gt;=Umbral_PUSH_pct,IF(M76&gt;=Umbral_PUSH_eur,"PUSH","NEUTRAL"),IF(N76&gt;=Umbral_NEUTRAL_pct,"NEUTRAL",IF(N76&gt;=Umbral_WATCH_pct,"WATCH","NO ANUNCIAR")))</f>
        <v/>
      </c>
    </row>
    <row r="77">
      <c r="A77" s="116" t="inlineStr">
        <is>
          <t>Hevea</t>
        </is>
      </c>
      <c r="B77" s="116" t="inlineStr">
        <is>
          <t>557-010106</t>
        </is>
      </c>
      <c r="C77" s="116" t="inlineStr">
        <is>
          <t>DOUNVIL-7 SET SOFA 2 PLAZAS</t>
        </is>
      </c>
      <c r="D77" s="118" t="n">
        <v>1251</v>
      </c>
      <c r="E77" s="118" t="n">
        <v>1985</v>
      </c>
      <c r="F77" s="118">
        <f>E77*(1+IVA)</f>
        <v/>
      </c>
      <c r="G77" s="118">
        <f>E77-D77</f>
        <v/>
      </c>
      <c r="H77" s="191">
        <f>IFERROR(G77/E77,0)</f>
        <v/>
      </c>
      <c r="I77" s="118">
        <f>F77*Comision_pago_pct+Comision_pago_fija</f>
        <v/>
      </c>
      <c r="J77" s="118">
        <f>IF(A77="Hevea",IF(F77&gt;=Hevea_umbral_envio_gratis,0,Hevea_coste_envio_bajo),Balliu_coste_envio)</f>
        <v/>
      </c>
      <c r="K77" s="118">
        <f>Tasa_devolucion*Coste_devolucion</f>
        <v/>
      </c>
      <c r="L77" s="118">
        <f>Tasa_incidencia*Coste_incidencia</f>
        <v/>
      </c>
      <c r="M77" s="118">
        <f>G77-I77-J77-K77-L77</f>
        <v/>
      </c>
      <c r="N77" s="191">
        <f>IFERROR(M77/E77,0)</f>
        <v/>
      </c>
      <c r="O77" s="118">
        <f>MAX(M77,0)</f>
        <v/>
      </c>
      <c r="P77" s="192">
        <f>IFERROR(F77/O77,0)</f>
        <v/>
      </c>
      <c r="Q77" s="193">
        <f>IF(N77&gt;=Umbral_PUSH_pct,IF(M77&gt;=Umbral_PUSH_eur,"PUSH","NEUTRAL"),IF(N77&gt;=Umbral_NEUTRAL_pct,"NEUTRAL",IF(N77&gt;=Umbral_WATCH_pct,"WATCH","NO ANUNCIAR")))</f>
        <v/>
      </c>
    </row>
    <row r="78">
      <c r="A78" s="122" t="inlineStr">
        <is>
          <t>Hevea</t>
        </is>
      </c>
      <c r="B78" s="122" t="inlineStr">
        <is>
          <t>557-010107</t>
        </is>
      </c>
      <c r="C78" s="122" t="inlineStr">
        <is>
          <t>DOUNVIL-8 SET SOFA 3 PLAZAS</t>
        </is>
      </c>
      <c r="D78" s="124" t="n">
        <v>1446</v>
      </c>
      <c r="E78" s="124" t="n">
        <v>2295</v>
      </c>
      <c r="F78" s="124">
        <f>E78*(1+IVA)</f>
        <v/>
      </c>
      <c r="G78" s="124">
        <f>E78-D78</f>
        <v/>
      </c>
      <c r="H78" s="194">
        <f>IFERROR(G78/E78,0)</f>
        <v/>
      </c>
      <c r="I78" s="124">
        <f>F78*Comision_pago_pct+Comision_pago_fija</f>
        <v/>
      </c>
      <c r="J78" s="124">
        <f>IF(A78="Hevea",IF(F78&gt;=Hevea_umbral_envio_gratis,0,Hevea_coste_envio_bajo),Balliu_coste_envio)</f>
        <v/>
      </c>
      <c r="K78" s="124">
        <f>Tasa_devolucion*Coste_devolucion</f>
        <v/>
      </c>
      <c r="L78" s="124">
        <f>Tasa_incidencia*Coste_incidencia</f>
        <v/>
      </c>
      <c r="M78" s="124">
        <f>G78-I78-J78-K78-L78</f>
        <v/>
      </c>
      <c r="N78" s="194">
        <f>IFERROR(M78/E78,0)</f>
        <v/>
      </c>
      <c r="O78" s="124">
        <f>MAX(M78,0)</f>
        <v/>
      </c>
      <c r="P78" s="195">
        <f>IFERROR(F78/O78,0)</f>
        <v/>
      </c>
      <c r="Q78" s="196">
        <f>IF(N78&gt;=Umbral_PUSH_pct,IF(M78&gt;=Umbral_PUSH_eur,"PUSH","NEUTRAL"),IF(N78&gt;=Umbral_NEUTRAL_pct,"NEUTRAL",IF(N78&gt;=Umbral_WATCH_pct,"WATCH","NO ANUNCIAR")))</f>
        <v/>
      </c>
    </row>
    <row r="79">
      <c r="A79" s="116" t="inlineStr">
        <is>
          <t>Hevea</t>
        </is>
      </c>
      <c r="B79" s="116" t="inlineStr">
        <is>
          <t>557-1070</t>
        </is>
      </c>
      <c r="C79" s="116" t="inlineStr">
        <is>
          <t>MESA CENTRO 90</t>
        </is>
      </c>
      <c r="D79" s="118" t="n">
        <v>174</v>
      </c>
      <c r="E79" s="118" t="n">
        <v>275</v>
      </c>
      <c r="F79" s="118">
        <f>E79*(1+IVA)</f>
        <v/>
      </c>
      <c r="G79" s="118">
        <f>E79-D79</f>
        <v/>
      </c>
      <c r="H79" s="191">
        <f>IFERROR(G79/E79,0)</f>
        <v/>
      </c>
      <c r="I79" s="118">
        <f>F79*Comision_pago_pct+Comision_pago_fija</f>
        <v/>
      </c>
      <c r="J79" s="118">
        <f>IF(A79="Hevea",IF(F79&gt;=Hevea_umbral_envio_gratis,0,Hevea_coste_envio_bajo),Balliu_coste_envio)</f>
        <v/>
      </c>
      <c r="K79" s="118">
        <f>Tasa_devolucion*Coste_devolucion</f>
        <v/>
      </c>
      <c r="L79" s="118">
        <f>Tasa_incidencia*Coste_incidencia</f>
        <v/>
      </c>
      <c r="M79" s="118">
        <f>G79-I79-J79-K79-L79</f>
        <v/>
      </c>
      <c r="N79" s="191">
        <f>IFERROR(M79/E79,0)</f>
        <v/>
      </c>
      <c r="O79" s="118">
        <f>MAX(M79,0)</f>
        <v/>
      </c>
      <c r="P79" s="192">
        <f>IFERROR(F79/O79,0)</f>
        <v/>
      </c>
      <c r="Q79" s="193">
        <f>IF(N79&gt;=Umbral_PUSH_pct,IF(M79&gt;=Umbral_PUSH_eur,"PUSH","NEUTRAL"),IF(N79&gt;=Umbral_NEUTRAL_pct,"NEUTRAL",IF(N79&gt;=Umbral_WATCH_pct,"WATCH","NO ANUNCIAR")))</f>
        <v/>
      </c>
    </row>
    <row r="80">
      <c r="A80" s="122" t="inlineStr">
        <is>
          <t>Hevea</t>
        </is>
      </c>
      <c r="B80" s="122" t="inlineStr">
        <is>
          <t>557-1563</t>
        </is>
      </c>
      <c r="C80" s="122" t="inlineStr">
        <is>
          <t>MESA CENTRO 120</t>
        </is>
      </c>
      <c r="D80" s="124" t="n">
        <v>230</v>
      </c>
      <c r="E80" s="124" t="n">
        <v>365</v>
      </c>
      <c r="F80" s="124">
        <f>E80*(1+IVA)</f>
        <v/>
      </c>
      <c r="G80" s="124">
        <f>E80-D80</f>
        <v/>
      </c>
      <c r="H80" s="194">
        <f>IFERROR(G80/E80,0)</f>
        <v/>
      </c>
      <c r="I80" s="124">
        <f>F80*Comision_pago_pct+Comision_pago_fija</f>
        <v/>
      </c>
      <c r="J80" s="124">
        <f>IF(A80="Hevea",IF(F80&gt;=Hevea_umbral_envio_gratis,0,Hevea_coste_envio_bajo),Balliu_coste_envio)</f>
        <v/>
      </c>
      <c r="K80" s="124">
        <f>Tasa_devolucion*Coste_devolucion</f>
        <v/>
      </c>
      <c r="L80" s="124">
        <f>Tasa_incidencia*Coste_incidencia</f>
        <v/>
      </c>
      <c r="M80" s="124">
        <f>G80-I80-J80-K80-L80</f>
        <v/>
      </c>
      <c r="N80" s="194">
        <f>IFERROR(M80/E80,0)</f>
        <v/>
      </c>
      <c r="O80" s="124">
        <f>MAX(M80,0)</f>
        <v/>
      </c>
      <c r="P80" s="195">
        <f>IFERROR(F80/O80,0)</f>
        <v/>
      </c>
      <c r="Q80" s="196">
        <f>IF(N80&gt;=Umbral_PUSH_pct,IF(M80&gt;=Umbral_PUSH_eur,"PUSH","NEUTRAL"),IF(N80&gt;=Umbral_NEUTRAL_pct,"NEUTRAL",IF(N80&gt;=Umbral_WATCH_pct,"WATCH","NO ANUNCIAR")))</f>
        <v/>
      </c>
    </row>
    <row r="81">
      <c r="A81" s="116" t="inlineStr">
        <is>
          <t>Hevea</t>
        </is>
      </c>
      <c r="B81" s="116" t="inlineStr">
        <is>
          <t>557-0794</t>
        </is>
      </c>
      <c r="C81" s="116" t="inlineStr">
        <is>
          <t>HASTON-1 SILLÓN / ARMCHAIR / FAUTEUIL</t>
        </is>
      </c>
      <c r="D81" s="118" t="n">
        <v>290</v>
      </c>
      <c r="E81" s="118" t="n">
        <v>460</v>
      </c>
      <c r="F81" s="118">
        <f>E81*(1+IVA)</f>
        <v/>
      </c>
      <c r="G81" s="118">
        <f>E81-D81</f>
        <v/>
      </c>
      <c r="H81" s="191">
        <f>IFERROR(G81/E81,0)</f>
        <v/>
      </c>
      <c r="I81" s="118">
        <f>F81*Comision_pago_pct+Comision_pago_fija</f>
        <v/>
      </c>
      <c r="J81" s="118">
        <f>IF(A81="Hevea",IF(F81&gt;=Hevea_umbral_envio_gratis,0,Hevea_coste_envio_bajo),Balliu_coste_envio)</f>
        <v/>
      </c>
      <c r="K81" s="118">
        <f>Tasa_devolucion*Coste_devolucion</f>
        <v/>
      </c>
      <c r="L81" s="118">
        <f>Tasa_incidencia*Coste_incidencia</f>
        <v/>
      </c>
      <c r="M81" s="118">
        <f>G81-I81-J81-K81-L81</f>
        <v/>
      </c>
      <c r="N81" s="191">
        <f>IFERROR(M81/E81,0)</f>
        <v/>
      </c>
      <c r="O81" s="118">
        <f>MAX(M81,0)</f>
        <v/>
      </c>
      <c r="P81" s="192">
        <f>IFERROR(F81/O81,0)</f>
        <v/>
      </c>
      <c r="Q81" s="193">
        <f>IF(N81&gt;=Umbral_PUSH_pct,IF(M81&gt;=Umbral_PUSH_eur,"PUSH","NEUTRAL"),IF(N81&gt;=Umbral_NEUTRAL_pct,"NEUTRAL",IF(N81&gt;=Umbral_WATCH_pct,"WATCH","NO ANUNCIAR")))</f>
        <v/>
      </c>
    </row>
    <row r="82">
      <c r="A82" s="122" t="inlineStr">
        <is>
          <t>Hevea</t>
        </is>
      </c>
      <c r="B82" s="122" t="inlineStr">
        <is>
          <t>557-0795</t>
        </is>
      </c>
      <c r="C82" s="122" t="inlineStr">
        <is>
          <t>HASTON-2 SOFÁ 2 PLAZAS / 2 SEATER SOFA / CANAPÉ 2 PLACES</t>
        </is>
      </c>
      <c r="D82" s="124" t="n">
        <v>473</v>
      </c>
      <c r="E82" s="124" t="n">
        <v>750</v>
      </c>
      <c r="F82" s="124">
        <f>E82*(1+IVA)</f>
        <v/>
      </c>
      <c r="G82" s="124">
        <f>E82-D82</f>
        <v/>
      </c>
      <c r="H82" s="194">
        <f>IFERROR(G82/E82,0)</f>
        <v/>
      </c>
      <c r="I82" s="124">
        <f>F82*Comision_pago_pct+Comision_pago_fija</f>
        <v/>
      </c>
      <c r="J82" s="124">
        <f>IF(A82="Hevea",IF(F82&gt;=Hevea_umbral_envio_gratis,0,Hevea_coste_envio_bajo),Balliu_coste_envio)</f>
        <v/>
      </c>
      <c r="K82" s="124">
        <f>Tasa_devolucion*Coste_devolucion</f>
        <v/>
      </c>
      <c r="L82" s="124">
        <f>Tasa_incidencia*Coste_incidencia</f>
        <v/>
      </c>
      <c r="M82" s="124">
        <f>G82-I82-J82-K82-L82</f>
        <v/>
      </c>
      <c r="N82" s="194">
        <f>IFERROR(M82/E82,0)</f>
        <v/>
      </c>
      <c r="O82" s="124">
        <f>MAX(M82,0)</f>
        <v/>
      </c>
      <c r="P82" s="195">
        <f>IFERROR(F82/O82,0)</f>
        <v/>
      </c>
      <c r="Q82" s="196">
        <f>IF(N82&gt;=Umbral_PUSH_pct,IF(M82&gt;=Umbral_PUSH_eur,"PUSH","NEUTRAL"),IF(N82&gt;=Umbral_NEUTRAL_pct,"NEUTRAL",IF(N82&gt;=Umbral_WATCH_pct,"WATCH","NO ANUNCIAR")))</f>
        <v/>
      </c>
    </row>
    <row r="83">
      <c r="A83" s="116" t="inlineStr">
        <is>
          <t>Hevea</t>
        </is>
      </c>
      <c r="B83" s="116" t="inlineStr">
        <is>
          <t>557-0796</t>
        </is>
      </c>
      <c r="C83" s="116" t="inlineStr">
        <is>
          <t>HASTON-3 SOFÁ 3 PLAZAS / 3 SEATER SOFA / CANAPÉ 3 PLACES</t>
        </is>
      </c>
      <c r="D83" s="118" t="n">
        <v>624</v>
      </c>
      <c r="E83" s="118" t="n">
        <v>990</v>
      </c>
      <c r="F83" s="118">
        <f>E83*(1+IVA)</f>
        <v/>
      </c>
      <c r="G83" s="118">
        <f>E83-D83</f>
        <v/>
      </c>
      <c r="H83" s="191">
        <f>IFERROR(G83/E83,0)</f>
        <v/>
      </c>
      <c r="I83" s="118">
        <f>F83*Comision_pago_pct+Comision_pago_fija</f>
        <v/>
      </c>
      <c r="J83" s="118">
        <f>IF(A83="Hevea",IF(F83&gt;=Hevea_umbral_envio_gratis,0,Hevea_coste_envio_bajo),Balliu_coste_envio)</f>
        <v/>
      </c>
      <c r="K83" s="118">
        <f>Tasa_devolucion*Coste_devolucion</f>
        <v/>
      </c>
      <c r="L83" s="118">
        <f>Tasa_incidencia*Coste_incidencia</f>
        <v/>
      </c>
      <c r="M83" s="118">
        <f>G83-I83-J83-K83-L83</f>
        <v/>
      </c>
      <c r="N83" s="191">
        <f>IFERROR(M83/E83,0)</f>
        <v/>
      </c>
      <c r="O83" s="118">
        <f>MAX(M83,0)</f>
        <v/>
      </c>
      <c r="P83" s="192">
        <f>IFERROR(F83/O83,0)</f>
        <v/>
      </c>
      <c r="Q83" s="193">
        <f>IF(N83&gt;=Umbral_PUSH_pct,IF(M83&gt;=Umbral_PUSH_eur,"PUSH","NEUTRAL"),IF(N83&gt;=Umbral_NEUTRAL_pct,"NEUTRAL",IF(N83&gt;=Umbral_WATCH_pct,"WATCH","NO ANUNCIAR")))</f>
        <v/>
      </c>
    </row>
    <row r="84">
      <c r="A84" s="122" t="inlineStr">
        <is>
          <t>Hevea</t>
        </is>
      </c>
      <c r="B84" s="122" t="inlineStr">
        <is>
          <t>557-0798</t>
        </is>
      </c>
      <c r="C84" s="122" t="inlineStr">
        <is>
          <t>HASTON-7 SET SOFÁ 2 PLAZAS / 2 SEATER SOFA SET / SET CANAPÉ 2 PLACES</t>
        </is>
      </c>
      <c r="D84" s="124" t="n">
        <v>1226</v>
      </c>
      <c r="E84" s="124" t="n">
        <v>1945</v>
      </c>
      <c r="F84" s="124">
        <f>E84*(1+IVA)</f>
        <v/>
      </c>
      <c r="G84" s="124">
        <f>E84-D84</f>
        <v/>
      </c>
      <c r="H84" s="194">
        <f>IFERROR(G84/E84,0)</f>
        <v/>
      </c>
      <c r="I84" s="124">
        <f>F84*Comision_pago_pct+Comision_pago_fija</f>
        <v/>
      </c>
      <c r="J84" s="124">
        <f>IF(A84="Hevea",IF(F84&gt;=Hevea_umbral_envio_gratis,0,Hevea_coste_envio_bajo),Balliu_coste_envio)</f>
        <v/>
      </c>
      <c r="K84" s="124">
        <f>Tasa_devolucion*Coste_devolucion</f>
        <v/>
      </c>
      <c r="L84" s="124">
        <f>Tasa_incidencia*Coste_incidencia</f>
        <v/>
      </c>
      <c r="M84" s="124">
        <f>G84-I84-J84-K84-L84</f>
        <v/>
      </c>
      <c r="N84" s="194">
        <f>IFERROR(M84/E84,0)</f>
        <v/>
      </c>
      <c r="O84" s="124">
        <f>MAX(M84,0)</f>
        <v/>
      </c>
      <c r="P84" s="195">
        <f>IFERROR(F84/O84,0)</f>
        <v/>
      </c>
      <c r="Q84" s="196">
        <f>IF(N84&gt;=Umbral_PUSH_pct,IF(M84&gt;=Umbral_PUSH_eur,"PUSH","NEUTRAL"),IF(N84&gt;=Umbral_NEUTRAL_pct,"NEUTRAL",IF(N84&gt;=Umbral_WATCH_pct,"WATCH","NO ANUNCIAR")))</f>
        <v/>
      </c>
    </row>
    <row r="85">
      <c r="A85" s="116" t="inlineStr">
        <is>
          <t>Hevea</t>
        </is>
      </c>
      <c r="B85" s="116" t="inlineStr">
        <is>
          <t>557-0799</t>
        </is>
      </c>
      <c r="C85" s="116" t="inlineStr">
        <is>
          <t>HASTON-8 SET SOFÁ 3 PLAZAS / 3 SEATER SOFA SET / SET CANAPÉ 3 PLACES</t>
        </is>
      </c>
      <c r="D85" s="118" t="n">
        <v>1434</v>
      </c>
      <c r="E85" s="118" t="n">
        <v>2275</v>
      </c>
      <c r="F85" s="118">
        <f>E85*(1+IVA)</f>
        <v/>
      </c>
      <c r="G85" s="118">
        <f>E85-D85</f>
        <v/>
      </c>
      <c r="H85" s="191">
        <f>IFERROR(G85/E85,0)</f>
        <v/>
      </c>
      <c r="I85" s="118">
        <f>F85*Comision_pago_pct+Comision_pago_fija</f>
        <v/>
      </c>
      <c r="J85" s="118">
        <f>IF(A85="Hevea",IF(F85&gt;=Hevea_umbral_envio_gratis,0,Hevea_coste_envio_bajo),Balliu_coste_envio)</f>
        <v/>
      </c>
      <c r="K85" s="118">
        <f>Tasa_devolucion*Coste_devolucion</f>
        <v/>
      </c>
      <c r="L85" s="118">
        <f>Tasa_incidencia*Coste_incidencia</f>
        <v/>
      </c>
      <c r="M85" s="118">
        <f>G85-I85-J85-K85-L85</f>
        <v/>
      </c>
      <c r="N85" s="191">
        <f>IFERROR(M85/E85,0)</f>
        <v/>
      </c>
      <c r="O85" s="118">
        <f>MAX(M85,0)</f>
        <v/>
      </c>
      <c r="P85" s="192">
        <f>IFERROR(F85/O85,0)</f>
        <v/>
      </c>
      <c r="Q85" s="193">
        <f>IF(N85&gt;=Umbral_PUSH_pct,IF(M85&gt;=Umbral_PUSH_eur,"PUSH","NEUTRAL"),IF(N85&gt;=Umbral_NEUTRAL_pct,"NEUTRAL",IF(N85&gt;=Umbral_WATCH_pct,"WATCH","NO ANUNCIAR")))</f>
        <v/>
      </c>
    </row>
    <row r="86">
      <c r="A86" s="122" t="inlineStr">
        <is>
          <t>Hevea</t>
        </is>
      </c>
      <c r="B86" s="122" t="inlineStr">
        <is>
          <t>557-010146</t>
        </is>
      </c>
      <c r="C86" s="122" t="inlineStr">
        <is>
          <t>ACAPULCO-1 SILLÓN / ARMCHAIR / FAUTEUIL</t>
        </is>
      </c>
      <c r="D86" s="124" t="n">
        <v>306</v>
      </c>
      <c r="E86" s="124" t="n">
        <v>485</v>
      </c>
      <c r="F86" s="124">
        <f>E86*(1+IVA)</f>
        <v/>
      </c>
      <c r="G86" s="124">
        <f>E86-D86</f>
        <v/>
      </c>
      <c r="H86" s="194">
        <f>IFERROR(G86/E86,0)</f>
        <v/>
      </c>
      <c r="I86" s="124">
        <f>F86*Comision_pago_pct+Comision_pago_fija</f>
        <v/>
      </c>
      <c r="J86" s="124">
        <f>IF(A86="Hevea",IF(F86&gt;=Hevea_umbral_envio_gratis,0,Hevea_coste_envio_bajo),Balliu_coste_envio)</f>
        <v/>
      </c>
      <c r="K86" s="124">
        <f>Tasa_devolucion*Coste_devolucion</f>
        <v/>
      </c>
      <c r="L86" s="124">
        <f>Tasa_incidencia*Coste_incidencia</f>
        <v/>
      </c>
      <c r="M86" s="124">
        <f>G86-I86-J86-K86-L86</f>
        <v/>
      </c>
      <c r="N86" s="194">
        <f>IFERROR(M86/E86,0)</f>
        <v/>
      </c>
      <c r="O86" s="124">
        <f>MAX(M86,0)</f>
        <v/>
      </c>
      <c r="P86" s="195">
        <f>IFERROR(F86/O86,0)</f>
        <v/>
      </c>
      <c r="Q86" s="196">
        <f>IF(N86&gt;=Umbral_PUSH_pct,IF(M86&gt;=Umbral_PUSH_eur,"PUSH","NEUTRAL"),IF(N86&gt;=Umbral_NEUTRAL_pct,"NEUTRAL",IF(N86&gt;=Umbral_WATCH_pct,"WATCH","NO ANUNCIAR")))</f>
        <v/>
      </c>
    </row>
    <row r="87">
      <c r="A87" s="116" t="inlineStr">
        <is>
          <t>Hevea</t>
        </is>
      </c>
      <c r="B87" s="116" t="inlineStr">
        <is>
          <t>557-010148</t>
        </is>
      </c>
      <c r="C87" s="116" t="inlineStr">
        <is>
          <t>ACAPULCO-2 SOFÁ 2 PLAZAS / 2 SEATER SOFA / CANAPÉ 2 PLACES</t>
        </is>
      </c>
      <c r="D87" s="118" t="n">
        <v>438</v>
      </c>
      <c r="E87" s="118" t="n">
        <v>695</v>
      </c>
      <c r="F87" s="118">
        <f>E87*(1+IVA)</f>
        <v/>
      </c>
      <c r="G87" s="118">
        <f>E87-D87</f>
        <v/>
      </c>
      <c r="H87" s="191">
        <f>IFERROR(G87/E87,0)</f>
        <v/>
      </c>
      <c r="I87" s="118">
        <f>F87*Comision_pago_pct+Comision_pago_fija</f>
        <v/>
      </c>
      <c r="J87" s="118">
        <f>IF(A87="Hevea",IF(F87&gt;=Hevea_umbral_envio_gratis,0,Hevea_coste_envio_bajo),Balliu_coste_envio)</f>
        <v/>
      </c>
      <c r="K87" s="118">
        <f>Tasa_devolucion*Coste_devolucion</f>
        <v/>
      </c>
      <c r="L87" s="118">
        <f>Tasa_incidencia*Coste_incidencia</f>
        <v/>
      </c>
      <c r="M87" s="118">
        <f>G87-I87-J87-K87-L87</f>
        <v/>
      </c>
      <c r="N87" s="191">
        <f>IFERROR(M87/E87,0)</f>
        <v/>
      </c>
      <c r="O87" s="118">
        <f>MAX(M87,0)</f>
        <v/>
      </c>
      <c r="P87" s="192">
        <f>IFERROR(F87/O87,0)</f>
        <v/>
      </c>
      <c r="Q87" s="193">
        <f>IF(N87&gt;=Umbral_PUSH_pct,IF(M87&gt;=Umbral_PUSH_eur,"PUSH","NEUTRAL"),IF(N87&gt;=Umbral_NEUTRAL_pct,"NEUTRAL",IF(N87&gt;=Umbral_WATCH_pct,"WATCH","NO ANUNCIAR")))</f>
        <v/>
      </c>
    </row>
    <row r="88">
      <c r="A88" s="122" t="inlineStr">
        <is>
          <t>Hevea</t>
        </is>
      </c>
      <c r="B88" s="122" t="inlineStr">
        <is>
          <t>557-010147</t>
        </is>
      </c>
      <c r="C88" s="122" t="inlineStr">
        <is>
          <t>ACAPULCO-3 SOFÁ 3 PLAZAS / 3 SEATER SOFA / CANAPÉ 3 PLACES</t>
        </is>
      </c>
      <c r="D88" s="124" t="n">
        <v>599</v>
      </c>
      <c r="E88" s="124" t="n">
        <v>950</v>
      </c>
      <c r="F88" s="124">
        <f>E88*(1+IVA)</f>
        <v/>
      </c>
      <c r="G88" s="124">
        <f>E88-D88</f>
        <v/>
      </c>
      <c r="H88" s="194">
        <f>IFERROR(G88/E88,0)</f>
        <v/>
      </c>
      <c r="I88" s="124">
        <f>F88*Comision_pago_pct+Comision_pago_fija</f>
        <v/>
      </c>
      <c r="J88" s="124">
        <f>IF(A88="Hevea",IF(F88&gt;=Hevea_umbral_envio_gratis,0,Hevea_coste_envio_bajo),Balliu_coste_envio)</f>
        <v/>
      </c>
      <c r="K88" s="124">
        <f>Tasa_devolucion*Coste_devolucion</f>
        <v/>
      </c>
      <c r="L88" s="124">
        <f>Tasa_incidencia*Coste_incidencia</f>
        <v/>
      </c>
      <c r="M88" s="124">
        <f>G88-I88-J88-K88-L88</f>
        <v/>
      </c>
      <c r="N88" s="194">
        <f>IFERROR(M88/E88,0)</f>
        <v/>
      </c>
      <c r="O88" s="124">
        <f>MAX(M88,0)</f>
        <v/>
      </c>
      <c r="P88" s="195">
        <f>IFERROR(F88/O88,0)</f>
        <v/>
      </c>
      <c r="Q88" s="196">
        <f>IF(N88&gt;=Umbral_PUSH_pct,IF(M88&gt;=Umbral_PUSH_eur,"PUSH","NEUTRAL"),IF(N88&gt;=Umbral_NEUTRAL_pct,"NEUTRAL",IF(N88&gt;=Umbral_WATCH_pct,"WATCH","NO ANUNCIAR")))</f>
        <v/>
      </c>
    </row>
    <row r="89">
      <c r="A89" s="116" t="inlineStr">
        <is>
          <t>Hevea</t>
        </is>
      </c>
      <c r="B89" s="116" t="inlineStr">
        <is>
          <t>557-010153</t>
        </is>
      </c>
      <c r="C89" s="116" t="inlineStr">
        <is>
          <t>MESA CENTRO 90 HPL UNIVERSAL / 90 HPL COFFEE TABLE / TABLE BASSE 90 HPL</t>
        </is>
      </c>
      <c r="D89" s="118" t="n">
        <v>174</v>
      </c>
      <c r="E89" s="118" t="n">
        <v>275</v>
      </c>
      <c r="F89" s="118">
        <f>E89*(1+IVA)</f>
        <v/>
      </c>
      <c r="G89" s="118">
        <f>E89-D89</f>
        <v/>
      </c>
      <c r="H89" s="191">
        <f>IFERROR(G89/E89,0)</f>
        <v/>
      </c>
      <c r="I89" s="118">
        <f>F89*Comision_pago_pct+Comision_pago_fija</f>
        <v/>
      </c>
      <c r="J89" s="118">
        <f>IF(A89="Hevea",IF(F89&gt;=Hevea_umbral_envio_gratis,0,Hevea_coste_envio_bajo),Balliu_coste_envio)</f>
        <v/>
      </c>
      <c r="K89" s="118">
        <f>Tasa_devolucion*Coste_devolucion</f>
        <v/>
      </c>
      <c r="L89" s="118">
        <f>Tasa_incidencia*Coste_incidencia</f>
        <v/>
      </c>
      <c r="M89" s="118">
        <f>G89-I89-J89-K89-L89</f>
        <v/>
      </c>
      <c r="N89" s="191">
        <f>IFERROR(M89/E89,0)</f>
        <v/>
      </c>
      <c r="O89" s="118">
        <f>MAX(M89,0)</f>
        <v/>
      </c>
      <c r="P89" s="192">
        <f>IFERROR(F89/O89,0)</f>
        <v/>
      </c>
      <c r="Q89" s="193">
        <f>IF(N89&gt;=Umbral_PUSH_pct,IF(M89&gt;=Umbral_PUSH_eur,"PUSH","NEUTRAL"),IF(N89&gt;=Umbral_NEUTRAL_pct,"NEUTRAL",IF(N89&gt;=Umbral_WATCH_pct,"WATCH","NO ANUNCIAR")))</f>
        <v/>
      </c>
    </row>
    <row r="90">
      <c r="A90" s="122" t="inlineStr">
        <is>
          <t>Hevea</t>
        </is>
      </c>
      <c r="B90" s="122" t="inlineStr">
        <is>
          <t>557-010154</t>
        </is>
      </c>
      <c r="C90" s="122" t="inlineStr">
        <is>
          <t>MESA CENTRO 120 HPL UNIVERSAL / 120 HPL COFFEE TABLE / TABLE BASSE 120 HPL</t>
        </is>
      </c>
      <c r="D90" s="124" t="n">
        <v>230</v>
      </c>
      <c r="E90" s="124" t="n">
        <v>365</v>
      </c>
      <c r="F90" s="124">
        <f>E90*(1+IVA)</f>
        <v/>
      </c>
      <c r="G90" s="124">
        <f>E90-D90</f>
        <v/>
      </c>
      <c r="H90" s="194">
        <f>IFERROR(G90/E90,0)</f>
        <v/>
      </c>
      <c r="I90" s="124">
        <f>F90*Comision_pago_pct+Comision_pago_fija</f>
        <v/>
      </c>
      <c r="J90" s="124">
        <f>IF(A90="Hevea",IF(F90&gt;=Hevea_umbral_envio_gratis,0,Hevea_coste_envio_bajo),Balliu_coste_envio)</f>
        <v/>
      </c>
      <c r="K90" s="124">
        <f>Tasa_devolucion*Coste_devolucion</f>
        <v/>
      </c>
      <c r="L90" s="124">
        <f>Tasa_incidencia*Coste_incidencia</f>
        <v/>
      </c>
      <c r="M90" s="124">
        <f>G90-I90-J90-K90-L90</f>
        <v/>
      </c>
      <c r="N90" s="194">
        <f>IFERROR(M90/E90,0)</f>
        <v/>
      </c>
      <c r="O90" s="124">
        <f>MAX(M90,0)</f>
        <v/>
      </c>
      <c r="P90" s="195">
        <f>IFERROR(F90/O90,0)</f>
        <v/>
      </c>
      <c r="Q90" s="196">
        <f>IF(N90&gt;=Umbral_PUSH_pct,IF(M90&gt;=Umbral_PUSH_eur,"PUSH","NEUTRAL"),IF(N90&gt;=Umbral_NEUTRAL_pct,"NEUTRAL",IF(N90&gt;=Umbral_WATCH_pct,"WATCH","NO ANUNCIAR")))</f>
        <v/>
      </c>
    </row>
    <row r="91">
      <c r="A91" s="116" t="inlineStr">
        <is>
          <t>Hevea</t>
        </is>
      </c>
      <c r="B91" s="116" t="inlineStr">
        <is>
          <t>557-010149</t>
        </is>
      </c>
      <c r="C91" s="116" t="inlineStr">
        <is>
          <t>ACAPULCO-7 SET SOFÁ 2 PLAZAS / 2 SEATER SOFA SET / SET CANAPÉ 2 PLACES</t>
        </is>
      </c>
      <c r="D91" s="118" t="n">
        <v>1223</v>
      </c>
      <c r="E91" s="118" t="n">
        <v>1940</v>
      </c>
      <c r="F91" s="118">
        <f>E91*(1+IVA)</f>
        <v/>
      </c>
      <c r="G91" s="118">
        <f>E91-D91</f>
        <v/>
      </c>
      <c r="H91" s="191">
        <f>IFERROR(G91/E91,0)</f>
        <v/>
      </c>
      <c r="I91" s="118">
        <f>F91*Comision_pago_pct+Comision_pago_fija</f>
        <v/>
      </c>
      <c r="J91" s="118">
        <f>IF(A91="Hevea",IF(F91&gt;=Hevea_umbral_envio_gratis,0,Hevea_coste_envio_bajo),Balliu_coste_envio)</f>
        <v/>
      </c>
      <c r="K91" s="118">
        <f>Tasa_devolucion*Coste_devolucion</f>
        <v/>
      </c>
      <c r="L91" s="118">
        <f>Tasa_incidencia*Coste_incidencia</f>
        <v/>
      </c>
      <c r="M91" s="118">
        <f>G91-I91-J91-K91-L91</f>
        <v/>
      </c>
      <c r="N91" s="191">
        <f>IFERROR(M91/E91,0)</f>
        <v/>
      </c>
      <c r="O91" s="118">
        <f>MAX(M91,0)</f>
        <v/>
      </c>
      <c r="P91" s="192">
        <f>IFERROR(F91/O91,0)</f>
        <v/>
      </c>
      <c r="Q91" s="193">
        <f>IF(N91&gt;=Umbral_PUSH_pct,IF(M91&gt;=Umbral_PUSH_eur,"PUSH","NEUTRAL"),IF(N91&gt;=Umbral_NEUTRAL_pct,"NEUTRAL",IF(N91&gt;=Umbral_WATCH_pct,"WATCH","NO ANUNCIAR")))</f>
        <v/>
      </c>
    </row>
    <row r="92">
      <c r="A92" s="122" t="inlineStr">
        <is>
          <t>Hevea</t>
        </is>
      </c>
      <c r="B92" s="122" t="inlineStr">
        <is>
          <t>557-010147</t>
        </is>
      </c>
      <c r="C92" s="122" t="inlineStr">
        <is>
          <t>ACAPULCO-8 SET SOFÁ 3 PLAZAS / 3 SEATER SOFA SET / SET CANAPÉ 3 PLACES</t>
        </is>
      </c>
      <c r="D92" s="124" t="n">
        <v>1440</v>
      </c>
      <c r="E92" s="124" t="n">
        <v>2285</v>
      </c>
      <c r="F92" s="124">
        <f>E92*(1+IVA)</f>
        <v/>
      </c>
      <c r="G92" s="124">
        <f>E92-D92</f>
        <v/>
      </c>
      <c r="H92" s="194">
        <f>IFERROR(G92/E92,0)</f>
        <v/>
      </c>
      <c r="I92" s="124">
        <f>F92*Comision_pago_pct+Comision_pago_fija</f>
        <v/>
      </c>
      <c r="J92" s="124">
        <f>IF(A92="Hevea",IF(F92&gt;=Hevea_umbral_envio_gratis,0,Hevea_coste_envio_bajo),Balliu_coste_envio)</f>
        <v/>
      </c>
      <c r="K92" s="124">
        <f>Tasa_devolucion*Coste_devolucion</f>
        <v/>
      </c>
      <c r="L92" s="124">
        <f>Tasa_incidencia*Coste_incidencia</f>
        <v/>
      </c>
      <c r="M92" s="124">
        <f>G92-I92-J92-K92-L92</f>
        <v/>
      </c>
      <c r="N92" s="194">
        <f>IFERROR(M92/E92,0)</f>
        <v/>
      </c>
      <c r="O92" s="124">
        <f>MAX(M92,0)</f>
        <v/>
      </c>
      <c r="P92" s="195">
        <f>IFERROR(F92/O92,0)</f>
        <v/>
      </c>
      <c r="Q92" s="196">
        <f>IF(N92&gt;=Umbral_PUSH_pct,IF(M92&gt;=Umbral_PUSH_eur,"PUSH","NEUTRAL"),IF(N92&gt;=Umbral_NEUTRAL_pct,"NEUTRAL",IF(N92&gt;=Umbral_WATCH_pct,"WATCH","NO ANUNCIAR")))</f>
        <v/>
      </c>
    </row>
    <row r="93">
      <c r="A93" s="116" t="inlineStr">
        <is>
          <t>Hevea</t>
        </is>
      </c>
      <c r="B93" s="116" t="inlineStr">
        <is>
          <t>557-0919</t>
        </is>
      </c>
      <c r="C93" s="116" t="inlineStr">
        <is>
          <t>PÉRGOLA VENECIA / VENECIA PERGOLA / PERGOLA VENECIA</t>
        </is>
      </c>
      <c r="D93" s="118" t="n">
        <v>1065</v>
      </c>
      <c r="E93" s="118" t="n">
        <v>1690</v>
      </c>
      <c r="F93" s="118">
        <f>E93*(1+IVA)</f>
        <v/>
      </c>
      <c r="G93" s="118">
        <f>E93-D93</f>
        <v/>
      </c>
      <c r="H93" s="191">
        <f>IFERROR(G93/E93,0)</f>
        <v/>
      </c>
      <c r="I93" s="118">
        <f>F93*Comision_pago_pct+Comision_pago_fija</f>
        <v/>
      </c>
      <c r="J93" s="118">
        <f>IF(A93="Hevea",IF(F93&gt;=Hevea_umbral_envio_gratis,0,Hevea_coste_envio_bajo),Balliu_coste_envio)</f>
        <v/>
      </c>
      <c r="K93" s="118">
        <f>Tasa_devolucion*Coste_devolucion</f>
        <v/>
      </c>
      <c r="L93" s="118">
        <f>Tasa_incidencia*Coste_incidencia</f>
        <v/>
      </c>
      <c r="M93" s="118">
        <f>G93-I93-J93-K93-L93</f>
        <v/>
      </c>
      <c r="N93" s="191">
        <f>IFERROR(M93/E93,0)</f>
        <v/>
      </c>
      <c r="O93" s="118">
        <f>MAX(M93,0)</f>
        <v/>
      </c>
      <c r="P93" s="192">
        <f>IFERROR(F93/O93,0)</f>
        <v/>
      </c>
      <c r="Q93" s="193">
        <f>IF(N93&gt;=Umbral_PUSH_pct,IF(M93&gt;=Umbral_PUSH_eur,"PUSH","NEUTRAL"),IF(N93&gt;=Umbral_NEUTRAL_pct,"NEUTRAL",IF(N93&gt;=Umbral_WATCH_pct,"WATCH","NO ANUNCIAR")))</f>
        <v/>
      </c>
    </row>
    <row r="94">
      <c r="A94" s="122" t="inlineStr">
        <is>
          <t>Hevea</t>
        </is>
      </c>
      <c r="B94" s="122" t="inlineStr">
        <is>
          <t>557-01951</t>
        </is>
      </c>
      <c r="C94" s="122" t="inlineStr">
        <is>
          <t>MANHATAN-1 SILLÓN / ARMCHAIR / FAUTEUIL</t>
        </is>
      </c>
      <c r="D94" s="124" t="n">
        <v>243</v>
      </c>
      <c r="E94" s="124" t="n">
        <v>385</v>
      </c>
      <c r="F94" s="124">
        <f>E94*(1+IVA)</f>
        <v/>
      </c>
      <c r="G94" s="124">
        <f>E94-D94</f>
        <v/>
      </c>
      <c r="H94" s="194">
        <f>IFERROR(G94/E94,0)</f>
        <v/>
      </c>
      <c r="I94" s="124">
        <f>F94*Comision_pago_pct+Comision_pago_fija</f>
        <v/>
      </c>
      <c r="J94" s="124">
        <f>IF(A94="Hevea",IF(F94&gt;=Hevea_umbral_envio_gratis,0,Hevea_coste_envio_bajo),Balliu_coste_envio)</f>
        <v/>
      </c>
      <c r="K94" s="124">
        <f>Tasa_devolucion*Coste_devolucion</f>
        <v/>
      </c>
      <c r="L94" s="124">
        <f>Tasa_incidencia*Coste_incidencia</f>
        <v/>
      </c>
      <c r="M94" s="124">
        <f>G94-I94-J94-K94-L94</f>
        <v/>
      </c>
      <c r="N94" s="194">
        <f>IFERROR(M94/E94,0)</f>
        <v/>
      </c>
      <c r="O94" s="124">
        <f>MAX(M94,0)</f>
        <v/>
      </c>
      <c r="P94" s="195">
        <f>IFERROR(F94/O94,0)</f>
        <v/>
      </c>
      <c r="Q94" s="196">
        <f>IF(N94&gt;=Umbral_PUSH_pct,IF(M94&gt;=Umbral_PUSH_eur,"PUSH","NEUTRAL"),IF(N94&gt;=Umbral_NEUTRAL_pct,"NEUTRAL",IF(N94&gt;=Umbral_WATCH_pct,"WATCH","NO ANUNCIAR")))</f>
        <v/>
      </c>
    </row>
    <row r="95">
      <c r="A95" s="116" t="inlineStr">
        <is>
          <t>Hevea</t>
        </is>
      </c>
      <c r="B95" s="116" t="inlineStr">
        <is>
          <t>557-01952</t>
        </is>
      </c>
      <c r="C95" s="116" t="inlineStr">
        <is>
          <t>MANHATAN-2 SOFÁ 2 PLAZAS / 2 SEATER SOFA / CANAPÉ 2 PLACES</t>
        </is>
      </c>
      <c r="D95" s="118" t="n">
        <v>372</v>
      </c>
      <c r="E95" s="118" t="n">
        <v>590</v>
      </c>
      <c r="F95" s="118">
        <f>E95*(1+IVA)</f>
        <v/>
      </c>
      <c r="G95" s="118">
        <f>E95-D95</f>
        <v/>
      </c>
      <c r="H95" s="191">
        <f>IFERROR(G95/E95,0)</f>
        <v/>
      </c>
      <c r="I95" s="118">
        <f>F95*Comision_pago_pct+Comision_pago_fija</f>
        <v/>
      </c>
      <c r="J95" s="118">
        <f>IF(A95="Hevea",IF(F95&gt;=Hevea_umbral_envio_gratis,0,Hevea_coste_envio_bajo),Balliu_coste_envio)</f>
        <v/>
      </c>
      <c r="K95" s="118">
        <f>Tasa_devolucion*Coste_devolucion</f>
        <v/>
      </c>
      <c r="L95" s="118">
        <f>Tasa_incidencia*Coste_incidencia</f>
        <v/>
      </c>
      <c r="M95" s="118">
        <f>G95-I95-J95-K95-L95</f>
        <v/>
      </c>
      <c r="N95" s="191">
        <f>IFERROR(M95/E95,0)</f>
        <v/>
      </c>
      <c r="O95" s="118">
        <f>MAX(M95,0)</f>
        <v/>
      </c>
      <c r="P95" s="192">
        <f>IFERROR(F95/O95,0)</f>
        <v/>
      </c>
      <c r="Q95" s="193">
        <f>IF(N95&gt;=Umbral_PUSH_pct,IF(M95&gt;=Umbral_PUSH_eur,"PUSH","NEUTRAL"),IF(N95&gt;=Umbral_NEUTRAL_pct,"NEUTRAL",IF(N95&gt;=Umbral_WATCH_pct,"WATCH","NO ANUNCIAR")))</f>
        <v/>
      </c>
    </row>
    <row r="96">
      <c r="A96" s="122" t="inlineStr">
        <is>
          <t>Hevea</t>
        </is>
      </c>
      <c r="B96" s="122" t="inlineStr">
        <is>
          <t>557-01953</t>
        </is>
      </c>
      <c r="C96" s="122" t="inlineStr">
        <is>
          <t>MANHATAN-3 SOFÁ 3 PLAZAS / 3 SEATER SOFA / CANAPÉ 3 PLACES</t>
        </is>
      </c>
      <c r="D96" s="124" t="n">
        <v>536</v>
      </c>
      <c r="E96" s="124" t="n">
        <v>850</v>
      </c>
      <c r="F96" s="124">
        <f>E96*(1+IVA)</f>
        <v/>
      </c>
      <c r="G96" s="124">
        <f>E96-D96</f>
        <v/>
      </c>
      <c r="H96" s="194">
        <f>IFERROR(G96/E96,0)</f>
        <v/>
      </c>
      <c r="I96" s="124">
        <f>F96*Comision_pago_pct+Comision_pago_fija</f>
        <v/>
      </c>
      <c r="J96" s="124">
        <f>IF(A96="Hevea",IF(F96&gt;=Hevea_umbral_envio_gratis,0,Hevea_coste_envio_bajo),Balliu_coste_envio)</f>
        <v/>
      </c>
      <c r="K96" s="124">
        <f>Tasa_devolucion*Coste_devolucion</f>
        <v/>
      </c>
      <c r="L96" s="124">
        <f>Tasa_incidencia*Coste_incidencia</f>
        <v/>
      </c>
      <c r="M96" s="124">
        <f>G96-I96-J96-K96-L96</f>
        <v/>
      </c>
      <c r="N96" s="194">
        <f>IFERROR(M96/E96,0)</f>
        <v/>
      </c>
      <c r="O96" s="124">
        <f>MAX(M96,0)</f>
        <v/>
      </c>
      <c r="P96" s="195">
        <f>IFERROR(F96/O96,0)</f>
        <v/>
      </c>
      <c r="Q96" s="196">
        <f>IF(N96&gt;=Umbral_PUSH_pct,IF(M96&gt;=Umbral_PUSH_eur,"PUSH","NEUTRAL"),IF(N96&gt;=Umbral_NEUTRAL_pct,"NEUTRAL",IF(N96&gt;=Umbral_WATCH_pct,"WATCH","NO ANUNCIAR")))</f>
        <v/>
      </c>
    </row>
    <row r="97">
      <c r="A97" s="116" t="inlineStr">
        <is>
          <t>Hevea</t>
        </is>
      </c>
      <c r="B97" s="116" t="inlineStr">
        <is>
          <t>557-01954</t>
        </is>
      </c>
      <c r="C97" s="116" t="inlineStr">
        <is>
          <t>MANHATAN-7 SET SOFÁ 2 PLAZAS / 2 SEATER SOFA SET / SET CANAPÉ 2 PLACES</t>
        </is>
      </c>
      <c r="D97" s="118" t="n">
        <v>1037</v>
      </c>
      <c r="E97" s="118" t="n">
        <v>1645</v>
      </c>
      <c r="F97" s="118">
        <f>E97*(1+IVA)</f>
        <v/>
      </c>
      <c r="G97" s="118">
        <f>E97-D97</f>
        <v/>
      </c>
      <c r="H97" s="191">
        <f>IFERROR(G97/E97,0)</f>
        <v/>
      </c>
      <c r="I97" s="118">
        <f>F97*Comision_pago_pct+Comision_pago_fija</f>
        <v/>
      </c>
      <c r="J97" s="118">
        <f>IF(A97="Hevea",IF(F97&gt;=Hevea_umbral_envio_gratis,0,Hevea_coste_envio_bajo),Balliu_coste_envio)</f>
        <v/>
      </c>
      <c r="K97" s="118">
        <f>Tasa_devolucion*Coste_devolucion</f>
        <v/>
      </c>
      <c r="L97" s="118">
        <f>Tasa_incidencia*Coste_incidencia</f>
        <v/>
      </c>
      <c r="M97" s="118">
        <f>G97-I97-J97-K97-L97</f>
        <v/>
      </c>
      <c r="N97" s="191">
        <f>IFERROR(M97/E97,0)</f>
        <v/>
      </c>
      <c r="O97" s="118">
        <f>MAX(M97,0)</f>
        <v/>
      </c>
      <c r="P97" s="192">
        <f>IFERROR(F97/O97,0)</f>
        <v/>
      </c>
      <c r="Q97" s="193">
        <f>IF(N97&gt;=Umbral_PUSH_pct,IF(M97&gt;=Umbral_PUSH_eur,"PUSH","NEUTRAL"),IF(N97&gt;=Umbral_NEUTRAL_pct,"NEUTRAL",IF(N97&gt;=Umbral_WATCH_pct,"WATCH","NO ANUNCIAR")))</f>
        <v/>
      </c>
    </row>
    <row r="98">
      <c r="A98" s="122" t="inlineStr">
        <is>
          <t>Hevea</t>
        </is>
      </c>
      <c r="B98" s="122" t="inlineStr">
        <is>
          <t>557-01955</t>
        </is>
      </c>
      <c r="C98" s="122" t="inlineStr">
        <is>
          <t>MANHATAN-8 SET SOFÁ 3 PLAZAS / 3 SEATER SOFA SET / SET CANAPÉ 3 PLACES</t>
        </is>
      </c>
      <c r="D98" s="124" t="n">
        <v>1251</v>
      </c>
      <c r="E98" s="124" t="n">
        <v>1985</v>
      </c>
      <c r="F98" s="124">
        <f>E98*(1+IVA)</f>
        <v/>
      </c>
      <c r="G98" s="124">
        <f>E98-D98</f>
        <v/>
      </c>
      <c r="H98" s="194">
        <f>IFERROR(G98/E98,0)</f>
        <v/>
      </c>
      <c r="I98" s="124">
        <f>F98*Comision_pago_pct+Comision_pago_fija</f>
        <v/>
      </c>
      <c r="J98" s="124">
        <f>IF(A98="Hevea",IF(F98&gt;=Hevea_umbral_envio_gratis,0,Hevea_coste_envio_bajo),Balliu_coste_envio)</f>
        <v/>
      </c>
      <c r="K98" s="124">
        <f>Tasa_devolucion*Coste_devolucion</f>
        <v/>
      </c>
      <c r="L98" s="124">
        <f>Tasa_incidencia*Coste_incidencia</f>
        <v/>
      </c>
      <c r="M98" s="124">
        <f>G98-I98-J98-K98-L98</f>
        <v/>
      </c>
      <c r="N98" s="194">
        <f>IFERROR(M98/E98,0)</f>
        <v/>
      </c>
      <c r="O98" s="124">
        <f>MAX(M98,0)</f>
        <v/>
      </c>
      <c r="P98" s="195">
        <f>IFERROR(F98/O98,0)</f>
        <v/>
      </c>
      <c r="Q98" s="196">
        <f>IF(N98&gt;=Umbral_PUSH_pct,IF(M98&gt;=Umbral_PUSH_eur,"PUSH","NEUTRAL"),IF(N98&gt;=Umbral_NEUTRAL_pct,"NEUTRAL",IF(N98&gt;=Umbral_WATCH_pct,"WATCH","NO ANUNCIAR")))</f>
        <v/>
      </c>
    </row>
    <row r="99">
      <c r="A99" s="116" t="inlineStr">
        <is>
          <t>Hevea</t>
        </is>
      </c>
      <c r="B99" s="116" t="inlineStr">
        <is>
          <t>557-010705</t>
        </is>
      </c>
      <c r="C99" s="116" t="inlineStr">
        <is>
          <t>LOIRA-7 HPL SET SOFA RINCONERA / CORNER SET / SET CANAPÉ D’ANGLE</t>
        </is>
      </c>
      <c r="D99" s="118" t="n">
        <v>1509</v>
      </c>
      <c r="E99" s="118" t="n">
        <v>2395</v>
      </c>
      <c r="F99" s="118">
        <f>E99*(1+IVA)</f>
        <v/>
      </c>
      <c r="G99" s="118">
        <f>E99-D99</f>
        <v/>
      </c>
      <c r="H99" s="191">
        <f>IFERROR(G99/E99,0)</f>
        <v/>
      </c>
      <c r="I99" s="118">
        <f>F99*Comision_pago_pct+Comision_pago_fija</f>
        <v/>
      </c>
      <c r="J99" s="118">
        <f>IF(A99="Hevea",IF(F99&gt;=Hevea_umbral_envio_gratis,0,Hevea_coste_envio_bajo),Balliu_coste_envio)</f>
        <v/>
      </c>
      <c r="K99" s="118">
        <f>Tasa_devolucion*Coste_devolucion</f>
        <v/>
      </c>
      <c r="L99" s="118">
        <f>Tasa_incidencia*Coste_incidencia</f>
        <v/>
      </c>
      <c r="M99" s="118">
        <f>G99-I99-J99-K99-L99</f>
        <v/>
      </c>
      <c r="N99" s="191">
        <f>IFERROR(M99/E99,0)</f>
        <v/>
      </c>
      <c r="O99" s="118">
        <f>MAX(M99,0)</f>
        <v/>
      </c>
      <c r="P99" s="192">
        <f>IFERROR(F99/O99,0)</f>
        <v/>
      </c>
      <c r="Q99" s="193">
        <f>IF(N99&gt;=Umbral_PUSH_pct,IF(M99&gt;=Umbral_PUSH_eur,"PUSH","NEUTRAL"),IF(N99&gt;=Umbral_NEUTRAL_pct,"NEUTRAL",IF(N99&gt;=Umbral_WATCH_pct,"WATCH","NO ANUNCIAR")))</f>
        <v/>
      </c>
    </row>
    <row r="100">
      <c r="A100" s="122" t="inlineStr">
        <is>
          <t>Hevea</t>
        </is>
      </c>
      <c r="B100" s="122" t="inlineStr">
        <is>
          <t>557-010026</t>
        </is>
      </c>
      <c r="C100" s="122" t="inlineStr">
        <is>
          <t>LOIRA-8 HPL SET SOFÁ RINCONERA / HPL CORNER SOFA SET / SET CANAPÉ D’ANGLE HPL</t>
        </is>
      </c>
      <c r="D100" s="124" t="n">
        <v>1976</v>
      </c>
      <c r="E100" s="124" t="n">
        <v>3135</v>
      </c>
      <c r="F100" s="124">
        <f>E100*(1+IVA)</f>
        <v/>
      </c>
      <c r="G100" s="124">
        <f>E100-D100</f>
        <v/>
      </c>
      <c r="H100" s="194">
        <f>IFERROR(G100/E100,0)</f>
        <v/>
      </c>
      <c r="I100" s="124">
        <f>F100*Comision_pago_pct+Comision_pago_fija</f>
        <v/>
      </c>
      <c r="J100" s="124">
        <f>IF(A100="Hevea",IF(F100&gt;=Hevea_umbral_envio_gratis,0,Hevea_coste_envio_bajo),Balliu_coste_envio)</f>
        <v/>
      </c>
      <c r="K100" s="124">
        <f>Tasa_devolucion*Coste_devolucion</f>
        <v/>
      </c>
      <c r="L100" s="124">
        <f>Tasa_incidencia*Coste_incidencia</f>
        <v/>
      </c>
      <c r="M100" s="124">
        <f>G100-I100-J100-K100-L100</f>
        <v/>
      </c>
      <c r="N100" s="194">
        <f>IFERROR(M100/E100,0)</f>
        <v/>
      </c>
      <c r="O100" s="124">
        <f>MAX(M100,0)</f>
        <v/>
      </c>
      <c r="P100" s="195">
        <f>IFERROR(F100/O100,0)</f>
        <v/>
      </c>
      <c r="Q100" s="196">
        <f>IF(N100&gt;=Umbral_PUSH_pct,IF(M100&gt;=Umbral_PUSH_eur,"PUSH","NEUTRAL"),IF(N100&gt;=Umbral_NEUTRAL_pct,"NEUTRAL",IF(N100&gt;=Umbral_WATCH_pct,"WATCH","NO ANUNCIAR")))</f>
        <v/>
      </c>
    </row>
    <row r="101">
      <c r="A101" s="116" t="inlineStr">
        <is>
          <t>Hevea</t>
        </is>
      </c>
      <c r="B101" s="116" t="inlineStr">
        <is>
          <t>557-010123</t>
        </is>
      </c>
      <c r="C101" s="116" t="inlineStr">
        <is>
          <t>LOIRA-30 HPL SET SOFÁ RINCONERA / HPL CORNER SOFA SET / SET CANAPÉ D’ANGLE HPL</t>
        </is>
      </c>
      <c r="D101" s="118" t="n">
        <v>2199</v>
      </c>
      <c r="E101" s="118" t="n">
        <v>3490</v>
      </c>
      <c r="F101" s="118">
        <f>E101*(1+IVA)</f>
        <v/>
      </c>
      <c r="G101" s="118">
        <f>E101-D101</f>
        <v/>
      </c>
      <c r="H101" s="191">
        <f>IFERROR(G101/E101,0)</f>
        <v/>
      </c>
      <c r="I101" s="118">
        <f>F101*Comision_pago_pct+Comision_pago_fija</f>
        <v/>
      </c>
      <c r="J101" s="118">
        <f>IF(A101="Hevea",IF(F101&gt;=Hevea_umbral_envio_gratis,0,Hevea_coste_envio_bajo),Balliu_coste_envio)</f>
        <v/>
      </c>
      <c r="K101" s="118">
        <f>Tasa_devolucion*Coste_devolucion</f>
        <v/>
      </c>
      <c r="L101" s="118">
        <f>Tasa_incidencia*Coste_incidencia</f>
        <v/>
      </c>
      <c r="M101" s="118">
        <f>G101-I101-J101-K101-L101</f>
        <v/>
      </c>
      <c r="N101" s="191">
        <f>IFERROR(M101/E101,0)</f>
        <v/>
      </c>
      <c r="O101" s="118">
        <f>MAX(M101,0)</f>
        <v/>
      </c>
      <c r="P101" s="192">
        <f>IFERROR(F101/O101,0)</f>
        <v/>
      </c>
      <c r="Q101" s="193">
        <f>IF(N101&gt;=Umbral_PUSH_pct,IF(M101&gt;=Umbral_PUSH_eur,"PUSH","NEUTRAL"),IF(N101&gt;=Umbral_NEUTRAL_pct,"NEUTRAL",IF(N101&gt;=Umbral_WATCH_pct,"WATCH","NO ANUNCIAR")))</f>
        <v/>
      </c>
    </row>
    <row r="102">
      <c r="A102" s="122" t="inlineStr">
        <is>
          <t>Hevea</t>
        </is>
      </c>
      <c r="B102" s="122" t="inlineStr">
        <is>
          <t>557-1164</t>
        </is>
      </c>
      <c r="C102" s="122" t="inlineStr">
        <is>
          <t>ADEL-7 SET SOFÁ RINCONERA / CORNER SOFA SET / SET CANAPÉ D’ANGLE</t>
        </is>
      </c>
      <c r="D102" s="124" t="n">
        <v>1342</v>
      </c>
      <c r="E102" s="124" t="n">
        <v>2130</v>
      </c>
      <c r="F102" s="124">
        <f>E102*(1+IVA)</f>
        <v/>
      </c>
      <c r="G102" s="124">
        <f>E102-D102</f>
        <v/>
      </c>
      <c r="H102" s="194">
        <f>IFERROR(G102/E102,0)</f>
        <v/>
      </c>
      <c r="I102" s="124">
        <f>F102*Comision_pago_pct+Comision_pago_fija</f>
        <v/>
      </c>
      <c r="J102" s="124">
        <f>IF(A102="Hevea",IF(F102&gt;=Hevea_umbral_envio_gratis,0,Hevea_coste_envio_bajo),Balliu_coste_envio)</f>
        <v/>
      </c>
      <c r="K102" s="124">
        <f>Tasa_devolucion*Coste_devolucion</f>
        <v/>
      </c>
      <c r="L102" s="124">
        <f>Tasa_incidencia*Coste_incidencia</f>
        <v/>
      </c>
      <c r="M102" s="124">
        <f>G102-I102-J102-K102-L102</f>
        <v/>
      </c>
      <c r="N102" s="194">
        <f>IFERROR(M102/E102,0)</f>
        <v/>
      </c>
      <c r="O102" s="124">
        <f>MAX(M102,0)</f>
        <v/>
      </c>
      <c r="P102" s="195">
        <f>IFERROR(F102/O102,0)</f>
        <v/>
      </c>
      <c r="Q102" s="196">
        <f>IF(N102&gt;=Umbral_PUSH_pct,IF(M102&gt;=Umbral_PUSH_eur,"PUSH","NEUTRAL"),IF(N102&gt;=Umbral_NEUTRAL_pct,"NEUTRAL",IF(N102&gt;=Umbral_WATCH_pct,"WATCH","NO ANUNCIAR")))</f>
        <v/>
      </c>
    </row>
    <row r="103">
      <c r="A103" s="116" t="inlineStr">
        <is>
          <t>Hevea</t>
        </is>
      </c>
      <c r="B103" s="116" t="inlineStr">
        <is>
          <t>557-010048</t>
        </is>
      </c>
      <c r="C103" s="116" t="inlineStr">
        <is>
          <t>ADEL-30 SET SOFÁ RINCONERA / CORNER SOFA SET / SET CANAPÉ D’ANGLE</t>
        </is>
      </c>
      <c r="D103" s="118" t="n">
        <v>1988</v>
      </c>
      <c r="E103" s="118" t="n">
        <v>3155</v>
      </c>
      <c r="F103" s="118">
        <f>E103*(1+IVA)</f>
        <v/>
      </c>
      <c r="G103" s="118">
        <f>E103-D103</f>
        <v/>
      </c>
      <c r="H103" s="191">
        <f>IFERROR(G103/E103,0)</f>
        <v/>
      </c>
      <c r="I103" s="118">
        <f>F103*Comision_pago_pct+Comision_pago_fija</f>
        <v/>
      </c>
      <c r="J103" s="118">
        <f>IF(A103="Hevea",IF(F103&gt;=Hevea_umbral_envio_gratis,0,Hevea_coste_envio_bajo),Balliu_coste_envio)</f>
        <v/>
      </c>
      <c r="K103" s="118">
        <f>Tasa_devolucion*Coste_devolucion</f>
        <v/>
      </c>
      <c r="L103" s="118">
        <f>Tasa_incidencia*Coste_incidencia</f>
        <v/>
      </c>
      <c r="M103" s="118">
        <f>G103-I103-J103-K103-L103</f>
        <v/>
      </c>
      <c r="N103" s="191">
        <f>IFERROR(M103/E103,0)</f>
        <v/>
      </c>
      <c r="O103" s="118">
        <f>MAX(M103,0)</f>
        <v/>
      </c>
      <c r="P103" s="192">
        <f>IFERROR(F103/O103,0)</f>
        <v/>
      </c>
      <c r="Q103" s="193">
        <f>IF(N103&gt;=Umbral_PUSH_pct,IF(M103&gt;=Umbral_PUSH_eur,"PUSH","NEUTRAL"),IF(N103&gt;=Umbral_NEUTRAL_pct,"NEUTRAL",IF(N103&gt;=Umbral_WATCH_pct,"WATCH","NO ANUNCIAR")))</f>
        <v/>
      </c>
    </row>
    <row r="104">
      <c r="A104" s="122" t="inlineStr">
        <is>
          <t>Hevea</t>
        </is>
      </c>
      <c r="B104" s="122" t="inlineStr">
        <is>
          <t>557-010177</t>
        </is>
      </c>
      <c r="C104" s="122" t="inlineStr">
        <is>
          <t>CORCEGA-135x90 HPL MESA COMEDOR / HPL DINING TABLE 135x90 / TABLE À MANGER HPL 135x90</t>
        </is>
      </c>
      <c r="D104" s="124" t="n">
        <v>344</v>
      </c>
      <c r="E104" s="124" t="n">
        <v>545</v>
      </c>
      <c r="F104" s="124">
        <f>E104*(1+IVA)</f>
        <v/>
      </c>
      <c r="G104" s="124">
        <f>E104-D104</f>
        <v/>
      </c>
      <c r="H104" s="194">
        <f>IFERROR(G104/E104,0)</f>
        <v/>
      </c>
      <c r="I104" s="124">
        <f>F104*Comision_pago_pct+Comision_pago_fija</f>
        <v/>
      </c>
      <c r="J104" s="124">
        <f>IF(A104="Hevea",IF(F104&gt;=Hevea_umbral_envio_gratis,0,Hevea_coste_envio_bajo),Balliu_coste_envio)</f>
        <v/>
      </c>
      <c r="K104" s="124">
        <f>Tasa_devolucion*Coste_devolucion</f>
        <v/>
      </c>
      <c r="L104" s="124">
        <f>Tasa_incidencia*Coste_incidencia</f>
        <v/>
      </c>
      <c r="M104" s="124">
        <f>G104-I104-J104-K104-L104</f>
        <v/>
      </c>
      <c r="N104" s="194">
        <f>IFERROR(M104/E104,0)</f>
        <v/>
      </c>
      <c r="O104" s="124">
        <f>MAX(M104,0)</f>
        <v/>
      </c>
      <c r="P104" s="195">
        <f>IFERROR(F104/O104,0)</f>
        <v/>
      </c>
      <c r="Q104" s="196">
        <f>IF(N104&gt;=Umbral_PUSH_pct,IF(M104&gt;=Umbral_PUSH_eur,"PUSH","NEUTRAL"),IF(N104&gt;=Umbral_NEUTRAL_pct,"NEUTRAL",IF(N104&gt;=Umbral_WATCH_pct,"WATCH","NO ANUNCIAR")))</f>
        <v/>
      </c>
    </row>
    <row r="105">
      <c r="A105" s="116" t="inlineStr">
        <is>
          <t>Hevea</t>
        </is>
      </c>
      <c r="B105" s="116" t="inlineStr">
        <is>
          <t>123-0017</t>
        </is>
      </c>
      <c r="C105" s="116" t="inlineStr">
        <is>
          <t>CORCEGA-160x90 HPL MESA COMEDOR / HPL DINING TABLE 160x90 / TABLE À MANGER HPL 160x90</t>
        </is>
      </c>
      <c r="D105" s="118" t="n">
        <v>375</v>
      </c>
      <c r="E105" s="118" t="n">
        <v>595</v>
      </c>
      <c r="F105" s="118">
        <f>E105*(1+IVA)</f>
        <v/>
      </c>
      <c r="G105" s="118">
        <f>E105-D105</f>
        <v/>
      </c>
      <c r="H105" s="191">
        <f>IFERROR(G105/E105,0)</f>
        <v/>
      </c>
      <c r="I105" s="118">
        <f>F105*Comision_pago_pct+Comision_pago_fija</f>
        <v/>
      </c>
      <c r="J105" s="118">
        <f>IF(A105="Hevea",IF(F105&gt;=Hevea_umbral_envio_gratis,0,Hevea_coste_envio_bajo),Balliu_coste_envio)</f>
        <v/>
      </c>
      <c r="K105" s="118">
        <f>Tasa_devolucion*Coste_devolucion</f>
        <v/>
      </c>
      <c r="L105" s="118">
        <f>Tasa_incidencia*Coste_incidencia</f>
        <v/>
      </c>
      <c r="M105" s="118">
        <f>G105-I105-J105-K105-L105</f>
        <v/>
      </c>
      <c r="N105" s="191">
        <f>IFERROR(M105/E105,0)</f>
        <v/>
      </c>
      <c r="O105" s="118">
        <f>MAX(M105,0)</f>
        <v/>
      </c>
      <c r="P105" s="192">
        <f>IFERROR(F105/O105,0)</f>
        <v/>
      </c>
      <c r="Q105" s="193">
        <f>IF(N105&gt;=Umbral_PUSH_pct,IF(M105&gt;=Umbral_PUSH_eur,"PUSH","NEUTRAL"),IF(N105&gt;=Umbral_NEUTRAL_pct,"NEUTRAL",IF(N105&gt;=Umbral_WATCH_pct,"WATCH","NO ANUNCIAR")))</f>
        <v/>
      </c>
    </row>
    <row r="106">
      <c r="A106" s="122" t="inlineStr">
        <is>
          <t>Hevea</t>
        </is>
      </c>
      <c r="B106" s="122" t="inlineStr">
        <is>
          <t>123-0002</t>
        </is>
      </c>
      <c r="C106" s="122" t="inlineStr">
        <is>
          <t>SILLA JANEIRO 3 / JANEIRO CHAIR 3 / CHAISE JANEIRO 3</t>
        </is>
      </c>
      <c r="D106" s="124" t="n">
        <v>104</v>
      </c>
      <c r="E106" s="124" t="n">
        <v>165</v>
      </c>
      <c r="F106" s="124">
        <f>E106*(1+IVA)</f>
        <v/>
      </c>
      <c r="G106" s="124">
        <f>E106-D106</f>
        <v/>
      </c>
      <c r="H106" s="194">
        <f>IFERROR(G106/E106,0)</f>
        <v/>
      </c>
      <c r="I106" s="124">
        <f>F106*Comision_pago_pct+Comision_pago_fija</f>
        <v/>
      </c>
      <c r="J106" s="124">
        <f>IF(A106="Hevea",IF(F106&gt;=Hevea_umbral_envio_gratis,0,Hevea_coste_envio_bajo),Balliu_coste_envio)</f>
        <v/>
      </c>
      <c r="K106" s="124">
        <f>Tasa_devolucion*Coste_devolucion</f>
        <v/>
      </c>
      <c r="L106" s="124">
        <f>Tasa_incidencia*Coste_incidencia</f>
        <v/>
      </c>
      <c r="M106" s="124">
        <f>G106-I106-J106-K106-L106</f>
        <v/>
      </c>
      <c r="N106" s="194">
        <f>IFERROR(M106/E106,0)</f>
        <v/>
      </c>
      <c r="O106" s="124">
        <f>MAX(M106,0)</f>
        <v/>
      </c>
      <c r="P106" s="195">
        <f>IFERROR(F106/O106,0)</f>
        <v/>
      </c>
      <c r="Q106" s="196">
        <f>IF(N106&gt;=Umbral_PUSH_pct,IF(M106&gt;=Umbral_PUSH_eur,"PUSH","NEUTRAL"),IF(N106&gt;=Umbral_NEUTRAL_pct,"NEUTRAL",IF(N106&gt;=Umbral_WATCH_pct,"WATCH","NO ANUNCIAR")))</f>
        <v/>
      </c>
    </row>
    <row r="107">
      <c r="A107" s="116" t="inlineStr">
        <is>
          <t>Hevea</t>
        </is>
      </c>
      <c r="B107" s="116" t="inlineStr">
        <is>
          <t>123-0001</t>
        </is>
      </c>
      <c r="C107" s="116" t="inlineStr">
        <is>
          <t>SILLA CÓRCEGA 3 / CORCEGA CHAIR 3 / CHAISE CORSE 3</t>
        </is>
      </c>
      <c r="D107" s="118" t="n">
        <v>92</v>
      </c>
      <c r="E107" s="118" t="n">
        <v>145</v>
      </c>
      <c r="F107" s="118">
        <f>E107*(1+IVA)</f>
        <v/>
      </c>
      <c r="G107" s="118">
        <f>E107-D107</f>
        <v/>
      </c>
      <c r="H107" s="191">
        <f>IFERROR(G107/E107,0)</f>
        <v/>
      </c>
      <c r="I107" s="118">
        <f>F107*Comision_pago_pct+Comision_pago_fija</f>
        <v/>
      </c>
      <c r="J107" s="118">
        <f>IF(A107="Hevea",IF(F107&gt;=Hevea_umbral_envio_gratis,0,Hevea_coste_envio_bajo),Balliu_coste_envio)</f>
        <v/>
      </c>
      <c r="K107" s="118">
        <f>Tasa_devolucion*Coste_devolucion</f>
        <v/>
      </c>
      <c r="L107" s="118">
        <f>Tasa_incidencia*Coste_incidencia</f>
        <v/>
      </c>
      <c r="M107" s="118">
        <f>G107-I107-J107-K107-L107</f>
        <v/>
      </c>
      <c r="N107" s="191">
        <f>IFERROR(M107/E107,0)</f>
        <v/>
      </c>
      <c r="O107" s="118">
        <f>MAX(M107,0)</f>
        <v/>
      </c>
      <c r="P107" s="192">
        <f>IFERROR(F107/O107,0)</f>
        <v/>
      </c>
      <c r="Q107" s="193">
        <f>IF(N107&gt;=Umbral_PUSH_pct,IF(M107&gt;=Umbral_PUSH_eur,"PUSH","NEUTRAL"),IF(N107&gt;=Umbral_NEUTRAL_pct,"NEUTRAL",IF(N107&gt;=Umbral_WATCH_pct,"WATCH","NO ANUNCIAR")))</f>
        <v/>
      </c>
    </row>
    <row r="108">
      <c r="A108" s="122" t="inlineStr">
        <is>
          <t>Hevea</t>
        </is>
      </c>
      <c r="B108" s="122" t="inlineStr">
        <is>
          <t>123-0013</t>
        </is>
      </c>
      <c r="C108" s="122" t="inlineStr">
        <is>
          <t>MESA HPL MUNDRA Ø100 x 76H / HPL MUNDRA TABLE Ø100 x 76H / TABLE HPL MUNDRA Ø100 x 76H</t>
        </is>
      </c>
      <c r="D108" s="124" t="n">
        <v>303</v>
      </c>
      <c r="E108" s="124" t="n">
        <v>480</v>
      </c>
      <c r="F108" s="124">
        <f>E108*(1+IVA)</f>
        <v/>
      </c>
      <c r="G108" s="124">
        <f>E108-D108</f>
        <v/>
      </c>
      <c r="H108" s="194">
        <f>IFERROR(G108/E108,0)</f>
        <v/>
      </c>
      <c r="I108" s="124">
        <f>F108*Comision_pago_pct+Comision_pago_fija</f>
        <v/>
      </c>
      <c r="J108" s="124">
        <f>IF(A108="Hevea",IF(F108&gt;=Hevea_umbral_envio_gratis,0,Hevea_coste_envio_bajo),Balliu_coste_envio)</f>
        <v/>
      </c>
      <c r="K108" s="124">
        <f>Tasa_devolucion*Coste_devolucion</f>
        <v/>
      </c>
      <c r="L108" s="124">
        <f>Tasa_incidencia*Coste_incidencia</f>
        <v/>
      </c>
      <c r="M108" s="124">
        <f>G108-I108-J108-K108-L108</f>
        <v/>
      </c>
      <c r="N108" s="194">
        <f>IFERROR(M108/E108,0)</f>
        <v/>
      </c>
      <c r="O108" s="124">
        <f>MAX(M108,0)</f>
        <v/>
      </c>
      <c r="P108" s="195">
        <f>IFERROR(F108/O108,0)</f>
        <v/>
      </c>
      <c r="Q108" s="196">
        <f>IF(N108&gt;=Umbral_PUSH_pct,IF(M108&gt;=Umbral_PUSH_eur,"PUSH","NEUTRAL"),IF(N108&gt;=Umbral_NEUTRAL_pct,"NEUTRAL",IF(N108&gt;=Umbral_WATCH_pct,"WATCH","NO ANUNCIAR")))</f>
        <v/>
      </c>
    </row>
    <row r="109">
      <c r="A109" s="116" t="inlineStr">
        <is>
          <t>Hevea</t>
        </is>
      </c>
      <c r="B109" s="116" t="inlineStr">
        <is>
          <t>557-011019</t>
        </is>
      </c>
      <c r="C109" s="116" t="inlineStr">
        <is>
          <t>HPL MUNDRA 150 MESA / HPL MUNDRA 150 TABLE / TABLE HPL MUNDRA 150</t>
        </is>
      </c>
      <c r="D109" s="118" t="n">
        <v>347</v>
      </c>
      <c r="E109" s="118" t="n">
        <v>550</v>
      </c>
      <c r="F109" s="118">
        <f>E109*(1+IVA)</f>
        <v/>
      </c>
      <c r="G109" s="118">
        <f>E109-D109</f>
        <v/>
      </c>
      <c r="H109" s="191">
        <f>IFERROR(G109/E109,0)</f>
        <v/>
      </c>
      <c r="I109" s="118">
        <f>F109*Comision_pago_pct+Comision_pago_fija</f>
        <v/>
      </c>
      <c r="J109" s="118">
        <f>IF(A109="Hevea",IF(F109&gt;=Hevea_umbral_envio_gratis,0,Hevea_coste_envio_bajo),Balliu_coste_envio)</f>
        <v/>
      </c>
      <c r="K109" s="118">
        <f>Tasa_devolucion*Coste_devolucion</f>
        <v/>
      </c>
      <c r="L109" s="118">
        <f>Tasa_incidencia*Coste_incidencia</f>
        <v/>
      </c>
      <c r="M109" s="118">
        <f>G109-I109-J109-K109-L109</f>
        <v/>
      </c>
      <c r="N109" s="191">
        <f>IFERROR(M109/E109,0)</f>
        <v/>
      </c>
      <c r="O109" s="118">
        <f>MAX(M109,0)</f>
        <v/>
      </c>
      <c r="P109" s="192">
        <f>IFERROR(F109/O109,0)</f>
        <v/>
      </c>
      <c r="Q109" s="193">
        <f>IF(N109&gt;=Umbral_PUSH_pct,IF(M109&gt;=Umbral_PUSH_eur,"PUSH","NEUTRAL"),IF(N109&gt;=Umbral_NEUTRAL_pct,"NEUTRAL",IF(N109&gt;=Umbral_WATCH_pct,"WATCH","NO ANUNCIAR")))</f>
        <v/>
      </c>
    </row>
    <row r="110">
      <c r="A110" s="122" t="inlineStr">
        <is>
          <t>Hevea</t>
        </is>
      </c>
      <c r="B110" s="122" t="inlineStr">
        <is>
          <t>123-0011</t>
        </is>
      </c>
      <c r="C110" s="122" t="inlineStr">
        <is>
          <t>SILLÓN AVALON-3 / AVALON-3 ARMCHAIR / FAUTEUIL AVALON-3</t>
        </is>
      </c>
      <c r="D110" s="124" t="n">
        <v>60</v>
      </c>
      <c r="E110" s="124" t="n">
        <v>95</v>
      </c>
      <c r="F110" s="124">
        <f>E110*(1+IVA)</f>
        <v/>
      </c>
      <c r="G110" s="124">
        <f>E110-D110</f>
        <v/>
      </c>
      <c r="H110" s="194">
        <f>IFERROR(G110/E110,0)</f>
        <v/>
      </c>
      <c r="I110" s="124">
        <f>F110*Comision_pago_pct+Comision_pago_fija</f>
        <v/>
      </c>
      <c r="J110" s="124">
        <f>IF(A110="Hevea",IF(F110&gt;=Hevea_umbral_envio_gratis,0,Hevea_coste_envio_bajo),Balliu_coste_envio)</f>
        <v/>
      </c>
      <c r="K110" s="124">
        <f>Tasa_devolucion*Coste_devolucion</f>
        <v/>
      </c>
      <c r="L110" s="124">
        <f>Tasa_incidencia*Coste_incidencia</f>
        <v/>
      </c>
      <c r="M110" s="124">
        <f>G110-I110-J110-K110-L110</f>
        <v/>
      </c>
      <c r="N110" s="194">
        <f>IFERROR(M110/E110,0)</f>
        <v/>
      </c>
      <c r="O110" s="124">
        <f>MAX(M110,0)</f>
        <v/>
      </c>
      <c r="P110" s="195">
        <f>IFERROR(F110/O110,0)</f>
        <v/>
      </c>
      <c r="Q110" s="196">
        <f>IF(N110&gt;=Umbral_PUSH_pct,IF(M110&gt;=Umbral_PUSH_eur,"PUSH","NEUTRAL"),IF(N110&gt;=Umbral_NEUTRAL_pct,"NEUTRAL",IF(N110&gt;=Umbral_WATCH_pct,"WATCH","NO ANUNCIAR")))</f>
        <v/>
      </c>
    </row>
    <row r="111">
      <c r="A111" s="116" t="inlineStr">
        <is>
          <t>Hevea</t>
        </is>
      </c>
      <c r="B111" s="116" t="inlineStr">
        <is>
          <t>123-0038</t>
        </is>
      </c>
      <c r="C111" s="116" t="inlineStr">
        <is>
          <t>BRESCIA-12 TUMBONA / SUNBED / BAIN DE SOLEIL</t>
        </is>
      </c>
      <c r="D111" s="118" t="n">
        <v>101</v>
      </c>
      <c r="E111" s="118" t="n">
        <v>160</v>
      </c>
      <c r="F111" s="118">
        <f>E111*(1+IVA)</f>
        <v/>
      </c>
      <c r="G111" s="118">
        <f>E111-D111</f>
        <v/>
      </c>
      <c r="H111" s="191">
        <f>IFERROR(G111/E111,0)</f>
        <v/>
      </c>
      <c r="I111" s="118">
        <f>F111*Comision_pago_pct+Comision_pago_fija</f>
        <v/>
      </c>
      <c r="J111" s="118">
        <f>IF(A111="Hevea",IF(F111&gt;=Hevea_umbral_envio_gratis,0,Hevea_coste_envio_bajo),Balliu_coste_envio)</f>
        <v/>
      </c>
      <c r="K111" s="118">
        <f>Tasa_devolucion*Coste_devolucion</f>
        <v/>
      </c>
      <c r="L111" s="118">
        <f>Tasa_incidencia*Coste_incidencia</f>
        <v/>
      </c>
      <c r="M111" s="118">
        <f>G111-I111-J111-K111-L111</f>
        <v/>
      </c>
      <c r="N111" s="191">
        <f>IFERROR(M111/E111,0)</f>
        <v/>
      </c>
      <c r="O111" s="118">
        <f>MAX(M111,0)</f>
        <v/>
      </c>
      <c r="P111" s="192">
        <f>IFERROR(F111/O111,0)</f>
        <v/>
      </c>
      <c r="Q111" s="193">
        <f>IF(N111&gt;=Umbral_PUSH_pct,IF(M111&gt;=Umbral_PUSH_eur,"PUSH","NEUTRAL"),IF(N111&gt;=Umbral_NEUTRAL_pct,"NEUTRAL",IF(N111&gt;=Umbral_WATCH_pct,"WATCH","NO ANUNCIAR")))</f>
        <v/>
      </c>
    </row>
    <row r="112">
      <c r="A112" s="122" t="inlineStr">
        <is>
          <t>Hevea</t>
        </is>
      </c>
      <c r="B112" s="122" t="inlineStr">
        <is>
          <t>928-0016</t>
        </is>
      </c>
      <c r="C112" s="122" t="inlineStr">
        <is>
          <t>PARASOL VIENA 300 / VIENNA PARASOL 300 / PARASOL VIENNE 300</t>
        </is>
      </c>
      <c r="D112" s="124" t="n">
        <v>189</v>
      </c>
      <c r="E112" s="124" t="n">
        <v>300</v>
      </c>
      <c r="F112" s="124">
        <f>E112*(1+IVA)</f>
        <v/>
      </c>
      <c r="G112" s="124">
        <f>E112-D112</f>
        <v/>
      </c>
      <c r="H112" s="194">
        <f>IFERROR(G112/E112,0)</f>
        <v/>
      </c>
      <c r="I112" s="124">
        <f>F112*Comision_pago_pct+Comision_pago_fija</f>
        <v/>
      </c>
      <c r="J112" s="124">
        <f>IF(A112="Hevea",IF(F112&gt;=Hevea_umbral_envio_gratis,0,Hevea_coste_envio_bajo),Balliu_coste_envio)</f>
        <v/>
      </c>
      <c r="K112" s="124">
        <f>Tasa_devolucion*Coste_devolucion</f>
        <v/>
      </c>
      <c r="L112" s="124">
        <f>Tasa_incidencia*Coste_incidencia</f>
        <v/>
      </c>
      <c r="M112" s="124">
        <f>G112-I112-J112-K112-L112</f>
        <v/>
      </c>
      <c r="N112" s="194">
        <f>IFERROR(M112/E112,0)</f>
        <v/>
      </c>
      <c r="O112" s="124">
        <f>MAX(M112,0)</f>
        <v/>
      </c>
      <c r="P112" s="195">
        <f>IFERROR(F112/O112,0)</f>
        <v/>
      </c>
      <c r="Q112" s="196">
        <f>IF(N112&gt;=Umbral_PUSH_pct,IF(M112&gt;=Umbral_PUSH_eur,"PUSH","NEUTRAL"),IF(N112&gt;=Umbral_NEUTRAL_pct,"NEUTRAL",IF(N112&gt;=Umbral_WATCH_pct,"WATCH","NO ANUNCIAR")))</f>
        <v/>
      </c>
    </row>
    <row r="113">
      <c r="A113" s="116" t="inlineStr">
        <is>
          <t>Hevea</t>
        </is>
      </c>
      <c r="B113" s="116" t="inlineStr">
        <is>
          <t>557-1682</t>
        </is>
      </c>
      <c r="C113" s="116" t="inlineStr">
        <is>
          <t>PARASOL SAMSON Ø350 / SAMSON PARASOL / PARASOL SAMSON</t>
        </is>
      </c>
      <c r="D113" s="118" t="n">
        <v>561</v>
      </c>
      <c r="E113" s="118" t="n">
        <v>890</v>
      </c>
      <c r="F113" s="118">
        <f>E113*(1+IVA)</f>
        <v/>
      </c>
      <c r="G113" s="118">
        <f>E113-D113</f>
        <v/>
      </c>
      <c r="H113" s="191">
        <f>IFERROR(G113/E113,0)</f>
        <v/>
      </c>
      <c r="I113" s="118">
        <f>F113*Comision_pago_pct+Comision_pago_fija</f>
        <v/>
      </c>
      <c r="J113" s="118">
        <f>IF(A113="Hevea",IF(F113&gt;=Hevea_umbral_envio_gratis,0,Hevea_coste_envio_bajo),Balliu_coste_envio)</f>
        <v/>
      </c>
      <c r="K113" s="118">
        <f>Tasa_devolucion*Coste_devolucion</f>
        <v/>
      </c>
      <c r="L113" s="118">
        <f>Tasa_incidencia*Coste_incidencia</f>
        <v/>
      </c>
      <c r="M113" s="118">
        <f>G113-I113-J113-K113-L113</f>
        <v/>
      </c>
      <c r="N113" s="191">
        <f>IFERROR(M113/E113,0)</f>
        <v/>
      </c>
      <c r="O113" s="118">
        <f>MAX(M113,0)</f>
        <v/>
      </c>
      <c r="P113" s="192">
        <f>IFERROR(F113/O113,0)</f>
        <v/>
      </c>
      <c r="Q113" s="193">
        <f>IF(N113&gt;=Umbral_PUSH_pct,IF(M113&gt;=Umbral_PUSH_eur,"PUSH","NEUTRAL"),IF(N113&gt;=Umbral_NEUTRAL_pct,"NEUTRAL",IF(N113&gt;=Umbral_WATCH_pct,"WATCH","NO ANUNCIAR")))</f>
        <v/>
      </c>
    </row>
    <row r="114">
      <c r="A114" s="122" t="inlineStr">
        <is>
          <t>Hevea</t>
        </is>
      </c>
      <c r="B114" s="122" t="inlineStr">
        <is>
          <t>928-0010</t>
        </is>
      </c>
      <c r="C114" s="122" t="inlineStr">
        <is>
          <t>PARASOL CARACAS 300 / CARACAS PARASOL 300 / PARASOL CARACAS 300</t>
        </is>
      </c>
      <c r="D114" s="124" t="n">
        <v>86</v>
      </c>
      <c r="E114" s="124" t="n">
        <v>135</v>
      </c>
      <c r="F114" s="124">
        <f>E114*(1+IVA)</f>
        <v/>
      </c>
      <c r="G114" s="124">
        <f>E114-D114</f>
        <v/>
      </c>
      <c r="H114" s="194">
        <f>IFERROR(G114/E114,0)</f>
        <v/>
      </c>
      <c r="I114" s="124">
        <f>F114*Comision_pago_pct+Comision_pago_fija</f>
        <v/>
      </c>
      <c r="J114" s="124">
        <f>IF(A114="Hevea",IF(F114&gt;=Hevea_umbral_envio_gratis,0,Hevea_coste_envio_bajo),Balliu_coste_envio)</f>
        <v/>
      </c>
      <c r="K114" s="124">
        <f>Tasa_devolucion*Coste_devolucion</f>
        <v/>
      </c>
      <c r="L114" s="124">
        <f>Tasa_incidencia*Coste_incidencia</f>
        <v/>
      </c>
      <c r="M114" s="124">
        <f>G114-I114-J114-K114-L114</f>
        <v/>
      </c>
      <c r="N114" s="194">
        <f>IFERROR(M114/E114,0)</f>
        <v/>
      </c>
      <c r="O114" s="124">
        <f>MAX(M114,0)</f>
        <v/>
      </c>
      <c r="P114" s="195">
        <f>IFERROR(F114/O114,0)</f>
        <v/>
      </c>
      <c r="Q114" s="196">
        <f>IF(N114&gt;=Umbral_PUSH_pct,IF(M114&gt;=Umbral_PUSH_eur,"PUSH","NEUTRAL"),IF(N114&gt;=Umbral_NEUTRAL_pct,"NEUTRAL",IF(N114&gt;=Umbral_WATCH_pct,"WATCH","NO ANUNCIAR")))</f>
        <v/>
      </c>
    </row>
    <row r="115">
      <c r="A115" s="116" t="inlineStr">
        <is>
          <t>Hevea</t>
        </is>
      </c>
      <c r="B115" s="116" t="inlineStr">
        <is>
          <t>921-0026</t>
        </is>
      </c>
      <c r="C115" s="116" t="inlineStr">
        <is>
          <t>BASE DE PARASOL 25KG</t>
        </is>
      </c>
      <c r="D115" s="118" t="n">
        <v>41</v>
      </c>
      <c r="E115" s="118" t="n">
        <v>65</v>
      </c>
      <c r="F115" s="118">
        <f>E115*(1+IVA)</f>
        <v/>
      </c>
      <c r="G115" s="118">
        <f>E115-D115</f>
        <v/>
      </c>
      <c r="H115" s="191">
        <f>IFERROR(G115/E115,0)</f>
        <v/>
      </c>
      <c r="I115" s="118">
        <f>F115*Comision_pago_pct+Comision_pago_fija</f>
        <v/>
      </c>
      <c r="J115" s="118">
        <f>IF(A115="Hevea",IF(F115&gt;=Hevea_umbral_envio_gratis,0,Hevea_coste_envio_bajo),Balliu_coste_envio)</f>
        <v/>
      </c>
      <c r="K115" s="118">
        <f>Tasa_devolucion*Coste_devolucion</f>
        <v/>
      </c>
      <c r="L115" s="118">
        <f>Tasa_incidencia*Coste_incidencia</f>
        <v/>
      </c>
      <c r="M115" s="118">
        <f>G115-I115-J115-K115-L115</f>
        <v/>
      </c>
      <c r="N115" s="191">
        <f>IFERROR(M115/E115,0)</f>
        <v/>
      </c>
      <c r="O115" s="118">
        <f>MAX(M115,0)</f>
        <v/>
      </c>
      <c r="P115" s="192">
        <f>IFERROR(F115/O115,0)</f>
        <v/>
      </c>
      <c r="Q115" s="193">
        <f>IF(N115&gt;=Umbral_PUSH_pct,IF(M115&gt;=Umbral_PUSH_eur,"PUSH","NEUTRAL"),IF(N115&gt;=Umbral_NEUTRAL_pct,"NEUTRAL",IF(N115&gt;=Umbral_WATCH_pct,"WATCH","NO ANUNCIAR")))</f>
        <v/>
      </c>
    </row>
    <row r="116">
      <c r="A116" s="122" t="inlineStr">
        <is>
          <t>Hevea</t>
        </is>
      </c>
      <c r="B116" s="122" t="inlineStr">
        <is>
          <t>921-0009</t>
        </is>
      </c>
      <c r="C116" s="122" t="inlineStr">
        <is>
          <t>JUEGO 4 LOSAS CEMENTO BASE PARASOL GRANITE</t>
        </is>
      </c>
      <c r="D116" s="124" t="n">
        <v>114</v>
      </c>
      <c r="E116" s="124" t="n">
        <v>180</v>
      </c>
      <c r="F116" s="124">
        <f>E116*(1+IVA)</f>
        <v/>
      </c>
      <c r="G116" s="124">
        <f>E116-D116</f>
        <v/>
      </c>
      <c r="H116" s="194">
        <f>IFERROR(G116/E116,0)</f>
        <v/>
      </c>
      <c r="I116" s="124">
        <f>F116*Comision_pago_pct+Comision_pago_fija</f>
        <v/>
      </c>
      <c r="J116" s="124">
        <f>IF(A116="Hevea",IF(F116&gt;=Hevea_umbral_envio_gratis,0,Hevea_coste_envio_bajo),Balliu_coste_envio)</f>
        <v/>
      </c>
      <c r="K116" s="124">
        <f>Tasa_devolucion*Coste_devolucion</f>
        <v/>
      </c>
      <c r="L116" s="124">
        <f>Tasa_incidencia*Coste_incidencia</f>
        <v/>
      </c>
      <c r="M116" s="124">
        <f>G116-I116-J116-K116-L116</f>
        <v/>
      </c>
      <c r="N116" s="194">
        <f>IFERROR(M116/E116,0)</f>
        <v/>
      </c>
      <c r="O116" s="124">
        <f>MAX(M116,0)</f>
        <v/>
      </c>
      <c r="P116" s="195">
        <f>IFERROR(F116/O116,0)</f>
        <v/>
      </c>
      <c r="Q116" s="196">
        <f>IF(N116&gt;=Umbral_PUSH_pct,IF(M116&gt;=Umbral_PUSH_eur,"PUSH","NEUTRAL"),IF(N116&gt;=Umbral_NEUTRAL_pct,"NEUTRAL",IF(N116&gt;=Umbral_WATCH_pct,"WATCH","NO ANUNCIAR")))</f>
        <v/>
      </c>
    </row>
    <row r="117">
      <c r="A117" s="116" t="inlineStr">
        <is>
          <t>Hevea</t>
        </is>
      </c>
      <c r="B117" s="116" t="inlineStr">
        <is>
          <t>557-010143</t>
        </is>
      </c>
      <c r="C117" s="116" t="inlineStr">
        <is>
          <t>BALANCÍN SIDNEY</t>
        </is>
      </c>
      <c r="D117" s="118" t="n">
        <v>939</v>
      </c>
      <c r="E117" s="118" t="n">
        <v>1490</v>
      </c>
      <c r="F117" s="118">
        <f>E117*(1+IVA)</f>
        <v/>
      </c>
      <c r="G117" s="118">
        <f>E117-D117</f>
        <v/>
      </c>
      <c r="H117" s="191">
        <f>IFERROR(G117/E117,0)</f>
        <v/>
      </c>
      <c r="I117" s="118">
        <f>F117*Comision_pago_pct+Comision_pago_fija</f>
        <v/>
      </c>
      <c r="J117" s="118">
        <f>IF(A117="Hevea",IF(F117&gt;=Hevea_umbral_envio_gratis,0,Hevea_coste_envio_bajo),Balliu_coste_envio)</f>
        <v/>
      </c>
      <c r="K117" s="118">
        <f>Tasa_devolucion*Coste_devolucion</f>
        <v/>
      </c>
      <c r="L117" s="118">
        <f>Tasa_incidencia*Coste_incidencia</f>
        <v/>
      </c>
      <c r="M117" s="118">
        <f>G117-I117-J117-K117-L117</f>
        <v/>
      </c>
      <c r="N117" s="191">
        <f>IFERROR(M117/E117,0)</f>
        <v/>
      </c>
      <c r="O117" s="118">
        <f>MAX(M117,0)</f>
        <v/>
      </c>
      <c r="P117" s="192">
        <f>IFERROR(F117/O117,0)</f>
        <v/>
      </c>
      <c r="Q117" s="193">
        <f>IF(N117&gt;=Umbral_PUSH_pct,IF(M117&gt;=Umbral_PUSH_eur,"PUSH","NEUTRAL"),IF(N117&gt;=Umbral_NEUTRAL_pct,"NEUTRAL",IF(N117&gt;=Umbral_WATCH_pct,"WATCH","NO ANUNCIAR")))</f>
        <v/>
      </c>
    </row>
    <row r="118">
      <c r="A118" s="122" t="inlineStr">
        <is>
          <t>Hevea</t>
        </is>
      </c>
      <c r="B118" s="122" t="inlineStr">
        <is>
          <t>557-010947</t>
        </is>
      </c>
      <c r="C118" s="122" t="inlineStr">
        <is>
          <t>YULIEN BANCO CON MESA / YULIEN BENCH WITH TABLE / BANC YULIEN AVEC TABLE</t>
        </is>
      </c>
      <c r="D118" s="124" t="n">
        <v>1509</v>
      </c>
      <c r="E118" s="124" t="n">
        <v>2395</v>
      </c>
      <c r="F118" s="124">
        <f>E118*(1+IVA)</f>
        <v/>
      </c>
      <c r="G118" s="124">
        <f>E118-D118</f>
        <v/>
      </c>
      <c r="H118" s="194">
        <f>IFERROR(G118/E118,0)</f>
        <v/>
      </c>
      <c r="I118" s="124">
        <f>F118*Comision_pago_pct+Comision_pago_fija</f>
        <v/>
      </c>
      <c r="J118" s="124">
        <f>IF(A118="Hevea",IF(F118&gt;=Hevea_umbral_envio_gratis,0,Hevea_coste_envio_bajo),Balliu_coste_envio)</f>
        <v/>
      </c>
      <c r="K118" s="124">
        <f>Tasa_devolucion*Coste_devolucion</f>
        <v/>
      </c>
      <c r="L118" s="124">
        <f>Tasa_incidencia*Coste_incidencia</f>
        <v/>
      </c>
      <c r="M118" s="124">
        <f>G118-I118-J118-K118-L118</f>
        <v/>
      </c>
      <c r="N118" s="194">
        <f>IFERROR(M118/E118,0)</f>
        <v/>
      </c>
      <c r="O118" s="124">
        <f>MAX(M118,0)</f>
        <v/>
      </c>
      <c r="P118" s="195">
        <f>IFERROR(F118/O118,0)</f>
        <v/>
      </c>
      <c r="Q118" s="196">
        <f>IF(N118&gt;=Umbral_PUSH_pct,IF(M118&gt;=Umbral_PUSH_eur,"PUSH","NEUTRAL"),IF(N118&gt;=Umbral_NEUTRAL_pct,"NEUTRAL",IF(N118&gt;=Umbral_WATCH_pct,"WATCH","NO ANUNCIAR")))</f>
        <v/>
      </c>
    </row>
    <row r="119">
      <c r="A119" s="116" t="inlineStr">
        <is>
          <t>Hevea</t>
        </is>
      </c>
      <c r="B119" s="116" t="inlineStr">
        <is>
          <t>557-010016</t>
        </is>
      </c>
      <c r="C119" s="116" t="inlineStr">
        <is>
          <t>GULLIVER BANCO / GULLIVER BENCH / BANC GULLIVER</t>
        </is>
      </c>
      <c r="D119" s="118" t="n">
        <v>221</v>
      </c>
      <c r="E119" s="118" t="n">
        <v>350</v>
      </c>
      <c r="F119" s="118">
        <f>E119*(1+IVA)</f>
        <v/>
      </c>
      <c r="G119" s="118">
        <f>E119-D119</f>
        <v/>
      </c>
      <c r="H119" s="191">
        <f>IFERROR(G119/E119,0)</f>
        <v/>
      </c>
      <c r="I119" s="118">
        <f>F119*Comision_pago_pct+Comision_pago_fija</f>
        <v/>
      </c>
      <c r="J119" s="118">
        <f>IF(A119="Hevea",IF(F119&gt;=Hevea_umbral_envio_gratis,0,Hevea_coste_envio_bajo),Balliu_coste_envio)</f>
        <v/>
      </c>
      <c r="K119" s="118">
        <f>Tasa_devolucion*Coste_devolucion</f>
        <v/>
      </c>
      <c r="L119" s="118">
        <f>Tasa_incidencia*Coste_incidencia</f>
        <v/>
      </c>
      <c r="M119" s="118">
        <f>G119-I119-J119-K119-L119</f>
        <v/>
      </c>
      <c r="N119" s="191">
        <f>IFERROR(M119/E119,0)</f>
        <v/>
      </c>
      <c r="O119" s="118">
        <f>MAX(M119,0)</f>
        <v/>
      </c>
      <c r="P119" s="192">
        <f>IFERROR(F119/O119,0)</f>
        <v/>
      </c>
      <c r="Q119" s="193">
        <f>IF(N119&gt;=Umbral_PUSH_pct,IF(M119&gt;=Umbral_PUSH_eur,"PUSH","NEUTRAL"),IF(N119&gt;=Umbral_NEUTRAL_pct,"NEUTRAL",IF(N119&gt;=Umbral_WATCH_pct,"WATCH","NO ANUNCIAR")))</f>
        <v/>
      </c>
    </row>
    <row r="120">
      <c r="A120" s="122" t="inlineStr">
        <is>
          <t>Hevea</t>
        </is>
      </c>
      <c r="B120" s="122" t="inlineStr">
        <is>
          <t>557-011350</t>
        </is>
      </c>
      <c r="C120" s="122" t="inlineStr">
        <is>
          <t>SEVILLA BANCO / SEVILLA BENCH / BANC SEVILLA</t>
        </is>
      </c>
      <c r="D120" s="124" t="n">
        <v>199</v>
      </c>
      <c r="E120" s="124" t="n">
        <v>315</v>
      </c>
      <c r="F120" s="124">
        <f>E120*(1+IVA)</f>
        <v/>
      </c>
      <c r="G120" s="124">
        <f>E120-D120</f>
        <v/>
      </c>
      <c r="H120" s="194">
        <f>IFERROR(G120/E120,0)</f>
        <v/>
      </c>
      <c r="I120" s="124">
        <f>F120*Comision_pago_pct+Comision_pago_fija</f>
        <v/>
      </c>
      <c r="J120" s="124">
        <f>IF(A120="Hevea",IF(F120&gt;=Hevea_umbral_envio_gratis,0,Hevea_coste_envio_bajo),Balliu_coste_envio)</f>
        <v/>
      </c>
      <c r="K120" s="124">
        <f>Tasa_devolucion*Coste_devolucion</f>
        <v/>
      </c>
      <c r="L120" s="124">
        <f>Tasa_incidencia*Coste_incidencia</f>
        <v/>
      </c>
      <c r="M120" s="124">
        <f>G120-I120-J120-K120-L120</f>
        <v/>
      </c>
      <c r="N120" s="194">
        <f>IFERROR(M120/E120,0)</f>
        <v/>
      </c>
      <c r="O120" s="124">
        <f>MAX(M120,0)</f>
        <v/>
      </c>
      <c r="P120" s="195">
        <f>IFERROR(F120/O120,0)</f>
        <v/>
      </c>
      <c r="Q120" s="196">
        <f>IF(N120&gt;=Umbral_PUSH_pct,IF(M120&gt;=Umbral_PUSH_eur,"PUSH","NEUTRAL"),IF(N120&gt;=Umbral_NEUTRAL_pct,"NEUTRAL",IF(N120&gt;=Umbral_WATCH_pct,"WATCH","NO ANUNCIAR")))</f>
        <v/>
      </c>
    </row>
    <row r="121">
      <c r="A121" s="116" t="inlineStr">
        <is>
          <t>Balliu</t>
        </is>
      </c>
      <c r="B121" s="116" t="inlineStr">
        <is>
          <t>BALLIU_EVA_PRO_TUMBONA_CHASIS_BLANCO_TA_923110D9</t>
        </is>
      </c>
      <c r="C121" s="116" t="inlineStr">
        <is>
          <t>Tumbona de exterior resina</t>
        </is>
      </c>
      <c r="D121" s="118" t="n">
        <v>112.55</v>
      </c>
      <c r="E121" s="118" t="n">
        <v>181.54</v>
      </c>
      <c r="F121" s="118">
        <f>E121*(1+IVA)</f>
        <v/>
      </c>
      <c r="G121" s="118">
        <f>E121-D121</f>
        <v/>
      </c>
      <c r="H121" s="191">
        <f>IFERROR(G121/E121,0)</f>
        <v/>
      </c>
      <c r="I121" s="118">
        <f>F121*Comision_pago_pct+Comision_pago_fija</f>
        <v/>
      </c>
      <c r="J121" s="118">
        <f>IF(A121="Hevea",IF(F121&gt;=Hevea_umbral_envio_gratis,0,Hevea_coste_envio_bajo),Balliu_coste_envio)</f>
        <v/>
      </c>
      <c r="K121" s="118">
        <f>Tasa_devolucion*Coste_devolucion</f>
        <v/>
      </c>
      <c r="L121" s="118">
        <f>Tasa_incidencia*Coste_incidencia</f>
        <v/>
      </c>
      <c r="M121" s="118">
        <f>G121-I121-J121-K121-L121</f>
        <v/>
      </c>
      <c r="N121" s="191">
        <f>IFERROR(M121/E121,0)</f>
        <v/>
      </c>
      <c r="O121" s="118">
        <f>MAX(M121,0)</f>
        <v/>
      </c>
      <c r="P121" s="192">
        <f>IFERROR(F121/O121,0)</f>
        <v/>
      </c>
      <c r="Q121" s="193">
        <f>IF(N121&gt;=Umbral_PUSH_pct,IF(M121&gt;=Umbral_PUSH_eur,"PUSH","NEUTRAL"),IF(N121&gt;=Umbral_NEUTRAL_pct,"NEUTRAL",IF(N121&gt;=Umbral_WATCH_pct,"WATCH","NO ANUNCIAR")))</f>
        <v/>
      </c>
    </row>
    <row r="122">
      <c r="A122" s="122" t="inlineStr">
        <is>
          <t>Balliu</t>
        </is>
      </c>
      <c r="B122" s="122" t="inlineStr">
        <is>
          <t>BALLIU_EVA_PRO_TUMBONA_CHASIS_BLANCO_TE_B19AF1EA</t>
        </is>
      </c>
      <c r="C122" s="122" t="inlineStr">
        <is>
          <t>Tumbona de exterior resina</t>
        </is>
      </c>
      <c r="D122" s="124" t="n">
        <v>117.05</v>
      </c>
      <c r="E122" s="124" t="n">
        <v>188.79</v>
      </c>
      <c r="F122" s="124">
        <f>E122*(1+IVA)</f>
        <v/>
      </c>
      <c r="G122" s="124">
        <f>E122-D122</f>
        <v/>
      </c>
      <c r="H122" s="194">
        <f>IFERROR(G122/E122,0)</f>
        <v/>
      </c>
      <c r="I122" s="124">
        <f>F122*Comision_pago_pct+Comision_pago_fija</f>
        <v/>
      </c>
      <c r="J122" s="124">
        <f>IF(A122="Hevea",IF(F122&gt;=Hevea_umbral_envio_gratis,0,Hevea_coste_envio_bajo),Balliu_coste_envio)</f>
        <v/>
      </c>
      <c r="K122" s="124">
        <f>Tasa_devolucion*Coste_devolucion</f>
        <v/>
      </c>
      <c r="L122" s="124">
        <f>Tasa_incidencia*Coste_incidencia</f>
        <v/>
      </c>
      <c r="M122" s="124">
        <f>G122-I122-J122-K122-L122</f>
        <v/>
      </c>
      <c r="N122" s="194">
        <f>IFERROR(M122/E122,0)</f>
        <v/>
      </c>
      <c r="O122" s="124">
        <f>MAX(M122,0)</f>
        <v/>
      </c>
      <c r="P122" s="195">
        <f>IFERROR(F122/O122,0)</f>
        <v/>
      </c>
      <c r="Q122" s="196">
        <f>IF(N122&gt;=Umbral_PUSH_pct,IF(M122&gt;=Umbral_PUSH_eur,"PUSH","NEUTRAL"),IF(N122&gt;=Umbral_NEUTRAL_pct,"NEUTRAL",IF(N122&gt;=Umbral_WATCH_pct,"WATCH","NO ANUNCIAR")))</f>
        <v/>
      </c>
    </row>
    <row r="123">
      <c r="A123" s="116" t="inlineStr">
        <is>
          <t>Balliu</t>
        </is>
      </c>
      <c r="B123" s="116" t="inlineStr">
        <is>
          <t>BALLIU_EVA_PRO_TUMBONA_CHASIS_PRESTIGE__DDEEEF3F</t>
        </is>
      </c>
      <c r="C123" s="116" t="inlineStr">
        <is>
          <t>Tumbona de exterior resina</t>
        </is>
      </c>
      <c r="D123" s="118" t="n">
        <v>124.07</v>
      </c>
      <c r="E123" s="118" t="n">
        <v>200.11</v>
      </c>
      <c r="F123" s="118">
        <f>E123*(1+IVA)</f>
        <v/>
      </c>
      <c r="G123" s="118">
        <f>E123-D123</f>
        <v/>
      </c>
      <c r="H123" s="191">
        <f>IFERROR(G123/E123,0)</f>
        <v/>
      </c>
      <c r="I123" s="118">
        <f>F123*Comision_pago_pct+Comision_pago_fija</f>
        <v/>
      </c>
      <c r="J123" s="118">
        <f>IF(A123="Hevea",IF(F123&gt;=Hevea_umbral_envio_gratis,0,Hevea_coste_envio_bajo),Balliu_coste_envio)</f>
        <v/>
      </c>
      <c r="K123" s="118">
        <f>Tasa_devolucion*Coste_devolucion</f>
        <v/>
      </c>
      <c r="L123" s="118">
        <f>Tasa_incidencia*Coste_incidencia</f>
        <v/>
      </c>
      <c r="M123" s="118">
        <f>G123-I123-J123-K123-L123</f>
        <v/>
      </c>
      <c r="N123" s="191">
        <f>IFERROR(M123/E123,0)</f>
        <v/>
      </c>
      <c r="O123" s="118">
        <f>MAX(M123,0)</f>
        <v/>
      </c>
      <c r="P123" s="192">
        <f>IFERROR(F123/O123,0)</f>
        <v/>
      </c>
      <c r="Q123" s="193">
        <f>IF(N123&gt;=Umbral_PUSH_pct,IF(M123&gt;=Umbral_PUSH_eur,"PUSH","NEUTRAL"),IF(N123&gt;=Umbral_NEUTRAL_pct,"NEUTRAL",IF(N123&gt;=Umbral_WATCH_pct,"WATCH","NO ANUNCIAR")))</f>
        <v/>
      </c>
    </row>
    <row r="124">
      <c r="A124" s="122" t="inlineStr">
        <is>
          <t>Balliu</t>
        </is>
      </c>
      <c r="B124" s="122" t="inlineStr">
        <is>
          <t>BALLIU_CARMEN_TUMBONA_CHASIS_BLANCO_TA_ADD04DFC</t>
        </is>
      </c>
      <c r="C124" s="122" t="inlineStr">
        <is>
          <t>Tumbona de exterior resina | 75 cm</t>
        </is>
      </c>
      <c r="D124" s="124" t="n">
        <v>107.1</v>
      </c>
      <c r="E124" s="124" t="n">
        <v>172.75</v>
      </c>
      <c r="F124" s="124">
        <f>E124*(1+IVA)</f>
        <v/>
      </c>
      <c r="G124" s="124">
        <f>E124-D124</f>
        <v/>
      </c>
      <c r="H124" s="194">
        <f>IFERROR(G124/E124,0)</f>
        <v/>
      </c>
      <c r="I124" s="124">
        <f>F124*Comision_pago_pct+Comision_pago_fija</f>
        <v/>
      </c>
      <c r="J124" s="124">
        <f>IF(A124="Hevea",IF(F124&gt;=Hevea_umbral_envio_gratis,0,Hevea_coste_envio_bajo),Balliu_coste_envio)</f>
        <v/>
      </c>
      <c r="K124" s="124">
        <f>Tasa_devolucion*Coste_devolucion</f>
        <v/>
      </c>
      <c r="L124" s="124">
        <f>Tasa_incidencia*Coste_incidencia</f>
        <v/>
      </c>
      <c r="M124" s="124">
        <f>G124-I124-J124-K124-L124</f>
        <v/>
      </c>
      <c r="N124" s="194">
        <f>IFERROR(M124/E124,0)</f>
        <v/>
      </c>
      <c r="O124" s="124">
        <f>MAX(M124,0)</f>
        <v/>
      </c>
      <c r="P124" s="195">
        <f>IFERROR(F124/O124,0)</f>
        <v/>
      </c>
      <c r="Q124" s="196">
        <f>IF(N124&gt;=Umbral_PUSH_pct,IF(M124&gt;=Umbral_PUSH_eur,"PUSH","NEUTRAL"),IF(N124&gt;=Umbral_NEUTRAL_pct,"NEUTRAL",IF(N124&gt;=Umbral_WATCH_pct,"WATCH","NO ANUNCIAR")))</f>
        <v/>
      </c>
    </row>
    <row r="125">
      <c r="A125" s="116" t="inlineStr">
        <is>
          <t>Balliu</t>
        </is>
      </c>
      <c r="B125" s="116" t="inlineStr">
        <is>
          <t>BALLIU_CARMEN_TUMBONA_CHASIS_PRESTIGE__3B908F70</t>
        </is>
      </c>
      <c r="C125" s="116" t="inlineStr">
        <is>
          <t>Tumbona de exterior resina | 75 cm</t>
        </is>
      </c>
      <c r="D125" s="118" t="n">
        <v>112.55</v>
      </c>
      <c r="E125" s="118" t="n">
        <v>181.54</v>
      </c>
      <c r="F125" s="118">
        <f>E125*(1+IVA)</f>
        <v/>
      </c>
      <c r="G125" s="118">
        <f>E125-D125</f>
        <v/>
      </c>
      <c r="H125" s="191">
        <f>IFERROR(G125/E125,0)</f>
        <v/>
      </c>
      <c r="I125" s="118">
        <f>F125*Comision_pago_pct+Comision_pago_fija</f>
        <v/>
      </c>
      <c r="J125" s="118">
        <f>IF(A125="Hevea",IF(F125&gt;=Hevea_umbral_envio_gratis,0,Hevea_coste_envio_bajo),Balliu_coste_envio)</f>
        <v/>
      </c>
      <c r="K125" s="118">
        <f>Tasa_devolucion*Coste_devolucion</f>
        <v/>
      </c>
      <c r="L125" s="118">
        <f>Tasa_incidencia*Coste_incidencia</f>
        <v/>
      </c>
      <c r="M125" s="118">
        <f>G125-I125-J125-K125-L125</f>
        <v/>
      </c>
      <c r="N125" s="191">
        <f>IFERROR(M125/E125,0)</f>
        <v/>
      </c>
      <c r="O125" s="118">
        <f>MAX(M125,0)</f>
        <v/>
      </c>
      <c r="P125" s="192">
        <f>IFERROR(F125/O125,0)</f>
        <v/>
      </c>
      <c r="Q125" s="193">
        <f>IF(N125&gt;=Umbral_PUSH_pct,IF(M125&gt;=Umbral_PUSH_eur,"PUSH","NEUTRAL"),IF(N125&gt;=Umbral_NEUTRAL_pct,"NEUTRAL",IF(N125&gt;=Umbral_WATCH_pct,"WATCH","NO ANUNCIAR")))</f>
        <v/>
      </c>
    </row>
    <row r="126">
      <c r="A126" s="122" t="inlineStr">
        <is>
          <t>Balliu</t>
        </is>
      </c>
      <c r="B126" s="122" t="inlineStr">
        <is>
          <t>BALLIU_CARMEN_TUMBONA_CHASIS_BLANCO_TE_009E68E4</t>
        </is>
      </c>
      <c r="C126" s="122" t="inlineStr">
        <is>
          <t>Tumbona de exterior resina | 75 cm</t>
        </is>
      </c>
      <c r="D126" s="124" t="n">
        <v>93.89</v>
      </c>
      <c r="E126" s="124" t="n">
        <v>151.43</v>
      </c>
      <c r="F126" s="124">
        <f>E126*(1+IVA)</f>
        <v/>
      </c>
      <c r="G126" s="124">
        <f>E126-D126</f>
        <v/>
      </c>
      <c r="H126" s="194">
        <f>IFERROR(G126/E126,0)</f>
        <v/>
      </c>
      <c r="I126" s="124">
        <f>F126*Comision_pago_pct+Comision_pago_fija</f>
        <v/>
      </c>
      <c r="J126" s="124">
        <f>IF(A126="Hevea",IF(F126&gt;=Hevea_umbral_envio_gratis,0,Hevea_coste_envio_bajo),Balliu_coste_envio)</f>
        <v/>
      </c>
      <c r="K126" s="124">
        <f>Tasa_devolucion*Coste_devolucion</f>
        <v/>
      </c>
      <c r="L126" s="124">
        <f>Tasa_incidencia*Coste_incidencia</f>
        <v/>
      </c>
      <c r="M126" s="124">
        <f>G126-I126-J126-K126-L126</f>
        <v/>
      </c>
      <c r="N126" s="194">
        <f>IFERROR(M126/E126,0)</f>
        <v/>
      </c>
      <c r="O126" s="124">
        <f>MAX(M126,0)</f>
        <v/>
      </c>
      <c r="P126" s="195">
        <f>IFERROR(F126/O126,0)</f>
        <v/>
      </c>
      <c r="Q126" s="196">
        <f>IF(N126&gt;=Umbral_PUSH_pct,IF(M126&gt;=Umbral_PUSH_eur,"PUSH","NEUTRAL"),IF(N126&gt;=Umbral_NEUTRAL_pct,"NEUTRAL",IF(N126&gt;=Umbral_WATCH_pct,"WATCH","NO ANUNCIAR")))</f>
        <v/>
      </c>
    </row>
    <row r="127">
      <c r="A127" s="116" t="inlineStr">
        <is>
          <t>Balliu</t>
        </is>
      </c>
      <c r="B127" s="116" t="inlineStr">
        <is>
          <t>BALLIU_CARMEN_TUMBONA_CHASIS_PRESTIGE__16A6D4DB</t>
        </is>
      </c>
      <c r="C127" s="116" t="inlineStr">
        <is>
          <t>Tumbona de exterior resina | 75 cm</t>
        </is>
      </c>
      <c r="D127" s="118" t="n">
        <v>96.47</v>
      </c>
      <c r="E127" s="118" t="n">
        <v>155.6</v>
      </c>
      <c r="F127" s="118">
        <f>E127*(1+IVA)</f>
        <v/>
      </c>
      <c r="G127" s="118">
        <f>E127-D127</f>
        <v/>
      </c>
      <c r="H127" s="191">
        <f>IFERROR(G127/E127,0)</f>
        <v/>
      </c>
      <c r="I127" s="118">
        <f>F127*Comision_pago_pct+Comision_pago_fija</f>
        <v/>
      </c>
      <c r="J127" s="118">
        <f>IF(A127="Hevea",IF(F127&gt;=Hevea_umbral_envio_gratis,0,Hevea_coste_envio_bajo),Balliu_coste_envio)</f>
        <v/>
      </c>
      <c r="K127" s="118">
        <f>Tasa_devolucion*Coste_devolucion</f>
        <v/>
      </c>
      <c r="L127" s="118">
        <f>Tasa_incidencia*Coste_incidencia</f>
        <v/>
      </c>
      <c r="M127" s="118">
        <f>G127-I127-J127-K127-L127</f>
        <v/>
      </c>
      <c r="N127" s="191">
        <f>IFERROR(M127/E127,0)</f>
        <v/>
      </c>
      <c r="O127" s="118">
        <f>MAX(M127,0)</f>
        <v/>
      </c>
      <c r="P127" s="192">
        <f>IFERROR(F127/O127,0)</f>
        <v/>
      </c>
      <c r="Q127" s="193">
        <f>IF(N127&gt;=Umbral_PUSH_pct,IF(M127&gt;=Umbral_PUSH_eur,"PUSH","NEUTRAL"),IF(N127&gt;=Umbral_NEUTRAL_pct,"NEUTRAL",IF(N127&gt;=Umbral_WATCH_pct,"WATCH","NO ANUNCIAR")))</f>
        <v/>
      </c>
    </row>
    <row r="128">
      <c r="A128" s="122" t="inlineStr">
        <is>
          <t>Balliu</t>
        </is>
      </c>
      <c r="B128" s="122" t="inlineStr">
        <is>
          <t>BALLIU_LOLA_TUMBONA_CHASIS_BLANCO_TA_3D8CA52F</t>
        </is>
      </c>
      <c r="C128" s="122" t="inlineStr">
        <is>
          <t>Tumbona de exterior resina | 75 cm</t>
        </is>
      </c>
      <c r="D128" s="124" t="n">
        <v>106.97</v>
      </c>
      <c r="E128" s="124" t="n">
        <v>172.53</v>
      </c>
      <c r="F128" s="124">
        <f>E128*(1+IVA)</f>
        <v/>
      </c>
      <c r="G128" s="124">
        <f>E128-D128</f>
        <v/>
      </c>
      <c r="H128" s="194">
        <f>IFERROR(G128/E128,0)</f>
        <v/>
      </c>
      <c r="I128" s="124">
        <f>F128*Comision_pago_pct+Comision_pago_fija</f>
        <v/>
      </c>
      <c r="J128" s="124">
        <f>IF(A128="Hevea",IF(F128&gt;=Hevea_umbral_envio_gratis,0,Hevea_coste_envio_bajo),Balliu_coste_envio)</f>
        <v/>
      </c>
      <c r="K128" s="124">
        <f>Tasa_devolucion*Coste_devolucion</f>
        <v/>
      </c>
      <c r="L128" s="124">
        <f>Tasa_incidencia*Coste_incidencia</f>
        <v/>
      </c>
      <c r="M128" s="124">
        <f>G128-I128-J128-K128-L128</f>
        <v/>
      </c>
      <c r="N128" s="194">
        <f>IFERROR(M128/E128,0)</f>
        <v/>
      </c>
      <c r="O128" s="124">
        <f>MAX(M128,0)</f>
        <v/>
      </c>
      <c r="P128" s="195">
        <f>IFERROR(F128/O128,0)</f>
        <v/>
      </c>
      <c r="Q128" s="196">
        <f>IF(N128&gt;=Umbral_PUSH_pct,IF(M128&gt;=Umbral_PUSH_eur,"PUSH","NEUTRAL"),IF(N128&gt;=Umbral_NEUTRAL_pct,"NEUTRAL",IF(N128&gt;=Umbral_WATCH_pct,"WATCH","NO ANUNCIAR")))</f>
        <v/>
      </c>
    </row>
    <row r="129">
      <c r="A129" s="116" t="inlineStr">
        <is>
          <t>Balliu</t>
        </is>
      </c>
      <c r="B129" s="116" t="inlineStr">
        <is>
          <t>BALLIU_LOLA_TUMBONA_CHASIS_PRESTIGE__9F313C12</t>
        </is>
      </c>
      <c r="C129" s="116" t="inlineStr">
        <is>
          <t>Tumbona de exterior resina | 75 cm</t>
        </is>
      </c>
      <c r="D129" s="118" t="n">
        <v>108.81</v>
      </c>
      <c r="E129" s="118" t="n">
        <v>175.49</v>
      </c>
      <c r="F129" s="118">
        <f>E129*(1+IVA)</f>
        <v/>
      </c>
      <c r="G129" s="118">
        <f>E129-D129</f>
        <v/>
      </c>
      <c r="H129" s="191">
        <f>IFERROR(G129/E129,0)</f>
        <v/>
      </c>
      <c r="I129" s="118">
        <f>F129*Comision_pago_pct+Comision_pago_fija</f>
        <v/>
      </c>
      <c r="J129" s="118">
        <f>IF(A129="Hevea",IF(F129&gt;=Hevea_umbral_envio_gratis,0,Hevea_coste_envio_bajo),Balliu_coste_envio)</f>
        <v/>
      </c>
      <c r="K129" s="118">
        <f>Tasa_devolucion*Coste_devolucion</f>
        <v/>
      </c>
      <c r="L129" s="118">
        <f>Tasa_incidencia*Coste_incidencia</f>
        <v/>
      </c>
      <c r="M129" s="118">
        <f>G129-I129-J129-K129-L129</f>
        <v/>
      </c>
      <c r="N129" s="191">
        <f>IFERROR(M129/E129,0)</f>
        <v/>
      </c>
      <c r="O129" s="118">
        <f>MAX(M129,0)</f>
        <v/>
      </c>
      <c r="P129" s="192">
        <f>IFERROR(F129/O129,0)</f>
        <v/>
      </c>
      <c r="Q129" s="193">
        <f>IF(N129&gt;=Umbral_PUSH_pct,IF(M129&gt;=Umbral_PUSH_eur,"PUSH","NEUTRAL"),IF(N129&gt;=Umbral_NEUTRAL_pct,"NEUTRAL",IF(N129&gt;=Umbral_WATCH_pct,"WATCH","NO ANUNCIAR")))</f>
        <v/>
      </c>
    </row>
    <row r="130">
      <c r="A130" s="122" t="inlineStr">
        <is>
          <t>Balliu</t>
        </is>
      </c>
      <c r="B130" s="122" t="inlineStr">
        <is>
          <t>BALLIU_LOLA_TUMBONA_CHASIS_BLANCO_TE_ACA076AE</t>
        </is>
      </c>
      <c r="C130" s="122" t="inlineStr">
        <is>
          <t>Tumbona de exterior resina | 75 cm</t>
        </is>
      </c>
      <c r="D130" s="124" t="n">
        <v>93.34</v>
      </c>
      <c r="E130" s="124" t="n">
        <v>150.55</v>
      </c>
      <c r="F130" s="124">
        <f>E130*(1+IVA)</f>
        <v/>
      </c>
      <c r="G130" s="124">
        <f>E130-D130</f>
        <v/>
      </c>
      <c r="H130" s="194">
        <f>IFERROR(G130/E130,0)</f>
        <v/>
      </c>
      <c r="I130" s="124">
        <f>F130*Comision_pago_pct+Comision_pago_fija</f>
        <v/>
      </c>
      <c r="J130" s="124">
        <f>IF(A130="Hevea",IF(F130&gt;=Hevea_umbral_envio_gratis,0,Hevea_coste_envio_bajo),Balliu_coste_envio)</f>
        <v/>
      </c>
      <c r="K130" s="124">
        <f>Tasa_devolucion*Coste_devolucion</f>
        <v/>
      </c>
      <c r="L130" s="124">
        <f>Tasa_incidencia*Coste_incidencia</f>
        <v/>
      </c>
      <c r="M130" s="124">
        <f>G130-I130-J130-K130-L130</f>
        <v/>
      </c>
      <c r="N130" s="194">
        <f>IFERROR(M130/E130,0)</f>
        <v/>
      </c>
      <c r="O130" s="124">
        <f>MAX(M130,0)</f>
        <v/>
      </c>
      <c r="P130" s="195">
        <f>IFERROR(F130/O130,0)</f>
        <v/>
      </c>
      <c r="Q130" s="196">
        <f>IF(N130&gt;=Umbral_PUSH_pct,IF(M130&gt;=Umbral_PUSH_eur,"PUSH","NEUTRAL"),IF(N130&gt;=Umbral_NEUTRAL_pct,"NEUTRAL",IF(N130&gt;=Umbral_WATCH_pct,"WATCH","NO ANUNCIAR")))</f>
        <v/>
      </c>
    </row>
    <row r="131">
      <c r="A131" s="116" t="inlineStr">
        <is>
          <t>Balliu</t>
        </is>
      </c>
      <c r="B131" s="116" t="inlineStr">
        <is>
          <t>BALLIU_LOLA_TUMBONA_CHASIS_PRESTIGE__B52B3A7F</t>
        </is>
      </c>
      <c r="C131" s="116" t="inlineStr">
        <is>
          <t>Tumbona de exterior resina | 75 cm</t>
        </is>
      </c>
      <c r="D131" s="118" t="n">
        <v>96.2</v>
      </c>
      <c r="E131" s="118" t="n">
        <v>155.16</v>
      </c>
      <c r="F131" s="118">
        <f>E131*(1+IVA)</f>
        <v/>
      </c>
      <c r="G131" s="118">
        <f>E131-D131</f>
        <v/>
      </c>
      <c r="H131" s="191">
        <f>IFERROR(G131/E131,0)</f>
        <v/>
      </c>
      <c r="I131" s="118">
        <f>F131*Comision_pago_pct+Comision_pago_fija</f>
        <v/>
      </c>
      <c r="J131" s="118">
        <f>IF(A131="Hevea",IF(F131&gt;=Hevea_umbral_envio_gratis,0,Hevea_coste_envio_bajo),Balliu_coste_envio)</f>
        <v/>
      </c>
      <c r="K131" s="118">
        <f>Tasa_devolucion*Coste_devolucion</f>
        <v/>
      </c>
      <c r="L131" s="118">
        <f>Tasa_incidencia*Coste_incidencia</f>
        <v/>
      </c>
      <c r="M131" s="118">
        <f>G131-I131-J131-K131-L131</f>
        <v/>
      </c>
      <c r="N131" s="191">
        <f>IFERROR(M131/E131,0)</f>
        <v/>
      </c>
      <c r="O131" s="118">
        <f>MAX(M131,0)</f>
        <v/>
      </c>
      <c r="P131" s="192">
        <f>IFERROR(F131/O131,0)</f>
        <v/>
      </c>
      <c r="Q131" s="193">
        <f>IF(N131&gt;=Umbral_PUSH_pct,IF(M131&gt;=Umbral_PUSH_eur,"PUSH","NEUTRAL"),IF(N131&gt;=Umbral_NEUTRAL_pct,"NEUTRAL",IF(N131&gt;=Umbral_WATCH_pct,"WATCH","NO ANUNCIAR")))</f>
        <v/>
      </c>
    </row>
    <row r="132">
      <c r="A132" s="122" t="inlineStr">
        <is>
          <t>Balliu</t>
        </is>
      </c>
      <c r="B132" s="122" t="inlineStr">
        <is>
          <t>BALLIU_EVA_PRO_TUMBONA_CHASIS_BLANCO_TE_B19AF1EA</t>
        </is>
      </c>
      <c r="C132" s="122" t="inlineStr">
        <is>
          <t>Tumbona de exterior resina | 73 cm</t>
        </is>
      </c>
      <c r="D132" s="124" t="n">
        <v>82.84999999999999</v>
      </c>
      <c r="E132" s="124" t="n">
        <v>133.63</v>
      </c>
      <c r="F132" s="124">
        <f>E132*(1+IVA)</f>
        <v/>
      </c>
      <c r="G132" s="124">
        <f>E132-D132</f>
        <v/>
      </c>
      <c r="H132" s="194">
        <f>IFERROR(G132/E132,0)</f>
        <v/>
      </c>
      <c r="I132" s="124">
        <f>F132*Comision_pago_pct+Comision_pago_fija</f>
        <v/>
      </c>
      <c r="J132" s="124">
        <f>IF(A132="Hevea",IF(F132&gt;=Hevea_umbral_envio_gratis,0,Hevea_coste_envio_bajo),Balliu_coste_envio)</f>
        <v/>
      </c>
      <c r="K132" s="124">
        <f>Tasa_devolucion*Coste_devolucion</f>
        <v/>
      </c>
      <c r="L132" s="124">
        <f>Tasa_incidencia*Coste_incidencia</f>
        <v/>
      </c>
      <c r="M132" s="124">
        <f>G132-I132-J132-K132-L132</f>
        <v/>
      </c>
      <c r="N132" s="194">
        <f>IFERROR(M132/E132,0)</f>
        <v/>
      </c>
      <c r="O132" s="124">
        <f>MAX(M132,0)</f>
        <v/>
      </c>
      <c r="P132" s="195">
        <f>IFERROR(F132/O132,0)</f>
        <v/>
      </c>
      <c r="Q132" s="196">
        <f>IF(N132&gt;=Umbral_PUSH_pct,IF(M132&gt;=Umbral_PUSH_eur,"PUSH","NEUTRAL"),IF(N132&gt;=Umbral_NEUTRAL_pct,"NEUTRAL",IF(N132&gt;=Umbral_WATCH_pct,"WATCH","NO ANUNCIAR")))</f>
        <v/>
      </c>
    </row>
    <row r="133">
      <c r="A133" s="116" t="inlineStr">
        <is>
          <t>Balliu</t>
        </is>
      </c>
      <c r="B133" s="116" t="inlineStr">
        <is>
          <t>BALLIU_EVA_PRO_TUMBONA_CHASIS_BLANCO_TA_32A6C0EA</t>
        </is>
      </c>
      <c r="C133" s="116" t="inlineStr">
        <is>
          <t>Tumbona de exterior resina | 73 cm</t>
        </is>
      </c>
      <c r="D133" s="118" t="n">
        <v>89.39</v>
      </c>
      <c r="E133" s="118" t="n">
        <v>144.18</v>
      </c>
      <c r="F133" s="118">
        <f>E133*(1+IVA)</f>
        <v/>
      </c>
      <c r="G133" s="118">
        <f>E133-D133</f>
        <v/>
      </c>
      <c r="H133" s="191">
        <f>IFERROR(G133/E133,0)</f>
        <v/>
      </c>
      <c r="I133" s="118">
        <f>F133*Comision_pago_pct+Comision_pago_fija</f>
        <v/>
      </c>
      <c r="J133" s="118">
        <f>IF(A133="Hevea",IF(F133&gt;=Hevea_umbral_envio_gratis,0,Hevea_coste_envio_bajo),Balliu_coste_envio)</f>
        <v/>
      </c>
      <c r="K133" s="118">
        <f>Tasa_devolucion*Coste_devolucion</f>
        <v/>
      </c>
      <c r="L133" s="118">
        <f>Tasa_incidencia*Coste_incidencia</f>
        <v/>
      </c>
      <c r="M133" s="118">
        <f>G133-I133-J133-K133-L133</f>
        <v/>
      </c>
      <c r="N133" s="191">
        <f>IFERROR(M133/E133,0)</f>
        <v/>
      </c>
      <c r="O133" s="118">
        <f>MAX(M133,0)</f>
        <v/>
      </c>
      <c r="P133" s="192">
        <f>IFERROR(F133/O133,0)</f>
        <v/>
      </c>
      <c r="Q133" s="193">
        <f>IF(N133&gt;=Umbral_PUSH_pct,IF(M133&gt;=Umbral_PUSH_eur,"PUSH","NEUTRAL"),IF(N133&gt;=Umbral_NEUTRAL_pct,"NEUTRAL",IF(N133&gt;=Umbral_WATCH_pct,"WATCH","NO ANUNCIAR")))</f>
        <v/>
      </c>
    </row>
    <row r="134">
      <c r="A134" s="122" t="inlineStr">
        <is>
          <t>Balliu</t>
        </is>
      </c>
      <c r="B134" s="122" t="inlineStr">
        <is>
          <t>BALLIU_EVA_RG_TUMBONA_CHASIS_BLANCO_TE_D369D964</t>
        </is>
      </c>
      <c r="C134" s="122" t="inlineStr">
        <is>
          <t>Tumbona de exterior resina | 73 cm</t>
        </is>
      </c>
      <c r="D134" s="124" t="n">
        <v>94.7</v>
      </c>
      <c r="E134" s="124" t="n">
        <v>152.75</v>
      </c>
      <c r="F134" s="124">
        <f>E134*(1+IVA)</f>
        <v/>
      </c>
      <c r="G134" s="124">
        <f>E134-D134</f>
        <v/>
      </c>
      <c r="H134" s="194">
        <f>IFERROR(G134/E134,0)</f>
        <v/>
      </c>
      <c r="I134" s="124">
        <f>F134*Comision_pago_pct+Comision_pago_fija</f>
        <v/>
      </c>
      <c r="J134" s="124">
        <f>IF(A134="Hevea",IF(F134&gt;=Hevea_umbral_envio_gratis,0,Hevea_coste_envio_bajo),Balliu_coste_envio)</f>
        <v/>
      </c>
      <c r="K134" s="124">
        <f>Tasa_devolucion*Coste_devolucion</f>
        <v/>
      </c>
      <c r="L134" s="124">
        <f>Tasa_incidencia*Coste_incidencia</f>
        <v/>
      </c>
      <c r="M134" s="124">
        <f>G134-I134-J134-K134-L134</f>
        <v/>
      </c>
      <c r="N134" s="194">
        <f>IFERROR(M134/E134,0)</f>
        <v/>
      </c>
      <c r="O134" s="124">
        <f>MAX(M134,0)</f>
        <v/>
      </c>
      <c r="P134" s="195">
        <f>IFERROR(F134/O134,0)</f>
        <v/>
      </c>
      <c r="Q134" s="196">
        <f>IF(N134&gt;=Umbral_PUSH_pct,IF(M134&gt;=Umbral_PUSH_eur,"PUSH","NEUTRAL"),IF(N134&gt;=Umbral_NEUTRAL_pct,"NEUTRAL",IF(N134&gt;=Umbral_WATCH_pct,"WATCH","NO ANUNCIAR")))</f>
        <v/>
      </c>
    </row>
    <row r="135">
      <c r="A135" s="116" t="inlineStr">
        <is>
          <t>Balliu</t>
        </is>
      </c>
      <c r="B135" s="116" t="inlineStr">
        <is>
          <t>BALLIU_EVA_RG_TUMBONA_CHASIS_ARENA_TEL_D8285FFB</t>
        </is>
      </c>
      <c r="C135" s="116" t="inlineStr">
        <is>
          <t>Tumbona de exterior resina | 73 cm</t>
        </is>
      </c>
      <c r="D135" s="118" t="n">
        <v>98.52</v>
      </c>
      <c r="E135" s="118" t="n">
        <v>158.9</v>
      </c>
      <c r="F135" s="118">
        <f>E135*(1+IVA)</f>
        <v/>
      </c>
      <c r="G135" s="118">
        <f>E135-D135</f>
        <v/>
      </c>
      <c r="H135" s="191">
        <f>IFERROR(G135/E135,0)</f>
        <v/>
      </c>
      <c r="I135" s="118">
        <f>F135*Comision_pago_pct+Comision_pago_fija</f>
        <v/>
      </c>
      <c r="J135" s="118">
        <f>IF(A135="Hevea",IF(F135&gt;=Hevea_umbral_envio_gratis,0,Hevea_coste_envio_bajo),Balliu_coste_envio)</f>
        <v/>
      </c>
      <c r="K135" s="118">
        <f>Tasa_devolucion*Coste_devolucion</f>
        <v/>
      </c>
      <c r="L135" s="118">
        <f>Tasa_incidencia*Coste_incidencia</f>
        <v/>
      </c>
      <c r="M135" s="118">
        <f>G135-I135-J135-K135-L135</f>
        <v/>
      </c>
      <c r="N135" s="191">
        <f>IFERROR(M135/E135,0)</f>
        <v/>
      </c>
      <c r="O135" s="118">
        <f>MAX(M135,0)</f>
        <v/>
      </c>
      <c r="P135" s="192">
        <f>IFERROR(F135/O135,0)</f>
        <v/>
      </c>
      <c r="Q135" s="193">
        <f>IF(N135&gt;=Umbral_PUSH_pct,IF(M135&gt;=Umbral_PUSH_eur,"PUSH","NEUTRAL"),IF(N135&gt;=Umbral_NEUTRAL_pct,"NEUTRAL",IF(N135&gt;=Umbral_WATCH_pct,"WATCH","NO ANUNCIAR")))</f>
        <v/>
      </c>
    </row>
    <row r="136">
      <c r="A136" s="122" t="inlineStr">
        <is>
          <t>Balliu</t>
        </is>
      </c>
      <c r="B136" s="122" t="inlineStr">
        <is>
          <t>BALLIU_EVA_RTG_TUMBONA_CHASIS_BLANCO_TA_0648657B</t>
        </is>
      </c>
      <c r="C136" s="122" t="inlineStr">
        <is>
          <t>Tumbona de exterior resina | 73 cm</t>
        </is>
      </c>
      <c r="D136" s="124" t="n">
        <v>97.43000000000001</v>
      </c>
      <c r="E136" s="124" t="n">
        <v>157.14</v>
      </c>
      <c r="F136" s="124">
        <f>E136*(1+IVA)</f>
        <v/>
      </c>
      <c r="G136" s="124">
        <f>E136-D136</f>
        <v/>
      </c>
      <c r="H136" s="194">
        <f>IFERROR(G136/E136,0)</f>
        <v/>
      </c>
      <c r="I136" s="124">
        <f>F136*Comision_pago_pct+Comision_pago_fija</f>
        <v/>
      </c>
      <c r="J136" s="124">
        <f>IF(A136="Hevea",IF(F136&gt;=Hevea_umbral_envio_gratis,0,Hevea_coste_envio_bajo),Balliu_coste_envio)</f>
        <v/>
      </c>
      <c r="K136" s="124">
        <f>Tasa_devolucion*Coste_devolucion</f>
        <v/>
      </c>
      <c r="L136" s="124">
        <f>Tasa_incidencia*Coste_incidencia</f>
        <v/>
      </c>
      <c r="M136" s="124">
        <f>G136-I136-J136-K136-L136</f>
        <v/>
      </c>
      <c r="N136" s="194">
        <f>IFERROR(M136/E136,0)</f>
        <v/>
      </c>
      <c r="O136" s="124">
        <f>MAX(M136,0)</f>
        <v/>
      </c>
      <c r="P136" s="195">
        <f>IFERROR(F136/O136,0)</f>
        <v/>
      </c>
      <c r="Q136" s="196">
        <f>IF(N136&gt;=Umbral_PUSH_pct,IF(M136&gt;=Umbral_PUSH_eur,"PUSH","NEUTRAL"),IF(N136&gt;=Umbral_NEUTRAL_pct,"NEUTRAL",IF(N136&gt;=Umbral_WATCH_pct,"WATCH","NO ANUNCIAR")))</f>
        <v/>
      </c>
    </row>
    <row r="137">
      <c r="A137" s="116" t="inlineStr">
        <is>
          <t>Balliu</t>
        </is>
      </c>
      <c r="B137" s="116" t="inlineStr">
        <is>
          <t>BALLIU_NOA_TUMBONA_CHASIS_BLANCO_TE_28FF014D</t>
        </is>
      </c>
      <c r="C137" s="116" t="inlineStr">
        <is>
          <t>Tumbona de exterior resina</t>
        </is>
      </c>
      <c r="D137" s="118" t="n">
        <v>215.24</v>
      </c>
      <c r="E137" s="118" t="n">
        <v>331.14</v>
      </c>
      <c r="F137" s="118">
        <f>E137*(1+IVA)</f>
        <v/>
      </c>
      <c r="G137" s="118">
        <f>E137-D137</f>
        <v/>
      </c>
      <c r="H137" s="191">
        <f>IFERROR(G137/E137,0)</f>
        <v/>
      </c>
      <c r="I137" s="118">
        <f>F137*Comision_pago_pct+Comision_pago_fija</f>
        <v/>
      </c>
      <c r="J137" s="118">
        <f>IF(A137="Hevea",IF(F137&gt;=Hevea_umbral_envio_gratis,0,Hevea_coste_envio_bajo),Balliu_coste_envio)</f>
        <v/>
      </c>
      <c r="K137" s="118">
        <f>Tasa_devolucion*Coste_devolucion</f>
        <v/>
      </c>
      <c r="L137" s="118">
        <f>Tasa_incidencia*Coste_incidencia</f>
        <v/>
      </c>
      <c r="M137" s="118">
        <f>G137-I137-J137-K137-L137</f>
        <v/>
      </c>
      <c r="N137" s="191">
        <f>IFERROR(M137/E137,0)</f>
        <v/>
      </c>
      <c r="O137" s="118">
        <f>MAX(M137,0)</f>
        <v/>
      </c>
      <c r="P137" s="192">
        <f>IFERROR(F137/O137,0)</f>
        <v/>
      </c>
      <c r="Q137" s="193">
        <f>IF(N137&gt;=Umbral_PUSH_pct,IF(M137&gt;=Umbral_PUSH_eur,"PUSH","NEUTRAL"),IF(N137&gt;=Umbral_NEUTRAL_pct,"NEUTRAL",IF(N137&gt;=Umbral_WATCH_pct,"WATCH","NO ANUNCIAR")))</f>
        <v/>
      </c>
    </row>
    <row r="138">
      <c r="A138" s="122" t="inlineStr">
        <is>
          <t>Balliu</t>
        </is>
      </c>
      <c r="B138" s="122" t="inlineStr">
        <is>
          <t>BALLIU_NOA_TUMBONA_CHASIS_PRESTIGE__E5BE2A33</t>
        </is>
      </c>
      <c r="C138" s="122" t="inlineStr">
        <is>
          <t>Tumbona de exterior resina</t>
        </is>
      </c>
      <c r="D138" s="124" t="n">
        <v>225.25</v>
      </c>
      <c r="E138" s="124" t="n">
        <v>346.54</v>
      </c>
      <c r="F138" s="124">
        <f>E138*(1+IVA)</f>
        <v/>
      </c>
      <c r="G138" s="124">
        <f>E138-D138</f>
        <v/>
      </c>
      <c r="H138" s="194">
        <f>IFERROR(G138/E138,0)</f>
        <v/>
      </c>
      <c r="I138" s="124">
        <f>F138*Comision_pago_pct+Comision_pago_fija</f>
        <v/>
      </c>
      <c r="J138" s="124">
        <f>IF(A138="Hevea",IF(F138&gt;=Hevea_umbral_envio_gratis,0,Hevea_coste_envio_bajo),Balliu_coste_envio)</f>
        <v/>
      </c>
      <c r="K138" s="124">
        <f>Tasa_devolucion*Coste_devolucion</f>
        <v/>
      </c>
      <c r="L138" s="124">
        <f>Tasa_incidencia*Coste_incidencia</f>
        <v/>
      </c>
      <c r="M138" s="124">
        <f>G138-I138-J138-K138-L138</f>
        <v/>
      </c>
      <c r="N138" s="194">
        <f>IFERROR(M138/E138,0)</f>
        <v/>
      </c>
      <c r="O138" s="124">
        <f>MAX(M138,0)</f>
        <v/>
      </c>
      <c r="P138" s="195">
        <f>IFERROR(F138/O138,0)</f>
        <v/>
      </c>
      <c r="Q138" s="196">
        <f>IF(N138&gt;=Umbral_PUSH_pct,IF(M138&gt;=Umbral_PUSH_eur,"PUSH","NEUTRAL"),IF(N138&gt;=Umbral_NEUTRAL_pct,"NEUTRAL",IF(N138&gt;=Umbral_WATCH_pct,"WATCH","NO ANUNCIAR")))</f>
        <v/>
      </c>
    </row>
    <row r="139">
      <c r="A139" s="116" t="inlineStr">
        <is>
          <t>Balliu</t>
        </is>
      </c>
      <c r="B139" s="116" t="inlineStr">
        <is>
          <t>BALLIU_OLIMPIA_TUMBONA_SIN_RUEDAS_DA3F5C24</t>
        </is>
      </c>
      <c r="C139" s="116" t="inlineStr">
        <is>
          <t>Tumbona de exterior sin ruedas aluminio</t>
        </is>
      </c>
      <c r="D139" s="118" t="n">
        <v>287.64</v>
      </c>
      <c r="E139" s="118" t="n">
        <v>442.52</v>
      </c>
      <c r="F139" s="118">
        <f>E139*(1+IVA)</f>
        <v/>
      </c>
      <c r="G139" s="118">
        <f>E139-D139</f>
        <v/>
      </c>
      <c r="H139" s="191">
        <f>IFERROR(G139/E139,0)</f>
        <v/>
      </c>
      <c r="I139" s="118">
        <f>F139*Comision_pago_pct+Comision_pago_fija</f>
        <v/>
      </c>
      <c r="J139" s="118">
        <f>IF(A139="Hevea",IF(F139&gt;=Hevea_umbral_envio_gratis,0,Hevea_coste_envio_bajo),Balliu_coste_envio)</f>
        <v/>
      </c>
      <c r="K139" s="118">
        <f>Tasa_devolucion*Coste_devolucion</f>
        <v/>
      </c>
      <c r="L139" s="118">
        <f>Tasa_incidencia*Coste_incidencia</f>
        <v/>
      </c>
      <c r="M139" s="118">
        <f>G139-I139-J139-K139-L139</f>
        <v/>
      </c>
      <c r="N139" s="191">
        <f>IFERROR(M139/E139,0)</f>
        <v/>
      </c>
      <c r="O139" s="118">
        <f>MAX(M139,0)</f>
        <v/>
      </c>
      <c r="P139" s="192">
        <f>IFERROR(F139/O139,0)</f>
        <v/>
      </c>
      <c r="Q139" s="193">
        <f>IF(N139&gt;=Umbral_PUSH_pct,IF(M139&gt;=Umbral_PUSH_eur,"PUSH","NEUTRAL"),IF(N139&gt;=Umbral_NEUTRAL_pct,"NEUTRAL",IF(N139&gt;=Umbral_WATCH_pct,"WATCH","NO ANUNCIAR")))</f>
        <v/>
      </c>
    </row>
    <row r="140">
      <c r="A140" s="122" t="inlineStr">
        <is>
          <t>Balliu</t>
        </is>
      </c>
      <c r="B140" s="122" t="inlineStr">
        <is>
          <t>BALLIU_OLIMPIA_TUMBONA_CON_RUEDAS_82D4D0A8</t>
        </is>
      </c>
      <c r="C140" s="122" t="inlineStr">
        <is>
          <t>Tumbona de exterior con ruedas aluminio</t>
        </is>
      </c>
      <c r="D140" s="124" t="n">
        <v>315.63</v>
      </c>
      <c r="E140" s="124" t="n">
        <v>485.59</v>
      </c>
      <c r="F140" s="124">
        <f>E140*(1+IVA)</f>
        <v/>
      </c>
      <c r="G140" s="124">
        <f>E140-D140</f>
        <v/>
      </c>
      <c r="H140" s="194">
        <f>IFERROR(G140/E140,0)</f>
        <v/>
      </c>
      <c r="I140" s="124">
        <f>F140*Comision_pago_pct+Comision_pago_fija</f>
        <v/>
      </c>
      <c r="J140" s="124">
        <f>IF(A140="Hevea",IF(F140&gt;=Hevea_umbral_envio_gratis,0,Hevea_coste_envio_bajo),Balliu_coste_envio)</f>
        <v/>
      </c>
      <c r="K140" s="124">
        <f>Tasa_devolucion*Coste_devolucion</f>
        <v/>
      </c>
      <c r="L140" s="124">
        <f>Tasa_incidencia*Coste_incidencia</f>
        <v/>
      </c>
      <c r="M140" s="124">
        <f>G140-I140-J140-K140-L140</f>
        <v/>
      </c>
      <c r="N140" s="194">
        <f>IFERROR(M140/E140,0)</f>
        <v/>
      </c>
      <c r="O140" s="124">
        <f>MAX(M140,0)</f>
        <v/>
      </c>
      <c r="P140" s="195">
        <f>IFERROR(F140/O140,0)</f>
        <v/>
      </c>
      <c r="Q140" s="196">
        <f>IF(N140&gt;=Umbral_PUSH_pct,IF(M140&gt;=Umbral_PUSH_eur,"PUSH","NEUTRAL"),IF(N140&gt;=Umbral_NEUTRAL_pct,"NEUTRAL",IF(N140&gt;=Umbral_WATCH_pct,"WATCH","NO ANUNCIAR")))</f>
        <v/>
      </c>
    </row>
    <row r="141">
      <c r="A141" s="116" t="inlineStr">
        <is>
          <t>Balliu</t>
        </is>
      </c>
      <c r="B141" s="116" t="inlineStr">
        <is>
          <t>BALLIU_ETNA_TUMBONA_TELA_BALLIU_36870D09</t>
        </is>
      </c>
      <c r="C141" s="116" t="inlineStr">
        <is>
          <t>Tumbona de exterior aluminio</t>
        </is>
      </c>
      <c r="D141" s="118" t="n">
        <v>229.08</v>
      </c>
      <c r="E141" s="118" t="n">
        <v>352.43</v>
      </c>
      <c r="F141" s="118">
        <f>E141*(1+IVA)</f>
        <v/>
      </c>
      <c r="G141" s="118">
        <f>E141-D141</f>
        <v/>
      </c>
      <c r="H141" s="191">
        <f>IFERROR(G141/E141,0)</f>
        <v/>
      </c>
      <c r="I141" s="118">
        <f>F141*Comision_pago_pct+Comision_pago_fija</f>
        <v/>
      </c>
      <c r="J141" s="118">
        <f>IF(A141="Hevea",IF(F141&gt;=Hevea_umbral_envio_gratis,0,Hevea_coste_envio_bajo),Balliu_coste_envio)</f>
        <v/>
      </c>
      <c r="K141" s="118">
        <f>Tasa_devolucion*Coste_devolucion</f>
        <v/>
      </c>
      <c r="L141" s="118">
        <f>Tasa_incidencia*Coste_incidencia</f>
        <v/>
      </c>
      <c r="M141" s="118">
        <f>G141-I141-J141-K141-L141</f>
        <v/>
      </c>
      <c r="N141" s="191">
        <f>IFERROR(M141/E141,0)</f>
        <v/>
      </c>
      <c r="O141" s="118">
        <f>MAX(M141,0)</f>
        <v/>
      </c>
      <c r="P141" s="192">
        <f>IFERROR(F141/O141,0)</f>
        <v/>
      </c>
      <c r="Q141" s="193">
        <f>IF(N141&gt;=Umbral_PUSH_pct,IF(M141&gt;=Umbral_PUSH_eur,"PUSH","NEUTRAL"),IF(N141&gt;=Umbral_NEUTRAL_pct,"NEUTRAL",IF(N141&gt;=Umbral_WATCH_pct,"WATCH","NO ANUNCIAR")))</f>
        <v/>
      </c>
    </row>
    <row r="142">
      <c r="A142" s="122" t="inlineStr">
        <is>
          <t>Balliu</t>
        </is>
      </c>
      <c r="B142" s="122" t="inlineStr">
        <is>
          <t>BALLIU_ETNA_TUMBONA_TELA_BALLIU_CON__AFBA154C</t>
        </is>
      </c>
      <c r="C142" s="122" t="inlineStr">
        <is>
          <t>Tumbona de exterior con ruedas aluminio</t>
        </is>
      </c>
      <c r="D142" s="124" t="n">
        <v>252.74</v>
      </c>
      <c r="E142" s="124" t="n">
        <v>388.83</v>
      </c>
      <c r="F142" s="124">
        <f>E142*(1+IVA)</f>
        <v/>
      </c>
      <c r="G142" s="124">
        <f>E142-D142</f>
        <v/>
      </c>
      <c r="H142" s="194">
        <f>IFERROR(G142/E142,0)</f>
        <v/>
      </c>
      <c r="I142" s="124">
        <f>F142*Comision_pago_pct+Comision_pago_fija</f>
        <v/>
      </c>
      <c r="J142" s="124">
        <f>IF(A142="Hevea",IF(F142&gt;=Hevea_umbral_envio_gratis,0,Hevea_coste_envio_bajo),Balliu_coste_envio)</f>
        <v/>
      </c>
      <c r="K142" s="124">
        <f>Tasa_devolucion*Coste_devolucion</f>
        <v/>
      </c>
      <c r="L142" s="124">
        <f>Tasa_incidencia*Coste_incidencia</f>
        <v/>
      </c>
      <c r="M142" s="124">
        <f>G142-I142-J142-K142-L142</f>
        <v/>
      </c>
      <c r="N142" s="194">
        <f>IFERROR(M142/E142,0)</f>
        <v/>
      </c>
      <c r="O142" s="124">
        <f>MAX(M142,0)</f>
        <v/>
      </c>
      <c r="P142" s="195">
        <f>IFERROR(F142/O142,0)</f>
        <v/>
      </c>
      <c r="Q142" s="196">
        <f>IF(N142&gt;=Umbral_PUSH_pct,IF(M142&gt;=Umbral_PUSH_eur,"PUSH","NEUTRAL"),IF(N142&gt;=Umbral_NEUTRAL_pct,"NEUTRAL",IF(N142&gt;=Umbral_WATCH_pct,"WATCH","NO ANUNCIAR")))</f>
        <v/>
      </c>
    </row>
    <row r="143">
      <c r="A143" s="116" t="inlineStr">
        <is>
          <t>Balliu</t>
        </is>
      </c>
      <c r="B143" s="116" t="inlineStr">
        <is>
          <t>BALLIU_ETNA_ALTA_TUMBONA_AL_TELA_BALLIU_D08586C1</t>
        </is>
      </c>
      <c r="C143" s="116" t="inlineStr">
        <is>
          <t>Tumbona de exterior aluminio</t>
        </is>
      </c>
      <c r="D143" s="118" t="n">
        <v>248.76</v>
      </c>
      <c r="E143" s="118" t="n">
        <v>382.7</v>
      </c>
      <c r="F143" s="118">
        <f>E143*(1+IVA)</f>
        <v/>
      </c>
      <c r="G143" s="118">
        <f>E143-D143</f>
        <v/>
      </c>
      <c r="H143" s="191">
        <f>IFERROR(G143/E143,0)</f>
        <v/>
      </c>
      <c r="I143" s="118">
        <f>F143*Comision_pago_pct+Comision_pago_fija</f>
        <v/>
      </c>
      <c r="J143" s="118">
        <f>IF(A143="Hevea",IF(F143&gt;=Hevea_umbral_envio_gratis,0,Hevea_coste_envio_bajo),Balliu_coste_envio)</f>
        <v/>
      </c>
      <c r="K143" s="118">
        <f>Tasa_devolucion*Coste_devolucion</f>
        <v/>
      </c>
      <c r="L143" s="118">
        <f>Tasa_incidencia*Coste_incidencia</f>
        <v/>
      </c>
      <c r="M143" s="118">
        <f>G143-I143-J143-K143-L143</f>
        <v/>
      </c>
      <c r="N143" s="191">
        <f>IFERROR(M143/E143,0)</f>
        <v/>
      </c>
      <c r="O143" s="118">
        <f>MAX(M143,0)</f>
        <v/>
      </c>
      <c r="P143" s="192">
        <f>IFERROR(F143/O143,0)</f>
        <v/>
      </c>
      <c r="Q143" s="193">
        <f>IF(N143&gt;=Umbral_PUSH_pct,IF(M143&gt;=Umbral_PUSH_eur,"PUSH","NEUTRAL"),IF(N143&gt;=Umbral_NEUTRAL_pct,"NEUTRAL",IF(N143&gt;=Umbral_WATCH_pct,"WATCH","NO ANUNCIAR")))</f>
        <v/>
      </c>
    </row>
    <row r="144">
      <c r="A144" s="122" t="inlineStr">
        <is>
          <t>Balliu</t>
        </is>
      </c>
      <c r="B144" s="122" t="inlineStr">
        <is>
          <t>BALLIU_ETNA_ALTA_TUMBONA_AL_TELA_BALLIU_CON__9E0F219D</t>
        </is>
      </c>
      <c r="C144" s="122" t="inlineStr">
        <is>
          <t>Tumbona de exterior con ruedas aluminio</t>
        </is>
      </c>
      <c r="D144" s="124" t="n">
        <v>266.56</v>
      </c>
      <c r="E144" s="124" t="n">
        <v>410.09</v>
      </c>
      <c r="F144" s="124">
        <f>E144*(1+IVA)</f>
        <v/>
      </c>
      <c r="G144" s="124">
        <f>E144-D144</f>
        <v/>
      </c>
      <c r="H144" s="194">
        <f>IFERROR(G144/E144,0)</f>
        <v/>
      </c>
      <c r="I144" s="124">
        <f>F144*Comision_pago_pct+Comision_pago_fija</f>
        <v/>
      </c>
      <c r="J144" s="124">
        <f>IF(A144="Hevea",IF(F144&gt;=Hevea_umbral_envio_gratis,0,Hevea_coste_envio_bajo),Balliu_coste_envio)</f>
        <v/>
      </c>
      <c r="K144" s="124">
        <f>Tasa_devolucion*Coste_devolucion</f>
        <v/>
      </c>
      <c r="L144" s="124">
        <f>Tasa_incidencia*Coste_incidencia</f>
        <v/>
      </c>
      <c r="M144" s="124">
        <f>G144-I144-J144-K144-L144</f>
        <v/>
      </c>
      <c r="N144" s="194">
        <f>IFERROR(M144/E144,0)</f>
        <v/>
      </c>
      <c r="O144" s="124">
        <f>MAX(M144,0)</f>
        <v/>
      </c>
      <c r="P144" s="195">
        <f>IFERROR(F144/O144,0)</f>
        <v/>
      </c>
      <c r="Q144" s="196">
        <f>IF(N144&gt;=Umbral_PUSH_pct,IF(M144&gt;=Umbral_PUSH_eur,"PUSH","NEUTRAL"),IF(N144&gt;=Umbral_NEUTRAL_pct,"NEUTRAL",IF(N144&gt;=Umbral_WATCH_pct,"WATCH","NO ANUNCIAR")))</f>
        <v/>
      </c>
    </row>
    <row r="145">
      <c r="A145" s="116" t="inlineStr">
        <is>
          <t>Balliu</t>
        </is>
      </c>
      <c r="B145" s="116" t="inlineStr">
        <is>
          <t>BALLIU_IRIS_TUMBONA_CON_RUEDAS_9064B7B9</t>
        </is>
      </c>
      <c r="C145" s="116" t="inlineStr">
        <is>
          <t>Tumbona de exterior con ruedas aluminio | 58 cm</t>
        </is>
      </c>
      <c r="D145" s="118" t="n">
        <v>337.77</v>
      </c>
      <c r="E145" s="118" t="n">
        <v>519.64</v>
      </c>
      <c r="F145" s="118">
        <f>E145*(1+IVA)</f>
        <v/>
      </c>
      <c r="G145" s="118">
        <f>E145-D145</f>
        <v/>
      </c>
      <c r="H145" s="191">
        <f>IFERROR(G145/E145,0)</f>
        <v/>
      </c>
      <c r="I145" s="118">
        <f>F145*Comision_pago_pct+Comision_pago_fija</f>
        <v/>
      </c>
      <c r="J145" s="118">
        <f>IF(A145="Hevea",IF(F145&gt;=Hevea_umbral_envio_gratis,0,Hevea_coste_envio_bajo),Balliu_coste_envio)</f>
        <v/>
      </c>
      <c r="K145" s="118">
        <f>Tasa_devolucion*Coste_devolucion</f>
        <v/>
      </c>
      <c r="L145" s="118">
        <f>Tasa_incidencia*Coste_incidencia</f>
        <v/>
      </c>
      <c r="M145" s="118">
        <f>G145-I145-J145-K145-L145</f>
        <v/>
      </c>
      <c r="N145" s="191">
        <f>IFERROR(M145/E145,0)</f>
        <v/>
      </c>
      <c r="O145" s="118">
        <f>MAX(M145,0)</f>
        <v/>
      </c>
      <c r="P145" s="192">
        <f>IFERROR(F145/O145,0)</f>
        <v/>
      </c>
      <c r="Q145" s="193">
        <f>IF(N145&gt;=Umbral_PUSH_pct,IF(M145&gt;=Umbral_PUSH_eur,"PUSH","NEUTRAL"),IF(N145&gt;=Umbral_NEUTRAL_pct,"NEUTRAL",IF(N145&gt;=Umbral_WATCH_pct,"WATCH","NO ANUNCIAR")))</f>
        <v/>
      </c>
    </row>
    <row r="146">
      <c r="A146" s="122" t="inlineStr">
        <is>
          <t>Balliu</t>
        </is>
      </c>
      <c r="B146" s="122" t="inlineStr">
        <is>
          <t>BALLIU_MARINA_TUMBONA_TELA_BALLIU_F7AB4DA8</t>
        </is>
      </c>
      <c r="C146" s="122" t="inlineStr">
        <is>
          <t>Tumbona de exterior aluminio | 68 cm</t>
        </is>
      </c>
      <c r="D146" s="124" t="n">
        <v>173.92</v>
      </c>
      <c r="E146" s="124" t="n">
        <v>267.57</v>
      </c>
      <c r="F146" s="124">
        <f>E146*(1+IVA)</f>
        <v/>
      </c>
      <c r="G146" s="124">
        <f>E146-D146</f>
        <v/>
      </c>
      <c r="H146" s="194">
        <f>IFERROR(G146/E146,0)</f>
        <v/>
      </c>
      <c r="I146" s="124">
        <f>F146*Comision_pago_pct+Comision_pago_fija</f>
        <v/>
      </c>
      <c r="J146" s="124">
        <f>IF(A146="Hevea",IF(F146&gt;=Hevea_umbral_envio_gratis,0,Hevea_coste_envio_bajo),Balliu_coste_envio)</f>
        <v/>
      </c>
      <c r="K146" s="124">
        <f>Tasa_devolucion*Coste_devolucion</f>
        <v/>
      </c>
      <c r="L146" s="124">
        <f>Tasa_incidencia*Coste_incidencia</f>
        <v/>
      </c>
      <c r="M146" s="124">
        <f>G146-I146-J146-K146-L146</f>
        <v/>
      </c>
      <c r="N146" s="194">
        <f>IFERROR(M146/E146,0)</f>
        <v/>
      </c>
      <c r="O146" s="124">
        <f>MAX(M146,0)</f>
        <v/>
      </c>
      <c r="P146" s="195">
        <f>IFERROR(F146/O146,0)</f>
        <v/>
      </c>
      <c r="Q146" s="196">
        <f>IF(N146&gt;=Umbral_PUSH_pct,IF(M146&gt;=Umbral_PUSH_eur,"PUSH","NEUTRAL"),IF(N146&gt;=Umbral_NEUTRAL_pct,"NEUTRAL",IF(N146&gt;=Umbral_WATCH_pct,"WATCH","NO ANUNCIAR")))</f>
        <v/>
      </c>
    </row>
    <row r="147">
      <c r="A147" s="116" t="inlineStr">
        <is>
          <t>Balliu</t>
        </is>
      </c>
      <c r="B147" s="116" t="inlineStr">
        <is>
          <t>BALLIU_ALBA_TUMBONA_TELA_BALLIU_20620134</t>
        </is>
      </c>
      <c r="C147" s="116" t="inlineStr">
        <is>
          <t>Tumbona de exterior</t>
        </is>
      </c>
      <c r="D147" s="118" t="n">
        <v>226.62</v>
      </c>
      <c r="E147" s="118" t="n">
        <v>348.65</v>
      </c>
      <c r="F147" s="118">
        <f>E147*(1+IVA)</f>
        <v/>
      </c>
      <c r="G147" s="118">
        <f>E147-D147</f>
        <v/>
      </c>
      <c r="H147" s="191">
        <f>IFERROR(G147/E147,0)</f>
        <v/>
      </c>
      <c r="I147" s="118">
        <f>F147*Comision_pago_pct+Comision_pago_fija</f>
        <v/>
      </c>
      <c r="J147" s="118">
        <f>IF(A147="Hevea",IF(F147&gt;=Hevea_umbral_envio_gratis,0,Hevea_coste_envio_bajo),Balliu_coste_envio)</f>
        <v/>
      </c>
      <c r="K147" s="118">
        <f>Tasa_devolucion*Coste_devolucion</f>
        <v/>
      </c>
      <c r="L147" s="118">
        <f>Tasa_incidencia*Coste_incidencia</f>
        <v/>
      </c>
      <c r="M147" s="118">
        <f>G147-I147-J147-K147-L147</f>
        <v/>
      </c>
      <c r="N147" s="191">
        <f>IFERROR(M147/E147,0)</f>
        <v/>
      </c>
      <c r="O147" s="118">
        <f>MAX(M147,0)</f>
        <v/>
      </c>
      <c r="P147" s="192">
        <f>IFERROR(F147/O147,0)</f>
        <v/>
      </c>
      <c r="Q147" s="193">
        <f>IF(N147&gt;=Umbral_PUSH_pct,IF(M147&gt;=Umbral_PUSH_eur,"PUSH","NEUTRAL"),IF(N147&gt;=Umbral_NEUTRAL_pct,"NEUTRAL",IF(N147&gt;=Umbral_WATCH_pct,"WATCH","NO ANUNCIAR")))</f>
        <v/>
      </c>
    </row>
    <row r="148">
      <c r="A148" s="122" t="inlineStr">
        <is>
          <t>Balliu</t>
        </is>
      </c>
      <c r="B148" s="122" t="inlineStr">
        <is>
          <t>BALLIU_CANNES_MINI_TUMBONA_MINI_TUMBONA_CAN_5A6F53EB</t>
        </is>
      </c>
      <c r="C148" s="122" t="inlineStr">
        <is>
          <t>Mini tumbona de exterior aluminio | 62 cm</t>
        </is>
      </c>
      <c r="D148" s="124" t="n">
        <v>140.89</v>
      </c>
      <c r="E148" s="124" t="n">
        <v>216.76</v>
      </c>
      <c r="F148" s="124">
        <f>E148*(1+IVA)</f>
        <v/>
      </c>
      <c r="G148" s="124">
        <f>E148-D148</f>
        <v/>
      </c>
      <c r="H148" s="194">
        <f>IFERROR(G148/E148,0)</f>
        <v/>
      </c>
      <c r="I148" s="124">
        <f>F148*Comision_pago_pct+Comision_pago_fija</f>
        <v/>
      </c>
      <c r="J148" s="124">
        <f>IF(A148="Hevea",IF(F148&gt;=Hevea_umbral_envio_gratis,0,Hevea_coste_envio_bajo),Balliu_coste_envio)</f>
        <v/>
      </c>
      <c r="K148" s="124">
        <f>Tasa_devolucion*Coste_devolucion</f>
        <v/>
      </c>
      <c r="L148" s="124">
        <f>Tasa_incidencia*Coste_incidencia</f>
        <v/>
      </c>
      <c r="M148" s="124">
        <f>G148-I148-J148-K148-L148</f>
        <v/>
      </c>
      <c r="N148" s="194">
        <f>IFERROR(M148/E148,0)</f>
        <v/>
      </c>
      <c r="O148" s="124">
        <f>MAX(M148,0)</f>
        <v/>
      </c>
      <c r="P148" s="195">
        <f>IFERROR(F148/O148,0)</f>
        <v/>
      </c>
      <c r="Q148" s="196">
        <f>IF(N148&gt;=Umbral_PUSH_pct,IF(M148&gt;=Umbral_PUSH_eur,"PUSH","NEUTRAL"),IF(N148&gt;=Umbral_NEUTRAL_pct,"NEUTRAL",IF(N148&gt;=Umbral_WATCH_pct,"WATCH","NO ANUNCIAR")))</f>
        <v/>
      </c>
    </row>
    <row r="149">
      <c r="A149" s="116" t="inlineStr">
        <is>
          <t>Balliu</t>
        </is>
      </c>
      <c r="B149" s="116" t="inlineStr">
        <is>
          <t>BALLIU_BRISTOL_MINI_TUMBONA_MINI_TUMBONA_BRI_FA211C70</t>
        </is>
      </c>
      <c r="C149" s="116" t="inlineStr">
        <is>
          <t>Mini tumbona de exterior madera | 59 cm</t>
        </is>
      </c>
      <c r="D149" s="118" t="n">
        <v>139.67</v>
      </c>
      <c r="E149" s="118" t="n">
        <v>251.66</v>
      </c>
      <c r="F149" s="118">
        <f>E149*(1+IVA)</f>
        <v/>
      </c>
      <c r="G149" s="118">
        <f>E149-D149</f>
        <v/>
      </c>
      <c r="H149" s="191">
        <f>IFERROR(G149/E149,0)</f>
        <v/>
      </c>
      <c r="I149" s="118">
        <f>F149*Comision_pago_pct+Comision_pago_fija</f>
        <v/>
      </c>
      <c r="J149" s="118">
        <f>IF(A149="Hevea",IF(F149&gt;=Hevea_umbral_envio_gratis,0,Hevea_coste_envio_bajo),Balliu_coste_envio)</f>
        <v/>
      </c>
      <c r="K149" s="118">
        <f>Tasa_devolucion*Coste_devolucion</f>
        <v/>
      </c>
      <c r="L149" s="118">
        <f>Tasa_incidencia*Coste_incidencia</f>
        <v/>
      </c>
      <c r="M149" s="118">
        <f>G149-I149-J149-K149-L149</f>
        <v/>
      </c>
      <c r="N149" s="191">
        <f>IFERROR(M149/E149,0)</f>
        <v/>
      </c>
      <c r="O149" s="118">
        <f>MAX(M149,0)</f>
        <v/>
      </c>
      <c r="P149" s="192">
        <f>IFERROR(F149/O149,0)</f>
        <v/>
      </c>
      <c r="Q149" s="193">
        <f>IF(N149&gt;=Umbral_PUSH_pct,IF(M149&gt;=Umbral_PUSH_eur,"PUSH","NEUTRAL"),IF(N149&gt;=Umbral_NEUTRAL_pct,"NEUTRAL",IF(N149&gt;=Umbral_WATCH_pct,"WATCH","NO ANUNCIAR")))</f>
        <v/>
      </c>
    </row>
    <row r="150">
      <c r="A150" s="122" t="inlineStr">
        <is>
          <t>Balliu</t>
        </is>
      </c>
      <c r="B150" s="122" t="inlineStr">
        <is>
          <t>BALLIU_MARINA_MINI_TUMBONA_MINI_TUMBONA_MAR_98AB84CE</t>
        </is>
      </c>
      <c r="C150" s="122" t="inlineStr">
        <is>
          <t>Mini tumbona de exterior aluminio | 57 cm</t>
        </is>
      </c>
      <c r="D150" s="124" t="n">
        <v>114.6</v>
      </c>
      <c r="E150" s="124" t="n">
        <v>176.31</v>
      </c>
      <c r="F150" s="124">
        <f>E150*(1+IVA)</f>
        <v/>
      </c>
      <c r="G150" s="124">
        <f>E150-D150</f>
        <v/>
      </c>
      <c r="H150" s="194">
        <f>IFERROR(G150/E150,0)</f>
        <v/>
      </c>
      <c r="I150" s="124">
        <f>F150*Comision_pago_pct+Comision_pago_fija</f>
        <v/>
      </c>
      <c r="J150" s="124">
        <f>IF(A150="Hevea",IF(F150&gt;=Hevea_umbral_envio_gratis,0,Hevea_coste_envio_bajo),Balliu_coste_envio)</f>
        <v/>
      </c>
      <c r="K150" s="124">
        <f>Tasa_devolucion*Coste_devolucion</f>
        <v/>
      </c>
      <c r="L150" s="124">
        <f>Tasa_incidencia*Coste_incidencia</f>
        <v/>
      </c>
      <c r="M150" s="124">
        <f>G150-I150-J150-K150-L150</f>
        <v/>
      </c>
      <c r="N150" s="194">
        <f>IFERROR(M150/E150,0)</f>
        <v/>
      </c>
      <c r="O150" s="124">
        <f>MAX(M150,0)</f>
        <v/>
      </c>
      <c r="P150" s="195">
        <f>IFERROR(F150/O150,0)</f>
        <v/>
      </c>
      <c r="Q150" s="196">
        <f>IF(N150&gt;=Umbral_PUSH_pct,IF(M150&gt;=Umbral_PUSH_eur,"PUSH","NEUTRAL"),IF(N150&gt;=Umbral_NEUTRAL_pct,"NEUTRAL",IF(N150&gt;=Umbral_WATCH_pct,"WATCH","NO ANUNCIAR")))</f>
        <v/>
      </c>
    </row>
    <row r="151">
      <c r="A151" s="116" t="inlineStr">
        <is>
          <t>Balliu</t>
        </is>
      </c>
      <c r="B151" s="116" t="inlineStr">
        <is>
          <t>BALLIU_AURA_CAMA_BALINESA_TELA_NAUTICA_2BD3A7A4</t>
        </is>
      </c>
      <c r="C151" s="116" t="inlineStr">
        <is>
          <t>Cama balinesa exterior aluminio · estilo sofisticado | 160 cm</t>
        </is>
      </c>
      <c r="D151" s="118" t="n">
        <v>1073.61</v>
      </c>
      <c r="E151" s="118" t="n">
        <v>1651.71</v>
      </c>
      <c r="F151" s="118">
        <f>E151*(1+IVA)</f>
        <v/>
      </c>
      <c r="G151" s="118">
        <f>E151-D151</f>
        <v/>
      </c>
      <c r="H151" s="191">
        <f>IFERROR(G151/E151,0)</f>
        <v/>
      </c>
      <c r="I151" s="118">
        <f>F151*Comision_pago_pct+Comision_pago_fija</f>
        <v/>
      </c>
      <c r="J151" s="118">
        <f>IF(A151="Hevea",IF(F151&gt;=Hevea_umbral_envio_gratis,0,Hevea_coste_envio_bajo),Balliu_coste_envio)</f>
        <v/>
      </c>
      <c r="K151" s="118">
        <f>Tasa_devolucion*Coste_devolucion</f>
        <v/>
      </c>
      <c r="L151" s="118">
        <f>Tasa_incidencia*Coste_incidencia</f>
        <v/>
      </c>
      <c r="M151" s="118">
        <f>G151-I151-J151-K151-L151</f>
        <v/>
      </c>
      <c r="N151" s="191">
        <f>IFERROR(M151/E151,0)</f>
        <v/>
      </c>
      <c r="O151" s="118">
        <f>MAX(M151,0)</f>
        <v/>
      </c>
      <c r="P151" s="192">
        <f>IFERROR(F151/O151,0)</f>
        <v/>
      </c>
      <c r="Q151" s="193">
        <f>IF(N151&gt;=Umbral_PUSH_pct,IF(M151&gt;=Umbral_PUSH_eur,"PUSH","NEUTRAL"),IF(N151&gt;=Umbral_NEUTRAL_pct,"NEUTRAL",IF(N151&gt;=Umbral_WATCH_pct,"WATCH","NO ANUNCIAR")))</f>
        <v/>
      </c>
    </row>
    <row r="152">
      <c r="A152" s="122" t="inlineStr">
        <is>
          <t>Balliu</t>
        </is>
      </c>
      <c r="B152" s="122" t="inlineStr">
        <is>
          <t>BALLIU_ALMA_CAMA_BALINESA_TELA_NAUTICA_DCAF71D8</t>
        </is>
      </c>
      <c r="C152" s="122" t="inlineStr">
        <is>
          <t>Cama balinesa exterior aluminio · estilo minimalista | 198 cm</t>
        </is>
      </c>
      <c r="D152" s="124" t="n">
        <v>1510.81</v>
      </c>
      <c r="E152" s="124" t="n">
        <v>2324.32</v>
      </c>
      <c r="F152" s="124">
        <f>E152*(1+IVA)</f>
        <v/>
      </c>
      <c r="G152" s="124">
        <f>E152-D152</f>
        <v/>
      </c>
      <c r="H152" s="194">
        <f>IFERROR(G152/E152,0)</f>
        <v/>
      </c>
      <c r="I152" s="124">
        <f>F152*Comision_pago_pct+Comision_pago_fija</f>
        <v/>
      </c>
      <c r="J152" s="124">
        <f>IF(A152="Hevea",IF(F152&gt;=Hevea_umbral_envio_gratis,0,Hevea_coste_envio_bajo),Balliu_coste_envio)</f>
        <v/>
      </c>
      <c r="K152" s="124">
        <f>Tasa_devolucion*Coste_devolucion</f>
        <v/>
      </c>
      <c r="L152" s="124">
        <f>Tasa_incidencia*Coste_incidencia</f>
        <v/>
      </c>
      <c r="M152" s="124">
        <f>G152-I152-J152-K152-L152</f>
        <v/>
      </c>
      <c r="N152" s="194">
        <f>IFERROR(M152/E152,0)</f>
        <v/>
      </c>
      <c r="O152" s="124">
        <f>MAX(M152,0)</f>
        <v/>
      </c>
      <c r="P152" s="195">
        <f>IFERROR(F152/O152,0)</f>
        <v/>
      </c>
      <c r="Q152" s="196">
        <f>IF(N152&gt;=Umbral_PUSH_pct,IF(M152&gt;=Umbral_PUSH_eur,"PUSH","NEUTRAL"),IF(N152&gt;=Umbral_NEUTRAL_pct,"NEUTRAL",IF(N152&gt;=Umbral_WATCH_pct,"WATCH","NO ANUNCIAR")))</f>
        <v/>
      </c>
    </row>
    <row r="153">
      <c r="A153" s="116" t="inlineStr">
        <is>
          <t>Balliu</t>
        </is>
      </c>
      <c r="B153" s="116" t="inlineStr">
        <is>
          <t>BALLIU_ETNA_SILLA_TABURETE_ETNA_AL_A66B4A0A</t>
        </is>
      </c>
      <c r="C153" s="116" t="inlineStr">
        <is>
          <t>Taburete exterior aluminio · estilo elegante | 56 cm</t>
        </is>
      </c>
      <c r="D153" s="118" t="n">
        <v>100.25</v>
      </c>
      <c r="E153" s="118" t="n">
        <v>154.23</v>
      </c>
      <c r="F153" s="118">
        <f>E153*(1+IVA)</f>
        <v/>
      </c>
      <c r="G153" s="118">
        <f>E153-D153</f>
        <v/>
      </c>
      <c r="H153" s="191">
        <f>IFERROR(G153/E153,0)</f>
        <v/>
      </c>
      <c r="I153" s="118">
        <f>F153*Comision_pago_pct+Comision_pago_fija</f>
        <v/>
      </c>
      <c r="J153" s="118">
        <f>IF(A153="Hevea",IF(F153&gt;=Hevea_umbral_envio_gratis,0,Hevea_coste_envio_bajo),Balliu_coste_envio)</f>
        <v/>
      </c>
      <c r="K153" s="118">
        <f>Tasa_devolucion*Coste_devolucion</f>
        <v/>
      </c>
      <c r="L153" s="118">
        <f>Tasa_incidencia*Coste_incidencia</f>
        <v/>
      </c>
      <c r="M153" s="118">
        <f>G153-I153-J153-K153-L153</f>
        <v/>
      </c>
      <c r="N153" s="191">
        <f>IFERROR(M153/E153,0)</f>
        <v/>
      </c>
      <c r="O153" s="118">
        <f>MAX(M153,0)</f>
        <v/>
      </c>
      <c r="P153" s="192">
        <f>IFERROR(F153/O153,0)</f>
        <v/>
      </c>
      <c r="Q153" s="193">
        <f>IF(N153&gt;=Umbral_PUSH_pct,IF(M153&gt;=Umbral_PUSH_eur,"PUSH","NEUTRAL"),IF(N153&gt;=Umbral_NEUTRAL_pct,"NEUTRAL",IF(N153&gt;=Umbral_WATCH_pct,"WATCH","NO ANUNCIAR")))</f>
        <v/>
      </c>
    </row>
    <row r="154">
      <c r="A154" s="122" t="inlineStr">
        <is>
          <t>Balliu</t>
        </is>
      </c>
      <c r="B154" s="122" t="inlineStr">
        <is>
          <t>BALLIU_ETNA_SILLA_CON_BRAZOS_5C88BD77</t>
        </is>
      </c>
      <c r="C154" s="122" t="inlineStr">
        <is>
          <t>Silla exterior con brazos aluminio · estilo elegante | 56 cm</t>
        </is>
      </c>
      <c r="D154" s="124" t="n">
        <v>97.70999999999999</v>
      </c>
      <c r="E154" s="124" t="n">
        <v>150.32</v>
      </c>
      <c r="F154" s="124">
        <f>E154*(1+IVA)</f>
        <v/>
      </c>
      <c r="G154" s="124">
        <f>E154-D154</f>
        <v/>
      </c>
      <c r="H154" s="194">
        <f>IFERROR(G154/E154,0)</f>
        <v/>
      </c>
      <c r="I154" s="124">
        <f>F154*Comision_pago_pct+Comision_pago_fija</f>
        <v/>
      </c>
      <c r="J154" s="124">
        <f>IF(A154="Hevea",IF(F154&gt;=Hevea_umbral_envio_gratis,0,Hevea_coste_envio_bajo),Balliu_coste_envio)</f>
        <v/>
      </c>
      <c r="K154" s="124">
        <f>Tasa_devolucion*Coste_devolucion</f>
        <v/>
      </c>
      <c r="L154" s="124">
        <f>Tasa_incidencia*Coste_incidencia</f>
        <v/>
      </c>
      <c r="M154" s="124">
        <f>G154-I154-J154-K154-L154</f>
        <v/>
      </c>
      <c r="N154" s="194">
        <f>IFERROR(M154/E154,0)</f>
        <v/>
      </c>
      <c r="O154" s="124">
        <f>MAX(M154,0)</f>
        <v/>
      </c>
      <c r="P154" s="195">
        <f>IFERROR(F154/O154,0)</f>
        <v/>
      </c>
      <c r="Q154" s="196">
        <f>IF(N154&gt;=Umbral_PUSH_pct,IF(M154&gt;=Umbral_PUSH_eur,"PUSH","NEUTRAL"),IF(N154&gt;=Umbral_NEUTRAL_pct,"NEUTRAL",IF(N154&gt;=Umbral_WATCH_pct,"WATCH","NO ANUNCIAR")))</f>
        <v/>
      </c>
    </row>
    <row r="155">
      <c r="A155" s="116" t="inlineStr">
        <is>
          <t>Balliu</t>
        </is>
      </c>
      <c r="B155" s="116" t="inlineStr">
        <is>
          <t>BALLIU_ETNA_SILLA_ALTA_CON_BRAZOS_EAF4A34A</t>
        </is>
      </c>
      <c r="C155" s="116" t="inlineStr">
        <is>
          <t>Silla exterior con brazos aluminio · estilo elegante | 56 cm</t>
        </is>
      </c>
      <c r="D155" s="118" t="n">
        <v>102.17</v>
      </c>
      <c r="E155" s="118" t="n">
        <v>157.19</v>
      </c>
      <c r="F155" s="118">
        <f>E155*(1+IVA)</f>
        <v/>
      </c>
      <c r="G155" s="118">
        <f>E155-D155</f>
        <v/>
      </c>
      <c r="H155" s="191">
        <f>IFERROR(G155/E155,0)</f>
        <v/>
      </c>
      <c r="I155" s="118">
        <f>F155*Comision_pago_pct+Comision_pago_fija</f>
        <v/>
      </c>
      <c r="J155" s="118">
        <f>IF(A155="Hevea",IF(F155&gt;=Hevea_umbral_envio_gratis,0,Hevea_coste_envio_bajo),Balliu_coste_envio)</f>
        <v/>
      </c>
      <c r="K155" s="118">
        <f>Tasa_devolucion*Coste_devolucion</f>
        <v/>
      </c>
      <c r="L155" s="118">
        <f>Tasa_incidencia*Coste_incidencia</f>
        <v/>
      </c>
      <c r="M155" s="118">
        <f>G155-I155-J155-K155-L155</f>
        <v/>
      </c>
      <c r="N155" s="191">
        <f>IFERROR(M155/E155,0)</f>
        <v/>
      </c>
      <c r="O155" s="118">
        <f>MAX(M155,0)</f>
        <v/>
      </c>
      <c r="P155" s="192">
        <f>IFERROR(F155/O155,0)</f>
        <v/>
      </c>
      <c r="Q155" s="193">
        <f>IF(N155&gt;=Umbral_PUSH_pct,IF(M155&gt;=Umbral_PUSH_eur,"PUSH","NEUTRAL"),IF(N155&gt;=Umbral_NEUTRAL_pct,"NEUTRAL",IF(N155&gt;=Umbral_WATCH_pct,"WATCH","NO ANUNCIAR")))</f>
        <v/>
      </c>
    </row>
    <row r="156">
      <c r="A156" s="122" t="inlineStr">
        <is>
          <t>Balliu</t>
        </is>
      </c>
      <c r="B156" s="122" t="inlineStr">
        <is>
          <t>BALLIU_DUNA_SILLA_BLANCA_484CBEA0</t>
        </is>
      </c>
      <c r="C156" s="122" t="inlineStr">
        <is>
          <t>Silla exterior resina · estilo minimalista</t>
        </is>
      </c>
      <c r="D156" s="124" t="n">
        <v>41.58</v>
      </c>
      <c r="E156" s="124" t="n">
        <v>63.96</v>
      </c>
      <c r="F156" s="124">
        <f>E156*(1+IVA)</f>
        <v/>
      </c>
      <c r="G156" s="124">
        <f>E156-D156</f>
        <v/>
      </c>
      <c r="H156" s="194">
        <f>IFERROR(G156/E156,0)</f>
        <v/>
      </c>
      <c r="I156" s="124">
        <f>F156*Comision_pago_pct+Comision_pago_fija</f>
        <v/>
      </c>
      <c r="J156" s="124">
        <f>IF(A156="Hevea",IF(F156&gt;=Hevea_umbral_envio_gratis,0,Hevea_coste_envio_bajo),Balliu_coste_envio)</f>
        <v/>
      </c>
      <c r="K156" s="124">
        <f>Tasa_devolucion*Coste_devolucion</f>
        <v/>
      </c>
      <c r="L156" s="124">
        <f>Tasa_incidencia*Coste_incidencia</f>
        <v/>
      </c>
      <c r="M156" s="124">
        <f>G156-I156-J156-K156-L156</f>
        <v/>
      </c>
      <c r="N156" s="194">
        <f>IFERROR(M156/E156,0)</f>
        <v/>
      </c>
      <c r="O156" s="124">
        <f>MAX(M156,0)</f>
        <v/>
      </c>
      <c r="P156" s="195">
        <f>IFERROR(F156/O156,0)</f>
        <v/>
      </c>
      <c r="Q156" s="196">
        <f>IF(N156&gt;=Umbral_PUSH_pct,IF(M156&gt;=Umbral_PUSH_eur,"PUSH","NEUTRAL"),IF(N156&gt;=Umbral_NEUTRAL_pct,"NEUTRAL",IF(N156&gt;=Umbral_WATCH_pct,"WATCH","NO ANUNCIAR")))</f>
        <v/>
      </c>
    </row>
    <row r="157">
      <c r="A157" s="116" t="inlineStr">
        <is>
          <t>Balliu</t>
        </is>
      </c>
      <c r="B157" s="116" t="inlineStr">
        <is>
          <t>BALLIU_DUNA_SILLA_COLOR_NEGRO_TORT_611D28CC</t>
        </is>
      </c>
      <c r="C157" s="116" t="inlineStr">
        <is>
          <t>Silla exterior resina · estilo minimalista</t>
        </is>
      </c>
      <c r="D157" s="118" t="n">
        <v>43.92</v>
      </c>
      <c r="E157" s="118" t="n">
        <v>67.56999999999999</v>
      </c>
      <c r="F157" s="118">
        <f>E157*(1+IVA)</f>
        <v/>
      </c>
      <c r="G157" s="118">
        <f>E157-D157</f>
        <v/>
      </c>
      <c r="H157" s="191">
        <f>IFERROR(G157/E157,0)</f>
        <v/>
      </c>
      <c r="I157" s="118">
        <f>F157*Comision_pago_pct+Comision_pago_fija</f>
        <v/>
      </c>
      <c r="J157" s="118">
        <f>IF(A157="Hevea",IF(F157&gt;=Hevea_umbral_envio_gratis,0,Hevea_coste_envio_bajo),Balliu_coste_envio)</f>
        <v/>
      </c>
      <c r="K157" s="118">
        <f>Tasa_devolucion*Coste_devolucion</f>
        <v/>
      </c>
      <c r="L157" s="118">
        <f>Tasa_incidencia*Coste_incidencia</f>
        <v/>
      </c>
      <c r="M157" s="118">
        <f>G157-I157-J157-K157-L157</f>
        <v/>
      </c>
      <c r="N157" s="191">
        <f>IFERROR(M157/E157,0)</f>
        <v/>
      </c>
      <c r="O157" s="118">
        <f>MAX(M157,0)</f>
        <v/>
      </c>
      <c r="P157" s="192">
        <f>IFERROR(F157/O157,0)</f>
        <v/>
      </c>
      <c r="Q157" s="193">
        <f>IF(N157&gt;=Umbral_PUSH_pct,IF(M157&gt;=Umbral_PUSH_eur,"PUSH","NEUTRAL"),IF(N157&gt;=Umbral_NEUTRAL_pct,"NEUTRAL",IF(N157&gt;=Umbral_WATCH_pct,"WATCH","NO ANUNCIAR")))</f>
        <v/>
      </c>
    </row>
    <row r="158">
      <c r="A158" s="122" t="inlineStr">
        <is>
          <t>Balliu</t>
        </is>
      </c>
      <c r="B158" s="122" t="inlineStr">
        <is>
          <t>BALLIU_BIMBA_SILLA_BLANCA_8164CC65</t>
        </is>
      </c>
      <c r="C158" s="122" t="inlineStr">
        <is>
          <t>Silla exterior resina · estilo clásico | 57 cm</t>
        </is>
      </c>
      <c r="D158" s="124" t="n">
        <v>54.81</v>
      </c>
      <c r="E158" s="124" t="n">
        <v>84.31999999999999</v>
      </c>
      <c r="F158" s="124">
        <f>E158*(1+IVA)</f>
        <v/>
      </c>
      <c r="G158" s="124">
        <f>E158-D158</f>
        <v/>
      </c>
      <c r="H158" s="194">
        <f>IFERROR(G158/E158,0)</f>
        <v/>
      </c>
      <c r="I158" s="124">
        <f>F158*Comision_pago_pct+Comision_pago_fija</f>
        <v/>
      </c>
      <c r="J158" s="124">
        <f>IF(A158="Hevea",IF(F158&gt;=Hevea_umbral_envio_gratis,0,Hevea_coste_envio_bajo),Balliu_coste_envio)</f>
        <v/>
      </c>
      <c r="K158" s="124">
        <f>Tasa_devolucion*Coste_devolucion</f>
        <v/>
      </c>
      <c r="L158" s="124">
        <f>Tasa_incidencia*Coste_incidencia</f>
        <v/>
      </c>
      <c r="M158" s="124">
        <f>G158-I158-J158-K158-L158</f>
        <v/>
      </c>
      <c r="N158" s="194">
        <f>IFERROR(M158/E158,0)</f>
        <v/>
      </c>
      <c r="O158" s="124">
        <f>MAX(M158,0)</f>
        <v/>
      </c>
      <c r="P158" s="195">
        <f>IFERROR(F158/O158,0)</f>
        <v/>
      </c>
      <c r="Q158" s="196">
        <f>IF(N158&gt;=Umbral_PUSH_pct,IF(M158&gt;=Umbral_PUSH_eur,"PUSH","NEUTRAL"),IF(N158&gt;=Umbral_NEUTRAL_pct,"NEUTRAL",IF(N158&gt;=Umbral_WATCH_pct,"WATCH","NO ANUNCIAR")))</f>
        <v/>
      </c>
    </row>
    <row r="159">
      <c r="A159" s="116" t="inlineStr">
        <is>
          <t>Balliu</t>
        </is>
      </c>
      <c r="B159" s="116" t="inlineStr">
        <is>
          <t>BALLIU_BIMBA_SILLA_NEGRA_5F329445</t>
        </is>
      </c>
      <c r="C159" s="116" t="inlineStr">
        <is>
          <t>Silla exterior resina · estilo clásico | 57 cm</t>
        </is>
      </c>
      <c r="D159" s="118" t="n">
        <v>55.63</v>
      </c>
      <c r="E159" s="118" t="n">
        <v>85.59</v>
      </c>
      <c r="F159" s="118">
        <f>E159*(1+IVA)</f>
        <v/>
      </c>
      <c r="G159" s="118">
        <f>E159-D159</f>
        <v/>
      </c>
      <c r="H159" s="191">
        <f>IFERROR(G159/E159,0)</f>
        <v/>
      </c>
      <c r="I159" s="118">
        <f>F159*Comision_pago_pct+Comision_pago_fija</f>
        <v/>
      </c>
      <c r="J159" s="118">
        <f>IF(A159="Hevea",IF(F159&gt;=Hevea_umbral_envio_gratis,0,Hevea_coste_envio_bajo),Balliu_coste_envio)</f>
        <v/>
      </c>
      <c r="K159" s="118">
        <f>Tasa_devolucion*Coste_devolucion</f>
        <v/>
      </c>
      <c r="L159" s="118">
        <f>Tasa_incidencia*Coste_incidencia</f>
        <v/>
      </c>
      <c r="M159" s="118">
        <f>G159-I159-J159-K159-L159</f>
        <v/>
      </c>
      <c r="N159" s="191">
        <f>IFERROR(M159/E159,0)</f>
        <v/>
      </c>
      <c r="O159" s="118">
        <f>MAX(M159,0)</f>
        <v/>
      </c>
      <c r="P159" s="192">
        <f>IFERROR(F159/O159,0)</f>
        <v/>
      </c>
      <c r="Q159" s="193">
        <f>IF(N159&gt;=Umbral_PUSH_pct,IF(M159&gt;=Umbral_PUSH_eur,"PUSH","NEUTRAL"),IF(N159&gt;=Umbral_NEUTRAL_pct,"NEUTRAL",IF(N159&gt;=Umbral_WATCH_pct,"WATCH","NO ANUNCIAR")))</f>
        <v/>
      </c>
    </row>
    <row r="160">
      <c r="A160" s="122" t="inlineStr">
        <is>
          <t>Balliu</t>
        </is>
      </c>
      <c r="B160" s="122" t="inlineStr">
        <is>
          <t>BALLIU_SELVA_SILLA_BLANCA_0B607EC7</t>
        </is>
      </c>
      <c r="C160" s="122" t="inlineStr">
        <is>
          <t>Silla exterior resina · estilo funcional</t>
        </is>
      </c>
      <c r="D160" s="124" t="n">
        <v>17.17</v>
      </c>
      <c r="E160" s="124" t="n">
        <v>27.69</v>
      </c>
      <c r="F160" s="124">
        <f>E160*(1+IVA)</f>
        <v/>
      </c>
      <c r="G160" s="124">
        <f>E160-D160</f>
        <v/>
      </c>
      <c r="H160" s="194">
        <f>IFERROR(G160/E160,0)</f>
        <v/>
      </c>
      <c r="I160" s="124">
        <f>F160*Comision_pago_pct+Comision_pago_fija</f>
        <v/>
      </c>
      <c r="J160" s="124">
        <f>IF(A160="Hevea",IF(F160&gt;=Hevea_umbral_envio_gratis,0,Hevea_coste_envio_bajo),Balliu_coste_envio)</f>
        <v/>
      </c>
      <c r="K160" s="124">
        <f>Tasa_devolucion*Coste_devolucion</f>
        <v/>
      </c>
      <c r="L160" s="124">
        <f>Tasa_incidencia*Coste_incidencia</f>
        <v/>
      </c>
      <c r="M160" s="124">
        <f>G160-I160-J160-K160-L160</f>
        <v/>
      </c>
      <c r="N160" s="194">
        <f>IFERROR(M160/E160,0)</f>
        <v/>
      </c>
      <c r="O160" s="124">
        <f>MAX(M160,0)</f>
        <v/>
      </c>
      <c r="P160" s="195">
        <f>IFERROR(F160/O160,0)</f>
        <v/>
      </c>
      <c r="Q160" s="196">
        <f>IF(N160&gt;=Umbral_PUSH_pct,IF(M160&gt;=Umbral_PUSH_eur,"PUSH","NEUTRAL"),IF(N160&gt;=Umbral_NEUTRAL_pct,"NEUTRAL",IF(N160&gt;=Umbral_WATCH_pct,"WATCH","NO ANUNCIAR")))</f>
        <v/>
      </c>
    </row>
    <row r="161">
      <c r="A161" s="116" t="inlineStr">
        <is>
          <t>Balliu</t>
        </is>
      </c>
      <c r="B161" s="116" t="inlineStr">
        <is>
          <t>BALLIU_SELVA_SILLA_COLOR_5FDA60B0</t>
        </is>
      </c>
      <c r="C161" s="116" t="inlineStr">
        <is>
          <t>Silla exterior resina · estilo funcional</t>
        </is>
      </c>
      <c r="D161" s="118" t="n">
        <v>20.77</v>
      </c>
      <c r="E161" s="118" t="n">
        <v>33.49</v>
      </c>
      <c r="F161" s="118">
        <f>E161*(1+IVA)</f>
        <v/>
      </c>
      <c r="G161" s="118">
        <f>E161-D161</f>
        <v/>
      </c>
      <c r="H161" s="191">
        <f>IFERROR(G161/E161,0)</f>
        <v/>
      </c>
      <c r="I161" s="118">
        <f>F161*Comision_pago_pct+Comision_pago_fija</f>
        <v/>
      </c>
      <c r="J161" s="118">
        <f>IF(A161="Hevea",IF(F161&gt;=Hevea_umbral_envio_gratis,0,Hevea_coste_envio_bajo),Balliu_coste_envio)</f>
        <v/>
      </c>
      <c r="K161" s="118">
        <f>Tasa_devolucion*Coste_devolucion</f>
        <v/>
      </c>
      <c r="L161" s="118">
        <f>Tasa_incidencia*Coste_incidencia</f>
        <v/>
      </c>
      <c r="M161" s="118">
        <f>G161-I161-J161-K161-L161</f>
        <v/>
      </c>
      <c r="N161" s="191">
        <f>IFERROR(M161/E161,0)</f>
        <v/>
      </c>
      <c r="O161" s="118">
        <f>MAX(M161,0)</f>
        <v/>
      </c>
      <c r="P161" s="192">
        <f>IFERROR(F161/O161,0)</f>
        <v/>
      </c>
      <c r="Q161" s="193">
        <f>IF(N161&gt;=Umbral_PUSH_pct,IF(M161&gt;=Umbral_PUSH_eur,"PUSH","NEUTRAL"),IF(N161&gt;=Umbral_NEUTRAL_pct,"NEUTRAL",IF(N161&gt;=Umbral_WATCH_pct,"WATCH","NO ANUNCIAR")))</f>
        <v/>
      </c>
    </row>
    <row r="162">
      <c r="A162" s="122" t="inlineStr">
        <is>
          <t>Balliu</t>
        </is>
      </c>
      <c r="B162" s="122" t="inlineStr">
        <is>
          <t>BALLIU_BRUNA_SILLA_SIN_BRAZOS_AF080E9C</t>
        </is>
      </c>
      <c r="C162" s="122" t="inlineStr">
        <is>
          <t>Silla exterior sin brazos resina · estilo contemporáneo | 49 cm</t>
        </is>
      </c>
      <c r="D162" s="124" t="n">
        <v>43.89</v>
      </c>
      <c r="E162" s="124" t="n">
        <v>58.52</v>
      </c>
      <c r="F162" s="124">
        <f>E162*(1+IVA)</f>
        <v/>
      </c>
      <c r="G162" s="124">
        <f>E162-D162</f>
        <v/>
      </c>
      <c r="H162" s="194">
        <f>IFERROR(G162/E162,0)</f>
        <v/>
      </c>
      <c r="I162" s="124">
        <f>F162*Comision_pago_pct+Comision_pago_fija</f>
        <v/>
      </c>
      <c r="J162" s="124">
        <f>IF(A162="Hevea",IF(F162&gt;=Hevea_umbral_envio_gratis,0,Hevea_coste_envio_bajo),Balliu_coste_envio)</f>
        <v/>
      </c>
      <c r="K162" s="124">
        <f>Tasa_devolucion*Coste_devolucion</f>
        <v/>
      </c>
      <c r="L162" s="124">
        <f>Tasa_incidencia*Coste_incidencia</f>
        <v/>
      </c>
      <c r="M162" s="124">
        <f>G162-I162-J162-K162-L162</f>
        <v/>
      </c>
      <c r="N162" s="194">
        <f>IFERROR(M162/E162,0)</f>
        <v/>
      </c>
      <c r="O162" s="124">
        <f>MAX(M162,0)</f>
        <v/>
      </c>
      <c r="P162" s="195">
        <f>IFERROR(F162/O162,0)</f>
        <v/>
      </c>
      <c r="Q162" s="196">
        <f>IF(N162&gt;=Umbral_PUSH_pct,IF(M162&gt;=Umbral_PUSH_eur,"PUSH","NEUTRAL"),IF(N162&gt;=Umbral_NEUTRAL_pct,"NEUTRAL",IF(N162&gt;=Umbral_WATCH_pct,"WATCH","NO ANUNCIAR")))</f>
        <v/>
      </c>
    </row>
    <row r="163">
      <c r="A163" s="116" t="inlineStr">
        <is>
          <t>Balliu</t>
        </is>
      </c>
      <c r="B163" s="116" t="inlineStr">
        <is>
          <t>BALLIU_BRUNA_SILLA_CON_BRAZOS_D52BECC5</t>
        </is>
      </c>
      <c r="C163" s="116" t="inlineStr">
        <is>
          <t>Silla exterior con brazos resina · estilo contemporáneo | 49 cm</t>
        </is>
      </c>
      <c r="D163" s="118" t="n">
        <v>52.19</v>
      </c>
      <c r="E163" s="118" t="n">
        <v>69.58</v>
      </c>
      <c r="F163" s="118">
        <f>E163*(1+IVA)</f>
        <v/>
      </c>
      <c r="G163" s="118">
        <f>E163-D163</f>
        <v/>
      </c>
      <c r="H163" s="191">
        <f>IFERROR(G163/E163,0)</f>
        <v/>
      </c>
      <c r="I163" s="118">
        <f>F163*Comision_pago_pct+Comision_pago_fija</f>
        <v/>
      </c>
      <c r="J163" s="118">
        <f>IF(A163="Hevea",IF(F163&gt;=Hevea_umbral_envio_gratis,0,Hevea_coste_envio_bajo),Balliu_coste_envio)</f>
        <v/>
      </c>
      <c r="K163" s="118">
        <f>Tasa_devolucion*Coste_devolucion</f>
        <v/>
      </c>
      <c r="L163" s="118">
        <f>Tasa_incidencia*Coste_incidencia</f>
        <v/>
      </c>
      <c r="M163" s="118">
        <f>G163-I163-J163-K163-L163</f>
        <v/>
      </c>
      <c r="N163" s="191">
        <f>IFERROR(M163/E163,0)</f>
        <v/>
      </c>
      <c r="O163" s="118">
        <f>MAX(M163,0)</f>
        <v/>
      </c>
      <c r="P163" s="192">
        <f>IFERROR(F163/O163,0)</f>
        <v/>
      </c>
      <c r="Q163" s="193">
        <f>IF(N163&gt;=Umbral_PUSH_pct,IF(M163&gt;=Umbral_PUSH_eur,"PUSH","NEUTRAL"),IF(N163&gt;=Umbral_NEUTRAL_pct,"NEUTRAL",IF(N163&gt;=Umbral_WATCH_pct,"WATCH","NO ANUNCIAR")))</f>
        <v/>
      </c>
    </row>
    <row r="164">
      <c r="A164" s="122" t="inlineStr">
        <is>
          <t>Balliu</t>
        </is>
      </c>
      <c r="B164" s="122" t="inlineStr">
        <is>
          <t>BALLIU_VERA_SILLA_SIN_BRAZOS_DAABCDAF</t>
        </is>
      </c>
      <c r="C164" s="122" t="inlineStr">
        <is>
          <t>Silla exterior sin brazos resina · estilo funcional</t>
        </is>
      </c>
      <c r="D164" s="124" t="n">
        <v>48.33</v>
      </c>
      <c r="E164" s="124" t="n">
        <v>64.44</v>
      </c>
      <c r="F164" s="124">
        <f>E164*(1+IVA)</f>
        <v/>
      </c>
      <c r="G164" s="124">
        <f>E164-D164</f>
        <v/>
      </c>
      <c r="H164" s="194">
        <f>IFERROR(G164/E164,0)</f>
        <v/>
      </c>
      <c r="I164" s="124">
        <f>F164*Comision_pago_pct+Comision_pago_fija</f>
        <v/>
      </c>
      <c r="J164" s="124">
        <f>IF(A164="Hevea",IF(F164&gt;=Hevea_umbral_envio_gratis,0,Hevea_coste_envio_bajo),Balliu_coste_envio)</f>
        <v/>
      </c>
      <c r="K164" s="124">
        <f>Tasa_devolucion*Coste_devolucion</f>
        <v/>
      </c>
      <c r="L164" s="124">
        <f>Tasa_incidencia*Coste_incidencia</f>
        <v/>
      </c>
      <c r="M164" s="124">
        <f>G164-I164-J164-K164-L164</f>
        <v/>
      </c>
      <c r="N164" s="194">
        <f>IFERROR(M164/E164,0)</f>
        <v/>
      </c>
      <c r="O164" s="124">
        <f>MAX(M164,0)</f>
        <v/>
      </c>
      <c r="P164" s="195">
        <f>IFERROR(F164/O164,0)</f>
        <v/>
      </c>
      <c r="Q164" s="196">
        <f>IF(N164&gt;=Umbral_PUSH_pct,IF(M164&gt;=Umbral_PUSH_eur,"PUSH","NEUTRAL"),IF(N164&gt;=Umbral_NEUTRAL_pct,"NEUTRAL",IF(N164&gt;=Umbral_WATCH_pct,"WATCH","NO ANUNCIAR")))</f>
        <v/>
      </c>
    </row>
    <row r="165">
      <c r="A165" s="116" t="inlineStr">
        <is>
          <t>Balliu</t>
        </is>
      </c>
      <c r="B165" s="116" t="inlineStr">
        <is>
          <t>BALLIU_VERA_SILLA_CON_BRAZOS_75353330</t>
        </is>
      </c>
      <c r="C165" s="116" t="inlineStr">
        <is>
          <t>Silla exterior con brazos resina · estilo funcional</t>
        </is>
      </c>
      <c r="D165" s="118" t="n">
        <v>49.44</v>
      </c>
      <c r="E165" s="118" t="n">
        <v>65.92</v>
      </c>
      <c r="F165" s="118">
        <f>E165*(1+IVA)</f>
        <v/>
      </c>
      <c r="G165" s="118">
        <f>E165-D165</f>
        <v/>
      </c>
      <c r="H165" s="191">
        <f>IFERROR(G165/E165,0)</f>
        <v/>
      </c>
      <c r="I165" s="118">
        <f>F165*Comision_pago_pct+Comision_pago_fija</f>
        <v/>
      </c>
      <c r="J165" s="118">
        <f>IF(A165="Hevea",IF(F165&gt;=Hevea_umbral_envio_gratis,0,Hevea_coste_envio_bajo),Balliu_coste_envio)</f>
        <v/>
      </c>
      <c r="K165" s="118">
        <f>Tasa_devolucion*Coste_devolucion</f>
        <v/>
      </c>
      <c r="L165" s="118">
        <f>Tasa_incidencia*Coste_incidencia</f>
        <v/>
      </c>
      <c r="M165" s="118">
        <f>G165-I165-J165-K165-L165</f>
        <v/>
      </c>
      <c r="N165" s="191">
        <f>IFERROR(M165/E165,0)</f>
        <v/>
      </c>
      <c r="O165" s="118">
        <f>MAX(M165,0)</f>
        <v/>
      </c>
      <c r="P165" s="192">
        <f>IFERROR(F165/O165,0)</f>
        <v/>
      </c>
      <c r="Q165" s="193">
        <f>IF(N165&gt;=Umbral_PUSH_pct,IF(M165&gt;=Umbral_PUSH_eur,"PUSH","NEUTRAL"),IF(N165&gt;=Umbral_NEUTRAL_pct,"NEUTRAL",IF(N165&gt;=Umbral_WATCH_pct,"WATCH","NO ANUNCIAR")))</f>
        <v/>
      </c>
    </row>
    <row r="166">
      <c r="A166" s="122" t="inlineStr">
        <is>
          <t>Balliu</t>
        </is>
      </c>
      <c r="B166" s="122" t="inlineStr">
        <is>
          <t>BALLIU_VERA_SILLA_L_CON_BRAZOS_51F30794</t>
        </is>
      </c>
      <c r="C166" s="122" t="inlineStr">
        <is>
          <t>Silla exterior con brazos resina · estilo funcional</t>
        </is>
      </c>
      <c r="D166" s="124" t="n">
        <v>71.33</v>
      </c>
      <c r="E166" s="124" t="n">
        <v>95.11</v>
      </c>
      <c r="F166" s="124">
        <f>E166*(1+IVA)</f>
        <v/>
      </c>
      <c r="G166" s="124">
        <f>E166-D166</f>
        <v/>
      </c>
      <c r="H166" s="194">
        <f>IFERROR(G166/E166,0)</f>
        <v/>
      </c>
      <c r="I166" s="124">
        <f>F166*Comision_pago_pct+Comision_pago_fija</f>
        <v/>
      </c>
      <c r="J166" s="124">
        <f>IF(A166="Hevea",IF(F166&gt;=Hevea_umbral_envio_gratis,0,Hevea_coste_envio_bajo),Balliu_coste_envio)</f>
        <v/>
      </c>
      <c r="K166" s="124">
        <f>Tasa_devolucion*Coste_devolucion</f>
        <v/>
      </c>
      <c r="L166" s="124">
        <f>Tasa_incidencia*Coste_incidencia</f>
        <v/>
      </c>
      <c r="M166" s="124">
        <f>G166-I166-J166-K166-L166</f>
        <v/>
      </c>
      <c r="N166" s="194">
        <f>IFERROR(M166/E166,0)</f>
        <v/>
      </c>
      <c r="O166" s="124">
        <f>MAX(M166,0)</f>
        <v/>
      </c>
      <c r="P166" s="195">
        <f>IFERROR(F166/O166,0)</f>
        <v/>
      </c>
      <c r="Q166" s="196">
        <f>IF(N166&gt;=Umbral_PUSH_pct,IF(M166&gt;=Umbral_PUSH_eur,"PUSH","NEUTRAL"),IF(N166&gt;=Umbral_NEUTRAL_pct,"NEUTRAL",IF(N166&gt;=Umbral_WATCH_pct,"WATCH","NO ANUNCIAR")))</f>
        <v/>
      </c>
    </row>
    <row r="167">
      <c r="A167" s="116" t="inlineStr">
        <is>
          <t>Balliu</t>
        </is>
      </c>
      <c r="B167" s="116" t="inlineStr">
        <is>
          <t>BALLIU_SILLA_VENUS_SIN_BRAZOS_CD07E7D6</t>
        </is>
      </c>
      <c r="C167" s="116" t="inlineStr">
        <is>
          <t>Silla exterior sin brazos · estilo contemporáneo | 53 cm</t>
        </is>
      </c>
      <c r="D167" s="118" t="n">
        <v>40.56</v>
      </c>
      <c r="E167" s="118" t="n">
        <v>54.07</v>
      </c>
      <c r="F167" s="118">
        <f>E167*(1+IVA)</f>
        <v/>
      </c>
      <c r="G167" s="118">
        <f>E167-D167</f>
        <v/>
      </c>
      <c r="H167" s="191">
        <f>IFERROR(G167/E167,0)</f>
        <v/>
      </c>
      <c r="I167" s="118">
        <f>F167*Comision_pago_pct+Comision_pago_fija</f>
        <v/>
      </c>
      <c r="J167" s="118">
        <f>IF(A167="Hevea",IF(F167&gt;=Hevea_umbral_envio_gratis,0,Hevea_coste_envio_bajo),Balliu_coste_envio)</f>
        <v/>
      </c>
      <c r="K167" s="118">
        <f>Tasa_devolucion*Coste_devolucion</f>
        <v/>
      </c>
      <c r="L167" s="118">
        <f>Tasa_incidencia*Coste_incidencia</f>
        <v/>
      </c>
      <c r="M167" s="118">
        <f>G167-I167-J167-K167-L167</f>
        <v/>
      </c>
      <c r="N167" s="191">
        <f>IFERROR(M167/E167,0)</f>
        <v/>
      </c>
      <c r="O167" s="118">
        <f>MAX(M167,0)</f>
        <v/>
      </c>
      <c r="P167" s="192">
        <f>IFERROR(F167/O167,0)</f>
        <v/>
      </c>
      <c r="Q167" s="193">
        <f>IF(N167&gt;=Umbral_PUSH_pct,IF(M167&gt;=Umbral_PUSH_eur,"PUSH","NEUTRAL"),IF(N167&gt;=Umbral_NEUTRAL_pct,"NEUTRAL",IF(N167&gt;=Umbral_WATCH_pct,"WATCH","NO ANUNCIAR")))</f>
        <v/>
      </c>
    </row>
    <row r="168">
      <c r="A168" s="122" t="inlineStr">
        <is>
          <t>Balliu</t>
        </is>
      </c>
      <c r="B168" s="122" t="inlineStr">
        <is>
          <t>BALLIU_SILLA_VENUS_CON_BRAZOS_C654C52F</t>
        </is>
      </c>
      <c r="C168" s="122" t="inlineStr">
        <is>
          <t>Silla exterior con brazos · estilo contemporáneo | 53 cm</t>
        </is>
      </c>
      <c r="D168" s="124" t="n">
        <v>43.83</v>
      </c>
      <c r="E168" s="124" t="n">
        <v>58.44</v>
      </c>
      <c r="F168" s="124">
        <f>E168*(1+IVA)</f>
        <v/>
      </c>
      <c r="G168" s="124">
        <f>E168-D168</f>
        <v/>
      </c>
      <c r="H168" s="194">
        <f>IFERROR(G168/E168,0)</f>
        <v/>
      </c>
      <c r="I168" s="124">
        <f>F168*Comision_pago_pct+Comision_pago_fija</f>
        <v/>
      </c>
      <c r="J168" s="124">
        <f>IF(A168="Hevea",IF(F168&gt;=Hevea_umbral_envio_gratis,0,Hevea_coste_envio_bajo),Balliu_coste_envio)</f>
        <v/>
      </c>
      <c r="K168" s="124">
        <f>Tasa_devolucion*Coste_devolucion</f>
        <v/>
      </c>
      <c r="L168" s="124">
        <f>Tasa_incidencia*Coste_incidencia</f>
        <v/>
      </c>
      <c r="M168" s="124">
        <f>G168-I168-J168-K168-L168</f>
        <v/>
      </c>
      <c r="N168" s="194">
        <f>IFERROR(M168/E168,0)</f>
        <v/>
      </c>
      <c r="O168" s="124">
        <f>MAX(M168,0)</f>
        <v/>
      </c>
      <c r="P168" s="195">
        <f>IFERROR(F168/O168,0)</f>
        <v/>
      </c>
      <c r="Q168" s="196">
        <f>IF(N168&gt;=Umbral_PUSH_pct,IF(M168&gt;=Umbral_PUSH_eur,"PUSH","NEUTRAL"),IF(N168&gt;=Umbral_NEUTRAL_pct,"NEUTRAL",IF(N168&gt;=Umbral_WATCH_pct,"WATCH","NO ANUNCIAR")))</f>
        <v/>
      </c>
    </row>
    <row r="169">
      <c r="A169" s="116" t="inlineStr">
        <is>
          <t>Balliu</t>
        </is>
      </c>
      <c r="B169" s="116" t="inlineStr">
        <is>
          <t>BALLIU_BRUNA_SILLA_CON_BRAZ_94B6E5B5</t>
        </is>
      </c>
      <c r="C169" s="116" t="inlineStr">
        <is>
          <t>Silla exterior con brazos resina · estilo funcional</t>
        </is>
      </c>
      <c r="D169" s="118" t="n">
        <v>55.51</v>
      </c>
      <c r="E169" s="118" t="n">
        <v>74.01000000000001</v>
      </c>
      <c r="F169" s="118">
        <f>E169*(1+IVA)</f>
        <v/>
      </c>
      <c r="G169" s="118">
        <f>E169-D169</f>
        <v/>
      </c>
      <c r="H169" s="191">
        <f>IFERROR(G169/E169,0)</f>
        <v/>
      </c>
      <c r="I169" s="118">
        <f>F169*Comision_pago_pct+Comision_pago_fija</f>
        <v/>
      </c>
      <c r="J169" s="118">
        <f>IF(A169="Hevea",IF(F169&gt;=Hevea_umbral_envio_gratis,0,Hevea_coste_envio_bajo),Balliu_coste_envio)</f>
        <v/>
      </c>
      <c r="K169" s="118">
        <f>Tasa_devolucion*Coste_devolucion</f>
        <v/>
      </c>
      <c r="L169" s="118">
        <f>Tasa_incidencia*Coste_incidencia</f>
        <v/>
      </c>
      <c r="M169" s="118">
        <f>G169-I169-J169-K169-L169</f>
        <v/>
      </c>
      <c r="N169" s="191">
        <f>IFERROR(M169/E169,0)</f>
        <v/>
      </c>
      <c r="O169" s="118">
        <f>MAX(M169,0)</f>
        <v/>
      </c>
      <c r="P169" s="192">
        <f>IFERROR(F169/O169,0)</f>
        <v/>
      </c>
      <c r="Q169" s="193">
        <f>IF(N169&gt;=Umbral_PUSH_pct,IF(M169&gt;=Umbral_PUSH_eur,"PUSH","NEUTRAL"),IF(N169&gt;=Umbral_NEUTRAL_pct,"NEUTRAL",IF(N169&gt;=Umbral_WATCH_pct,"WATCH","NO ANUNCIAR")))</f>
        <v/>
      </c>
    </row>
    <row r="170">
      <c r="A170" s="122" t="inlineStr">
        <is>
          <t>Balliu</t>
        </is>
      </c>
      <c r="B170" s="122" t="inlineStr">
        <is>
          <t>BALLIU_MILA_SILLA_CON_BRAZOS_BC0C02EC</t>
        </is>
      </c>
      <c r="C170" s="122" t="inlineStr">
        <is>
          <t>Silla exterior con brazos aluminio · estilo elegante | 58 cm</t>
        </is>
      </c>
      <c r="D170" s="124" t="n">
        <v>60.67</v>
      </c>
      <c r="E170" s="124" t="n">
        <v>80.89</v>
      </c>
      <c r="F170" s="124">
        <f>E170*(1+IVA)</f>
        <v/>
      </c>
      <c r="G170" s="124">
        <f>E170-D170</f>
        <v/>
      </c>
      <c r="H170" s="194">
        <f>IFERROR(G170/E170,0)</f>
        <v/>
      </c>
      <c r="I170" s="124">
        <f>F170*Comision_pago_pct+Comision_pago_fija</f>
        <v/>
      </c>
      <c r="J170" s="124">
        <f>IF(A170="Hevea",IF(F170&gt;=Hevea_umbral_envio_gratis,0,Hevea_coste_envio_bajo),Balliu_coste_envio)</f>
        <v/>
      </c>
      <c r="K170" s="124">
        <f>Tasa_devolucion*Coste_devolucion</f>
        <v/>
      </c>
      <c r="L170" s="124">
        <f>Tasa_incidencia*Coste_incidencia</f>
        <v/>
      </c>
      <c r="M170" s="124">
        <f>G170-I170-J170-K170-L170</f>
        <v/>
      </c>
      <c r="N170" s="194">
        <f>IFERROR(M170/E170,0)</f>
        <v/>
      </c>
      <c r="O170" s="124">
        <f>MAX(M170,0)</f>
        <v/>
      </c>
      <c r="P170" s="195">
        <f>IFERROR(F170/O170,0)</f>
        <v/>
      </c>
      <c r="Q170" s="196">
        <f>IF(N170&gt;=Umbral_PUSH_pct,IF(M170&gt;=Umbral_PUSH_eur,"PUSH","NEUTRAL"),IF(N170&gt;=Umbral_NEUTRAL_pct,"NEUTRAL",IF(N170&gt;=Umbral_WATCH_pct,"WATCH","NO ANUNCIAR")))</f>
        <v/>
      </c>
    </row>
    <row r="171">
      <c r="A171" s="116" t="inlineStr">
        <is>
          <t>Balliu</t>
        </is>
      </c>
      <c r="B171" s="116" t="inlineStr">
        <is>
          <t>BALLIU_BRUNA_SILLA_CON_BRAZ_94B6E5B5</t>
        </is>
      </c>
      <c r="C171" s="116" t="inlineStr">
        <is>
          <t>Silla exterior con brazos resina · estilo funcional</t>
        </is>
      </c>
      <c r="D171" s="118" t="n">
        <v>122.56</v>
      </c>
      <c r="E171" s="118" t="n">
        <v>163.41</v>
      </c>
      <c r="F171" s="118">
        <f>E171*(1+IVA)</f>
        <v/>
      </c>
      <c r="G171" s="118">
        <f>E171-D171</f>
        <v/>
      </c>
      <c r="H171" s="191">
        <f>IFERROR(G171/E171,0)</f>
        <v/>
      </c>
      <c r="I171" s="118">
        <f>F171*Comision_pago_pct+Comision_pago_fija</f>
        <v/>
      </c>
      <c r="J171" s="118">
        <f>IF(A171="Hevea",IF(F171&gt;=Hevea_umbral_envio_gratis,0,Hevea_coste_envio_bajo),Balliu_coste_envio)</f>
        <v/>
      </c>
      <c r="K171" s="118">
        <f>Tasa_devolucion*Coste_devolucion</f>
        <v/>
      </c>
      <c r="L171" s="118">
        <f>Tasa_incidencia*Coste_incidencia</f>
        <v/>
      </c>
      <c r="M171" s="118">
        <f>G171-I171-J171-K171-L171</f>
        <v/>
      </c>
      <c r="N171" s="191">
        <f>IFERROR(M171/E171,0)</f>
        <v/>
      </c>
      <c r="O171" s="118">
        <f>MAX(M171,0)</f>
        <v/>
      </c>
      <c r="P171" s="192">
        <f>IFERROR(F171/O171,0)</f>
        <v/>
      </c>
      <c r="Q171" s="193">
        <f>IF(N171&gt;=Umbral_PUSH_pct,IF(M171&gt;=Umbral_PUSH_eur,"PUSH","NEUTRAL"),IF(N171&gt;=Umbral_NEUTRAL_pct,"NEUTRAL",IF(N171&gt;=Umbral_WATCH_pct,"WATCH","NO ANUNCIAR")))</f>
        <v/>
      </c>
    </row>
    <row r="172">
      <c r="A172" s="122" t="inlineStr">
        <is>
          <t>Balliu</t>
        </is>
      </c>
      <c r="B172" s="122" t="inlineStr">
        <is>
          <t>BALLIU_GRETA_SILLA_ALUMINIO_AFD89221</t>
        </is>
      </c>
      <c r="C172" s="122" t="inlineStr">
        <is>
          <t>Silla exterior aluminio · estilo contemporáneo</t>
        </is>
      </c>
      <c r="D172" s="124" t="n">
        <v>96.11</v>
      </c>
      <c r="E172" s="124" t="n">
        <v>128.15</v>
      </c>
      <c r="F172" s="124">
        <f>E172*(1+IVA)</f>
        <v/>
      </c>
      <c r="G172" s="124">
        <f>E172-D172</f>
        <v/>
      </c>
      <c r="H172" s="194">
        <f>IFERROR(G172/E172,0)</f>
        <v/>
      </c>
      <c r="I172" s="124">
        <f>F172*Comision_pago_pct+Comision_pago_fija</f>
        <v/>
      </c>
      <c r="J172" s="124">
        <f>IF(A172="Hevea",IF(F172&gt;=Hevea_umbral_envio_gratis,0,Hevea_coste_envio_bajo),Balliu_coste_envio)</f>
        <v/>
      </c>
      <c r="K172" s="124">
        <f>Tasa_devolucion*Coste_devolucion</f>
        <v/>
      </c>
      <c r="L172" s="124">
        <f>Tasa_incidencia*Coste_incidencia</f>
        <v/>
      </c>
      <c r="M172" s="124">
        <f>G172-I172-J172-K172-L172</f>
        <v/>
      </c>
      <c r="N172" s="194">
        <f>IFERROR(M172/E172,0)</f>
        <v/>
      </c>
      <c r="O172" s="124">
        <f>MAX(M172,0)</f>
        <v/>
      </c>
      <c r="P172" s="195">
        <f>IFERROR(F172/O172,0)</f>
        <v/>
      </c>
      <c r="Q172" s="196">
        <f>IF(N172&gt;=Umbral_PUSH_pct,IF(M172&gt;=Umbral_PUSH_eur,"PUSH","NEUTRAL"),IF(N172&gt;=Umbral_NEUTRAL_pct,"NEUTRAL",IF(N172&gt;=Umbral_WATCH_pct,"WATCH","NO ANUNCIAR")))</f>
        <v/>
      </c>
    </row>
    <row r="173">
      <c r="A173" s="116" t="inlineStr">
        <is>
          <t>Balliu</t>
        </is>
      </c>
      <c r="B173" s="116" t="inlineStr">
        <is>
          <t>BALLIU_GRETA_MESA_TABLERO_ALUMINIO_9E30CA7F</t>
        </is>
      </c>
      <c r="C173" s="116" t="inlineStr">
        <is>
          <t>Mesa exterior aluminio</t>
        </is>
      </c>
      <c r="D173" s="118" t="n">
        <v>67.33</v>
      </c>
      <c r="E173" s="118" t="n">
        <v>89.78</v>
      </c>
      <c r="F173" s="118">
        <f>E173*(1+IVA)</f>
        <v/>
      </c>
      <c r="G173" s="118">
        <f>E173-D173</f>
        <v/>
      </c>
      <c r="H173" s="191">
        <f>IFERROR(G173/E173,0)</f>
        <v/>
      </c>
      <c r="I173" s="118">
        <f>F173*Comision_pago_pct+Comision_pago_fija</f>
        <v/>
      </c>
      <c r="J173" s="118">
        <f>IF(A173="Hevea",IF(F173&gt;=Hevea_umbral_envio_gratis,0,Hevea_coste_envio_bajo),Balliu_coste_envio)</f>
        <v/>
      </c>
      <c r="K173" s="118">
        <f>Tasa_devolucion*Coste_devolucion</f>
        <v/>
      </c>
      <c r="L173" s="118">
        <f>Tasa_incidencia*Coste_incidencia</f>
        <v/>
      </c>
      <c r="M173" s="118">
        <f>G173-I173-J173-K173-L173</f>
        <v/>
      </c>
      <c r="N173" s="191">
        <f>IFERROR(M173/E173,0)</f>
        <v/>
      </c>
      <c r="O173" s="118">
        <f>MAX(M173,0)</f>
        <v/>
      </c>
      <c r="P173" s="192">
        <f>IFERROR(F173/O173,0)</f>
        <v/>
      </c>
      <c r="Q173" s="193">
        <f>IF(N173&gt;=Umbral_PUSH_pct,IF(M173&gt;=Umbral_PUSH_eur,"PUSH","NEUTRAL"),IF(N173&gt;=Umbral_NEUTRAL_pct,"NEUTRAL",IF(N173&gt;=Umbral_WATCH_pct,"WATCH","NO ANUNCIAR")))</f>
        <v/>
      </c>
    </row>
    <row r="174">
      <c r="A174" s="122" t="inlineStr">
        <is>
          <t>Balliu</t>
        </is>
      </c>
      <c r="B174" s="122" t="inlineStr">
        <is>
          <t>BALLIU_MINI_MESA_COLOR_BLANCO_5D0FB586</t>
        </is>
      </c>
      <c r="C174" s="122" t="inlineStr">
        <is>
          <t>Mesa exterior</t>
        </is>
      </c>
      <c r="D174" s="124" t="n">
        <v>14.17</v>
      </c>
      <c r="E174" s="124" t="n">
        <v>22.86</v>
      </c>
      <c r="F174" s="124">
        <f>E174*(1+IVA)</f>
        <v/>
      </c>
      <c r="G174" s="124">
        <f>E174-D174</f>
        <v/>
      </c>
      <c r="H174" s="194">
        <f>IFERROR(G174/E174,0)</f>
        <v/>
      </c>
      <c r="I174" s="124">
        <f>F174*Comision_pago_pct+Comision_pago_fija</f>
        <v/>
      </c>
      <c r="J174" s="124">
        <f>IF(A174="Hevea",IF(F174&gt;=Hevea_umbral_envio_gratis,0,Hevea_coste_envio_bajo),Balliu_coste_envio)</f>
        <v/>
      </c>
      <c r="K174" s="124">
        <f>Tasa_devolucion*Coste_devolucion</f>
        <v/>
      </c>
      <c r="L174" s="124">
        <f>Tasa_incidencia*Coste_incidencia</f>
        <v/>
      </c>
      <c r="M174" s="124">
        <f>G174-I174-J174-K174-L174</f>
        <v/>
      </c>
      <c r="N174" s="194">
        <f>IFERROR(M174/E174,0)</f>
        <v/>
      </c>
      <c r="O174" s="124">
        <f>MAX(M174,0)</f>
        <v/>
      </c>
      <c r="P174" s="195">
        <f>IFERROR(F174/O174,0)</f>
        <v/>
      </c>
      <c r="Q174" s="196">
        <f>IF(N174&gt;=Umbral_PUSH_pct,IF(M174&gt;=Umbral_PUSH_eur,"PUSH","NEUTRAL"),IF(N174&gt;=Umbral_NEUTRAL_pct,"NEUTRAL",IF(N174&gt;=Umbral_WATCH_pct,"WATCH","NO ANUNCIAR")))</f>
        <v/>
      </c>
    </row>
    <row r="175">
      <c r="A175" s="116" t="inlineStr">
        <is>
          <t>Balliu</t>
        </is>
      </c>
      <c r="B175" s="116" t="inlineStr">
        <is>
          <t>BALLIU_MINI_MESA_COLOR_NATURAL_PR_1CF4D3D5</t>
        </is>
      </c>
      <c r="C175" s="116" t="inlineStr">
        <is>
          <t>Mesa exterior</t>
        </is>
      </c>
      <c r="D175" s="118" t="n">
        <v>14.95</v>
      </c>
      <c r="E175" s="118" t="n">
        <v>24.11</v>
      </c>
      <c r="F175" s="118">
        <f>E175*(1+IVA)</f>
        <v/>
      </c>
      <c r="G175" s="118">
        <f>E175-D175</f>
        <v/>
      </c>
      <c r="H175" s="191">
        <f>IFERROR(G175/E175,0)</f>
        <v/>
      </c>
      <c r="I175" s="118">
        <f>F175*Comision_pago_pct+Comision_pago_fija</f>
        <v/>
      </c>
      <c r="J175" s="118">
        <f>IF(A175="Hevea",IF(F175&gt;=Hevea_umbral_envio_gratis,0,Hevea_coste_envio_bajo),Balliu_coste_envio)</f>
        <v/>
      </c>
      <c r="K175" s="118">
        <f>Tasa_devolucion*Coste_devolucion</f>
        <v/>
      </c>
      <c r="L175" s="118">
        <f>Tasa_incidencia*Coste_incidencia</f>
        <v/>
      </c>
      <c r="M175" s="118">
        <f>G175-I175-J175-K175-L175</f>
        <v/>
      </c>
      <c r="N175" s="191">
        <f>IFERROR(M175/E175,0)</f>
        <v/>
      </c>
      <c r="O175" s="118">
        <f>MAX(M175,0)</f>
        <v/>
      </c>
      <c r="P175" s="192">
        <f>IFERROR(F175/O175,0)</f>
        <v/>
      </c>
      <c r="Q175" s="193">
        <f>IF(N175&gt;=Umbral_PUSH_pct,IF(M175&gt;=Umbral_PUSH_eur,"PUSH","NEUTRAL"),IF(N175&gt;=Umbral_NEUTRAL_pct,"NEUTRAL",IF(N175&gt;=Umbral_WATCH_pct,"WATCH","NO ANUNCIAR")))</f>
        <v/>
      </c>
    </row>
    <row r="176">
      <c r="A176" s="122" t="inlineStr">
        <is>
          <t>Balliu</t>
        </is>
      </c>
      <c r="B176" s="122" t="inlineStr">
        <is>
          <t>BALLIU_EVA_PRO_MINI_MESA_AU_COLOR_BLANCO_DE421A42</t>
        </is>
      </c>
      <c r="C176" s="122" t="inlineStr">
        <is>
          <t>Mesa auxiliar exterior resina | 48 cm</t>
        </is>
      </c>
      <c r="D176" s="124" t="n">
        <v>17.13</v>
      </c>
      <c r="E176" s="124" t="n">
        <v>27.63</v>
      </c>
      <c r="F176" s="124">
        <f>E176*(1+IVA)</f>
        <v/>
      </c>
      <c r="G176" s="124">
        <f>E176-D176</f>
        <v/>
      </c>
      <c r="H176" s="194">
        <f>IFERROR(G176/E176,0)</f>
        <v/>
      </c>
      <c r="I176" s="124">
        <f>F176*Comision_pago_pct+Comision_pago_fija</f>
        <v/>
      </c>
      <c r="J176" s="124">
        <f>IF(A176="Hevea",IF(F176&gt;=Hevea_umbral_envio_gratis,0,Hevea_coste_envio_bajo),Balliu_coste_envio)</f>
        <v/>
      </c>
      <c r="K176" s="124">
        <f>Tasa_devolucion*Coste_devolucion</f>
        <v/>
      </c>
      <c r="L176" s="124">
        <f>Tasa_incidencia*Coste_incidencia</f>
        <v/>
      </c>
      <c r="M176" s="124">
        <f>G176-I176-J176-K176-L176</f>
        <v/>
      </c>
      <c r="N176" s="194">
        <f>IFERROR(M176/E176,0)</f>
        <v/>
      </c>
      <c r="O176" s="124">
        <f>MAX(M176,0)</f>
        <v/>
      </c>
      <c r="P176" s="195">
        <f>IFERROR(F176/O176,0)</f>
        <v/>
      </c>
      <c r="Q176" s="196">
        <f>IF(N176&gt;=Umbral_PUSH_pct,IF(M176&gt;=Umbral_PUSH_eur,"PUSH","NEUTRAL"),IF(N176&gt;=Umbral_NEUTRAL_pct,"NEUTRAL",IF(N176&gt;=Umbral_WATCH_pct,"WATCH","NO ANUNCIAR")))</f>
        <v/>
      </c>
    </row>
    <row r="177">
      <c r="A177" s="116" t="inlineStr">
        <is>
          <t>Balliu</t>
        </is>
      </c>
      <c r="B177" s="116" t="inlineStr">
        <is>
          <t>BALLIU_EVA_PRO_MINI_MESA_AU_COLOR_NATURAL_PR_911A77BA</t>
        </is>
      </c>
      <c r="C177" s="116" t="inlineStr">
        <is>
          <t>Mesa auxiliar exterior resina | 48 cm</t>
        </is>
      </c>
      <c r="D177" s="118" t="n">
        <v>17.63</v>
      </c>
      <c r="E177" s="118" t="n">
        <v>28.44</v>
      </c>
      <c r="F177" s="118">
        <f>E177*(1+IVA)</f>
        <v/>
      </c>
      <c r="G177" s="118">
        <f>E177-D177</f>
        <v/>
      </c>
      <c r="H177" s="191">
        <f>IFERROR(G177/E177,0)</f>
        <v/>
      </c>
      <c r="I177" s="118">
        <f>F177*Comision_pago_pct+Comision_pago_fija</f>
        <v/>
      </c>
      <c r="J177" s="118">
        <f>IF(A177="Hevea",IF(F177&gt;=Hevea_umbral_envio_gratis,0,Hevea_coste_envio_bajo),Balliu_coste_envio)</f>
        <v/>
      </c>
      <c r="K177" s="118">
        <f>Tasa_devolucion*Coste_devolucion</f>
        <v/>
      </c>
      <c r="L177" s="118">
        <f>Tasa_incidencia*Coste_incidencia</f>
        <v/>
      </c>
      <c r="M177" s="118">
        <f>G177-I177-J177-K177-L177</f>
        <v/>
      </c>
      <c r="N177" s="191">
        <f>IFERROR(M177/E177,0)</f>
        <v/>
      </c>
      <c r="O177" s="118">
        <f>MAX(M177,0)</f>
        <v/>
      </c>
      <c r="P177" s="192">
        <f>IFERROR(F177/O177,0)</f>
        <v/>
      </c>
      <c r="Q177" s="193">
        <f>IF(N177&gt;=Umbral_PUSH_pct,IF(M177&gt;=Umbral_PUSH_eur,"PUSH","NEUTRAL"),IF(N177&gt;=Umbral_NEUTRAL_pct,"NEUTRAL",IF(N177&gt;=Umbral_WATCH_pct,"WATCH","NO ANUNCIAR")))</f>
        <v/>
      </c>
    </row>
    <row r="178">
      <c r="A178" s="122" t="inlineStr">
        <is>
          <t>Balliu</t>
        </is>
      </c>
      <c r="B178" s="122" t="inlineStr">
        <is>
          <t>BALLIU_EVA_PRO_BCN_MESA_AUX_COLOR_BLANCO_35554775</t>
        </is>
      </c>
      <c r="C178" s="122" t="inlineStr">
        <is>
          <t>Mesa auxiliar exterior resina | 48 cm</t>
        </is>
      </c>
      <c r="D178" s="124" t="n">
        <v>18.44</v>
      </c>
      <c r="E178" s="124" t="n">
        <v>29.74</v>
      </c>
      <c r="F178" s="124">
        <f>E178*(1+IVA)</f>
        <v/>
      </c>
      <c r="G178" s="124">
        <f>E178-D178</f>
        <v/>
      </c>
      <c r="H178" s="194">
        <f>IFERROR(G178/E178,0)</f>
        <v/>
      </c>
      <c r="I178" s="124">
        <f>F178*Comision_pago_pct+Comision_pago_fija</f>
        <v/>
      </c>
      <c r="J178" s="124">
        <f>IF(A178="Hevea",IF(F178&gt;=Hevea_umbral_envio_gratis,0,Hevea_coste_envio_bajo),Balliu_coste_envio)</f>
        <v/>
      </c>
      <c r="K178" s="124">
        <f>Tasa_devolucion*Coste_devolucion</f>
        <v/>
      </c>
      <c r="L178" s="124">
        <f>Tasa_incidencia*Coste_incidencia</f>
        <v/>
      </c>
      <c r="M178" s="124">
        <f>G178-I178-J178-K178-L178</f>
        <v/>
      </c>
      <c r="N178" s="194">
        <f>IFERROR(M178/E178,0)</f>
        <v/>
      </c>
      <c r="O178" s="124">
        <f>MAX(M178,0)</f>
        <v/>
      </c>
      <c r="P178" s="195">
        <f>IFERROR(F178/O178,0)</f>
        <v/>
      </c>
      <c r="Q178" s="196">
        <f>IF(N178&gt;=Umbral_PUSH_pct,IF(M178&gt;=Umbral_PUSH_eur,"PUSH","NEUTRAL"),IF(N178&gt;=Umbral_NEUTRAL_pct,"NEUTRAL",IF(N178&gt;=Umbral_WATCH_pct,"WATCH","NO ANUNCIAR")))</f>
        <v/>
      </c>
    </row>
    <row r="179">
      <c r="A179" s="116" t="inlineStr">
        <is>
          <t>Balliu</t>
        </is>
      </c>
      <c r="B179" s="116" t="inlineStr">
        <is>
          <t>BALLIU_EVA_PRO_BCN_MESA_AUX_COLOR_NATURAL_PR_25CD2EDE</t>
        </is>
      </c>
      <c r="C179" s="116" t="inlineStr">
        <is>
          <t>Mesa auxiliar exterior resina | 48 cm</t>
        </is>
      </c>
      <c r="D179" s="118" t="n">
        <v>19.36</v>
      </c>
      <c r="E179" s="118" t="n">
        <v>31.23</v>
      </c>
      <c r="F179" s="118">
        <f>E179*(1+IVA)</f>
        <v/>
      </c>
      <c r="G179" s="118">
        <f>E179-D179</f>
        <v/>
      </c>
      <c r="H179" s="191">
        <f>IFERROR(G179/E179,0)</f>
        <v/>
      </c>
      <c r="I179" s="118">
        <f>F179*Comision_pago_pct+Comision_pago_fija</f>
        <v/>
      </c>
      <c r="J179" s="118">
        <f>IF(A179="Hevea",IF(F179&gt;=Hevea_umbral_envio_gratis,0,Hevea_coste_envio_bajo),Balliu_coste_envio)</f>
        <v/>
      </c>
      <c r="K179" s="118">
        <f>Tasa_devolucion*Coste_devolucion</f>
        <v/>
      </c>
      <c r="L179" s="118">
        <f>Tasa_incidencia*Coste_incidencia</f>
        <v/>
      </c>
      <c r="M179" s="118">
        <f>G179-I179-J179-K179-L179</f>
        <v/>
      </c>
      <c r="N179" s="191">
        <f>IFERROR(M179/E179,0)</f>
        <v/>
      </c>
      <c r="O179" s="118">
        <f>MAX(M179,0)</f>
        <v/>
      </c>
      <c r="P179" s="192">
        <f>IFERROR(F179/O179,0)</f>
        <v/>
      </c>
      <c r="Q179" s="193">
        <f>IF(N179&gt;=Umbral_PUSH_pct,IF(M179&gt;=Umbral_PUSH_eur,"PUSH","NEUTRAL"),IF(N179&gt;=Umbral_NEUTRAL_pct,"NEUTRAL",IF(N179&gt;=Umbral_WATCH_pct,"WATCH","NO ANUNCIAR")))</f>
        <v/>
      </c>
    </row>
    <row r="180">
      <c r="A180" s="122" t="inlineStr">
        <is>
          <t>Balliu</t>
        </is>
      </c>
      <c r="B180" s="122" t="inlineStr">
        <is>
          <t>BALLIU_OLIMPIA_MESA_AUXILIA_TELA_BALLIU_6C7A42D9</t>
        </is>
      </c>
      <c r="C180" s="122" t="inlineStr">
        <is>
          <t>Mesa auxiliar exterior aluminio | 54 cm</t>
        </is>
      </c>
      <c r="D180" s="124" t="n">
        <v>84.68000000000001</v>
      </c>
      <c r="E180" s="124" t="n">
        <v>130.27</v>
      </c>
      <c r="F180" s="124">
        <f>E180*(1+IVA)</f>
        <v/>
      </c>
      <c r="G180" s="124">
        <f>E180-D180</f>
        <v/>
      </c>
      <c r="H180" s="194">
        <f>IFERROR(G180/E180,0)</f>
        <v/>
      </c>
      <c r="I180" s="124">
        <f>F180*Comision_pago_pct+Comision_pago_fija</f>
        <v/>
      </c>
      <c r="J180" s="124">
        <f>IF(A180="Hevea",IF(F180&gt;=Hevea_umbral_envio_gratis,0,Hevea_coste_envio_bajo),Balliu_coste_envio)</f>
        <v/>
      </c>
      <c r="K180" s="124">
        <f>Tasa_devolucion*Coste_devolucion</f>
        <v/>
      </c>
      <c r="L180" s="124">
        <f>Tasa_incidencia*Coste_incidencia</f>
        <v/>
      </c>
      <c r="M180" s="124">
        <f>G180-I180-J180-K180-L180</f>
        <v/>
      </c>
      <c r="N180" s="194">
        <f>IFERROR(M180/E180,0)</f>
        <v/>
      </c>
      <c r="O180" s="124">
        <f>MAX(M180,0)</f>
        <v/>
      </c>
      <c r="P180" s="195">
        <f>IFERROR(F180/O180,0)</f>
        <v/>
      </c>
      <c r="Q180" s="196">
        <f>IF(N180&gt;=Umbral_PUSH_pct,IF(M180&gt;=Umbral_PUSH_eur,"PUSH","NEUTRAL"),IF(N180&gt;=Umbral_NEUTRAL_pct,"NEUTRAL",IF(N180&gt;=Umbral_WATCH_pct,"WATCH","NO ANUNCIAR")))</f>
        <v/>
      </c>
    </row>
    <row r="181">
      <c r="A181" s="116" t="inlineStr">
        <is>
          <t>Balliu</t>
        </is>
      </c>
      <c r="B181" s="116" t="inlineStr">
        <is>
          <t>BALLIU_NOA_MESA_AUXILIAR_COLOR_BLANCO_90B11E5B</t>
        </is>
      </c>
      <c r="C181" s="116" t="inlineStr">
        <is>
          <t>Mesa auxiliar exterior aluminio</t>
        </is>
      </c>
      <c r="D181" s="118" t="n">
        <v>69.97</v>
      </c>
      <c r="E181" s="118" t="n">
        <v>107.64</v>
      </c>
      <c r="F181" s="118">
        <f>E181*(1+IVA)</f>
        <v/>
      </c>
      <c r="G181" s="118">
        <f>E181-D181</f>
        <v/>
      </c>
      <c r="H181" s="191">
        <f>IFERROR(G181/E181,0)</f>
        <v/>
      </c>
      <c r="I181" s="118">
        <f>F181*Comision_pago_pct+Comision_pago_fija</f>
        <v/>
      </c>
      <c r="J181" s="118">
        <f>IF(A181="Hevea",IF(F181&gt;=Hevea_umbral_envio_gratis,0,Hevea_coste_envio_bajo),Balliu_coste_envio)</f>
        <v/>
      </c>
      <c r="K181" s="118">
        <f>Tasa_devolucion*Coste_devolucion</f>
        <v/>
      </c>
      <c r="L181" s="118">
        <f>Tasa_incidencia*Coste_incidencia</f>
        <v/>
      </c>
      <c r="M181" s="118">
        <f>G181-I181-J181-K181-L181</f>
        <v/>
      </c>
      <c r="N181" s="191">
        <f>IFERROR(M181/E181,0)</f>
        <v/>
      </c>
      <c r="O181" s="118">
        <f>MAX(M181,0)</f>
        <v/>
      </c>
      <c r="P181" s="192">
        <f>IFERROR(F181/O181,0)</f>
        <v/>
      </c>
      <c r="Q181" s="193">
        <f>IF(N181&gt;=Umbral_PUSH_pct,IF(M181&gt;=Umbral_PUSH_eur,"PUSH","NEUTRAL"),IF(N181&gt;=Umbral_NEUTRAL_pct,"NEUTRAL",IF(N181&gt;=Umbral_WATCH_pct,"WATCH","NO ANUNCIAR")))</f>
        <v/>
      </c>
    </row>
    <row r="182">
      <c r="A182" s="122" t="inlineStr">
        <is>
          <t>Balliu</t>
        </is>
      </c>
      <c r="B182" s="122" t="inlineStr">
        <is>
          <t>BALLIU_NOA_MESA_AUXILIAR_COLOR_NATURAL_PR_27CE9446</t>
        </is>
      </c>
      <c r="C182" s="122" t="inlineStr">
        <is>
          <t>Mesa auxiliar exterior aluminio</t>
        </is>
      </c>
      <c r="D182" s="124" t="n">
        <v>73.58</v>
      </c>
      <c r="E182" s="124" t="n">
        <v>113.21</v>
      </c>
      <c r="F182" s="124">
        <f>E182*(1+IVA)</f>
        <v/>
      </c>
      <c r="G182" s="124">
        <f>E182-D182</f>
        <v/>
      </c>
      <c r="H182" s="194">
        <f>IFERROR(G182/E182,0)</f>
        <v/>
      </c>
      <c r="I182" s="124">
        <f>F182*Comision_pago_pct+Comision_pago_fija</f>
        <v/>
      </c>
      <c r="J182" s="124">
        <f>IF(A182="Hevea",IF(F182&gt;=Hevea_umbral_envio_gratis,0,Hevea_coste_envio_bajo),Balliu_coste_envio)</f>
        <v/>
      </c>
      <c r="K182" s="124">
        <f>Tasa_devolucion*Coste_devolucion</f>
        <v/>
      </c>
      <c r="L182" s="124">
        <f>Tasa_incidencia*Coste_incidencia</f>
        <v/>
      </c>
      <c r="M182" s="124">
        <f>G182-I182-J182-K182-L182</f>
        <v/>
      </c>
      <c r="N182" s="194">
        <f>IFERROR(M182/E182,0)</f>
        <v/>
      </c>
      <c r="O182" s="124">
        <f>MAX(M182,0)</f>
        <v/>
      </c>
      <c r="P182" s="195">
        <f>IFERROR(F182/O182,0)</f>
        <v/>
      </c>
      <c r="Q182" s="196">
        <f>IF(N182&gt;=Umbral_PUSH_pct,IF(M182&gt;=Umbral_PUSH_eur,"PUSH","NEUTRAL"),IF(N182&gt;=Umbral_NEUTRAL_pct,"NEUTRAL",IF(N182&gt;=Umbral_WATCH_pct,"WATCH","NO ANUNCIAR")))</f>
        <v/>
      </c>
    </row>
    <row r="183">
      <c r="A183" s="116" t="inlineStr">
        <is>
          <t>Balliu</t>
        </is>
      </c>
      <c r="B183" s="116" t="inlineStr">
        <is>
          <t>BALLIU_ETNA_MESA_AUXILIAR_TABLERO_HPL_C5331CE8</t>
        </is>
      </c>
      <c r="C183" s="116" t="inlineStr">
        <is>
          <t>Mesa auxiliar exterior aluminio | 60 cm</t>
        </is>
      </c>
      <c r="D183" s="118" t="n">
        <v>89.70999999999999</v>
      </c>
      <c r="E183" s="118" t="n">
        <v>138.02</v>
      </c>
      <c r="F183" s="118">
        <f>E183*(1+IVA)</f>
        <v/>
      </c>
      <c r="G183" s="118">
        <f>E183-D183</f>
        <v/>
      </c>
      <c r="H183" s="191">
        <f>IFERROR(G183/E183,0)</f>
        <v/>
      </c>
      <c r="I183" s="118">
        <f>F183*Comision_pago_pct+Comision_pago_fija</f>
        <v/>
      </c>
      <c r="J183" s="118">
        <f>IF(A183="Hevea",IF(F183&gt;=Hevea_umbral_envio_gratis,0,Hevea_coste_envio_bajo),Balliu_coste_envio)</f>
        <v/>
      </c>
      <c r="K183" s="118">
        <f>Tasa_devolucion*Coste_devolucion</f>
        <v/>
      </c>
      <c r="L183" s="118">
        <f>Tasa_incidencia*Coste_incidencia</f>
        <v/>
      </c>
      <c r="M183" s="118">
        <f>G183-I183-J183-K183-L183</f>
        <v/>
      </c>
      <c r="N183" s="191">
        <f>IFERROR(M183/E183,0)</f>
        <v/>
      </c>
      <c r="O183" s="118">
        <f>MAX(M183,0)</f>
        <v/>
      </c>
      <c r="P183" s="192">
        <f>IFERROR(F183/O183,0)</f>
        <v/>
      </c>
      <c r="Q183" s="193">
        <f>IF(N183&gt;=Umbral_PUSH_pct,IF(M183&gt;=Umbral_PUSH_eur,"PUSH","NEUTRAL"),IF(N183&gt;=Umbral_NEUTRAL_pct,"NEUTRAL",IF(N183&gt;=Umbral_WATCH_pct,"WATCH","NO ANUNCIAR")))</f>
        <v/>
      </c>
    </row>
    <row r="184">
      <c r="A184" s="122" t="inlineStr">
        <is>
          <t>Balliu</t>
        </is>
      </c>
      <c r="B184" s="122" t="inlineStr">
        <is>
          <t>BALLIU_ETNA_MESA_AUXILIAR_TABLERO_HPL_GD_7664D255</t>
        </is>
      </c>
      <c r="C184" s="122" t="inlineStr">
        <is>
          <t>Mesa auxiliar exterior aluminio | 60 cm</t>
        </is>
      </c>
      <c r="D184" s="124" t="n">
        <v>94.05</v>
      </c>
      <c r="E184" s="124" t="n">
        <v>144.68</v>
      </c>
      <c r="F184" s="124">
        <f>E184*(1+IVA)</f>
        <v/>
      </c>
      <c r="G184" s="124">
        <f>E184-D184</f>
        <v/>
      </c>
      <c r="H184" s="194">
        <f>IFERROR(G184/E184,0)</f>
        <v/>
      </c>
      <c r="I184" s="124">
        <f>F184*Comision_pago_pct+Comision_pago_fija</f>
        <v/>
      </c>
      <c r="J184" s="124">
        <f>IF(A184="Hevea",IF(F184&gt;=Hevea_umbral_envio_gratis,0,Hevea_coste_envio_bajo),Balliu_coste_envio)</f>
        <v/>
      </c>
      <c r="K184" s="124">
        <f>Tasa_devolucion*Coste_devolucion</f>
        <v/>
      </c>
      <c r="L184" s="124">
        <f>Tasa_incidencia*Coste_incidencia</f>
        <v/>
      </c>
      <c r="M184" s="124">
        <f>G184-I184-J184-K184-L184</f>
        <v/>
      </c>
      <c r="N184" s="194">
        <f>IFERROR(M184/E184,0)</f>
        <v/>
      </c>
      <c r="O184" s="124">
        <f>MAX(M184,0)</f>
        <v/>
      </c>
      <c r="P184" s="195">
        <f>IFERROR(F184/O184,0)</f>
        <v/>
      </c>
      <c r="Q184" s="196">
        <f>IF(N184&gt;=Umbral_PUSH_pct,IF(M184&gt;=Umbral_PUSH_eur,"PUSH","NEUTRAL"),IF(N184&gt;=Umbral_NEUTRAL_pct,"NEUTRAL",IF(N184&gt;=Umbral_WATCH_pct,"WATCH","NO ANUNCIAR")))</f>
        <v/>
      </c>
    </row>
    <row r="185">
      <c r="A185" s="116" t="inlineStr">
        <is>
          <t>Balliu</t>
        </is>
      </c>
      <c r="B185" s="116" t="inlineStr">
        <is>
          <t>BALLIU_ETNA_MESA_AUXILIAR_DIAMETRO_60_WERZ_9C991818</t>
        </is>
      </c>
      <c r="C185" s="116" t="inlineStr">
        <is>
          <t>Mesa auxiliar exterior aluminio | 60 cm</t>
        </is>
      </c>
      <c r="D185" s="118" t="n">
        <v>84.79000000000001</v>
      </c>
      <c r="E185" s="118" t="n">
        <v>130.45</v>
      </c>
      <c r="F185" s="118">
        <f>E185*(1+IVA)</f>
        <v/>
      </c>
      <c r="G185" s="118">
        <f>E185-D185</f>
        <v/>
      </c>
      <c r="H185" s="191">
        <f>IFERROR(G185/E185,0)</f>
        <v/>
      </c>
      <c r="I185" s="118">
        <f>F185*Comision_pago_pct+Comision_pago_fija</f>
        <v/>
      </c>
      <c r="J185" s="118">
        <f>IF(A185="Hevea",IF(F185&gt;=Hevea_umbral_envio_gratis,0,Hevea_coste_envio_bajo),Balliu_coste_envio)</f>
        <v/>
      </c>
      <c r="K185" s="118">
        <f>Tasa_devolucion*Coste_devolucion</f>
        <v/>
      </c>
      <c r="L185" s="118">
        <f>Tasa_incidencia*Coste_incidencia</f>
        <v/>
      </c>
      <c r="M185" s="118">
        <f>G185-I185-J185-K185-L185</f>
        <v/>
      </c>
      <c r="N185" s="191">
        <f>IFERROR(M185/E185,0)</f>
        <v/>
      </c>
      <c r="O185" s="118">
        <f>MAX(M185,0)</f>
        <v/>
      </c>
      <c r="P185" s="192">
        <f>IFERROR(F185/O185,0)</f>
        <v/>
      </c>
      <c r="Q185" s="193">
        <f>IF(N185&gt;=Umbral_PUSH_pct,IF(M185&gt;=Umbral_PUSH_eur,"PUSH","NEUTRAL"),IF(N185&gt;=Umbral_NEUTRAL_pct,"NEUTRAL",IF(N185&gt;=Umbral_WATCH_pct,"WATCH","NO ANUNCIAR")))</f>
        <v/>
      </c>
    </row>
    <row r="186">
      <c r="A186" s="122" t="inlineStr">
        <is>
          <t>Balliu</t>
        </is>
      </c>
      <c r="B186" s="122" t="inlineStr">
        <is>
          <t>BALLIU_SELVA_MESA_DIAMETRO_70_WERZ_33CE1613</t>
        </is>
      </c>
      <c r="C186" s="122" t="inlineStr">
        <is>
          <t>Mesa exterior resina | Ø70 cm</t>
        </is>
      </c>
      <c r="D186" s="124" t="n">
        <v>97.55</v>
      </c>
      <c r="E186" s="124" t="n">
        <v>150.07</v>
      </c>
      <c r="F186" s="124">
        <f>E186*(1+IVA)</f>
        <v/>
      </c>
      <c r="G186" s="124">
        <f>E186-D186</f>
        <v/>
      </c>
      <c r="H186" s="194">
        <f>IFERROR(G186/E186,0)</f>
        <v/>
      </c>
      <c r="I186" s="124">
        <f>F186*Comision_pago_pct+Comision_pago_fija</f>
        <v/>
      </c>
      <c r="J186" s="124">
        <f>IF(A186="Hevea",IF(F186&gt;=Hevea_umbral_envio_gratis,0,Hevea_coste_envio_bajo),Balliu_coste_envio)</f>
        <v/>
      </c>
      <c r="K186" s="124">
        <f>Tasa_devolucion*Coste_devolucion</f>
        <v/>
      </c>
      <c r="L186" s="124">
        <f>Tasa_incidencia*Coste_incidencia</f>
        <v/>
      </c>
      <c r="M186" s="124">
        <f>G186-I186-J186-K186-L186</f>
        <v/>
      </c>
      <c r="N186" s="194">
        <f>IFERROR(M186/E186,0)</f>
        <v/>
      </c>
      <c r="O186" s="124">
        <f>MAX(M186,0)</f>
        <v/>
      </c>
      <c r="P186" s="195">
        <f>IFERROR(F186/O186,0)</f>
        <v/>
      </c>
      <c r="Q186" s="196">
        <f>IF(N186&gt;=Umbral_PUSH_pct,IF(M186&gt;=Umbral_PUSH_eur,"PUSH","NEUTRAL"),IF(N186&gt;=Umbral_NEUTRAL_pct,"NEUTRAL",IF(N186&gt;=Umbral_WATCH_pct,"WATCH","NO ANUNCIAR")))</f>
        <v/>
      </c>
    </row>
    <row r="187">
      <c r="A187" s="116" t="inlineStr">
        <is>
          <t>Balliu</t>
        </is>
      </c>
      <c r="B187" s="116" t="inlineStr">
        <is>
          <t>BALLIU_SELVA_MESA_DIAMETRO_80_WERZ_EB565C3E</t>
        </is>
      </c>
      <c r="C187" s="116" t="inlineStr">
        <is>
          <t>Mesa exterior resina | Ø80 cm</t>
        </is>
      </c>
      <c r="D187" s="118" t="n">
        <v>101.49</v>
      </c>
      <c r="E187" s="118" t="n">
        <v>156.14</v>
      </c>
      <c r="F187" s="118">
        <f>E187*(1+IVA)</f>
        <v/>
      </c>
      <c r="G187" s="118">
        <f>E187-D187</f>
        <v/>
      </c>
      <c r="H187" s="191">
        <f>IFERROR(G187/E187,0)</f>
        <v/>
      </c>
      <c r="I187" s="118">
        <f>F187*Comision_pago_pct+Comision_pago_fija</f>
        <v/>
      </c>
      <c r="J187" s="118">
        <f>IF(A187="Hevea",IF(F187&gt;=Hevea_umbral_envio_gratis,0,Hevea_coste_envio_bajo),Balliu_coste_envio)</f>
        <v/>
      </c>
      <c r="K187" s="118">
        <f>Tasa_devolucion*Coste_devolucion</f>
        <v/>
      </c>
      <c r="L187" s="118">
        <f>Tasa_incidencia*Coste_incidencia</f>
        <v/>
      </c>
      <c r="M187" s="118">
        <f>G187-I187-J187-K187-L187</f>
        <v/>
      </c>
      <c r="N187" s="191">
        <f>IFERROR(M187/E187,0)</f>
        <v/>
      </c>
      <c r="O187" s="118">
        <f>MAX(M187,0)</f>
        <v/>
      </c>
      <c r="P187" s="192">
        <f>IFERROR(F187/O187,0)</f>
        <v/>
      </c>
      <c r="Q187" s="193">
        <f>IF(N187&gt;=Umbral_PUSH_pct,IF(M187&gt;=Umbral_PUSH_eur,"PUSH","NEUTRAL"),IF(N187&gt;=Umbral_NEUTRAL_pct,"NEUTRAL",IF(N187&gt;=Umbral_WATCH_pct,"WATCH","NO ANUNCIAR")))</f>
        <v/>
      </c>
    </row>
    <row r="188">
      <c r="A188" s="122" t="inlineStr">
        <is>
          <t>Balliu</t>
        </is>
      </c>
      <c r="B188" s="122" t="inlineStr">
        <is>
          <t>BALLIU_SELVA_MESA_DIAMETRO_90_WERZ_871DF608</t>
        </is>
      </c>
      <c r="C188" s="122" t="inlineStr">
        <is>
          <t>Mesa exterior resina | Ø90 cm</t>
        </is>
      </c>
      <c r="D188" s="124" t="n">
        <v>118.78</v>
      </c>
      <c r="E188" s="124" t="n">
        <v>182.74</v>
      </c>
      <c r="F188" s="124">
        <f>E188*(1+IVA)</f>
        <v/>
      </c>
      <c r="G188" s="124">
        <f>E188-D188</f>
        <v/>
      </c>
      <c r="H188" s="194">
        <f>IFERROR(G188/E188,0)</f>
        <v/>
      </c>
      <c r="I188" s="124">
        <f>F188*Comision_pago_pct+Comision_pago_fija</f>
        <v/>
      </c>
      <c r="J188" s="124">
        <f>IF(A188="Hevea",IF(F188&gt;=Hevea_umbral_envio_gratis,0,Hevea_coste_envio_bajo),Balliu_coste_envio)</f>
        <v/>
      </c>
      <c r="K188" s="124">
        <f>Tasa_devolucion*Coste_devolucion</f>
        <v/>
      </c>
      <c r="L188" s="124">
        <f>Tasa_incidencia*Coste_incidencia</f>
        <v/>
      </c>
      <c r="M188" s="124">
        <f>G188-I188-J188-K188-L188</f>
        <v/>
      </c>
      <c r="N188" s="194">
        <f>IFERROR(M188/E188,0)</f>
        <v/>
      </c>
      <c r="O188" s="124">
        <f>MAX(M188,0)</f>
        <v/>
      </c>
      <c r="P188" s="195">
        <f>IFERROR(F188/O188,0)</f>
        <v/>
      </c>
      <c r="Q188" s="196">
        <f>IF(N188&gt;=Umbral_PUSH_pct,IF(M188&gt;=Umbral_PUSH_eur,"PUSH","NEUTRAL"),IF(N188&gt;=Umbral_NEUTRAL_pct,"NEUTRAL",IF(N188&gt;=Umbral_WATCH_pct,"WATCH","NO ANUNCIAR")))</f>
        <v/>
      </c>
    </row>
    <row r="189">
      <c r="A189" s="116" t="inlineStr">
        <is>
          <t>Balliu</t>
        </is>
      </c>
      <c r="B189" s="116" t="inlineStr">
        <is>
          <t>BALLIU_SELVA_MESA_70_X_70_WERZALIT_7AB14C9A</t>
        </is>
      </c>
      <c r="C189" s="116" t="inlineStr">
        <is>
          <t>Mesa exterior resina | 70×70 cm</t>
        </is>
      </c>
      <c r="D189" s="118" t="n">
        <v>118.31</v>
      </c>
      <c r="E189" s="118" t="n">
        <v>182.02</v>
      </c>
      <c r="F189" s="118">
        <f>E189*(1+IVA)</f>
        <v/>
      </c>
      <c r="G189" s="118">
        <f>E189-D189</f>
        <v/>
      </c>
      <c r="H189" s="191">
        <f>IFERROR(G189/E189,0)</f>
        <v/>
      </c>
      <c r="I189" s="118">
        <f>F189*Comision_pago_pct+Comision_pago_fija</f>
        <v/>
      </c>
      <c r="J189" s="118">
        <f>IF(A189="Hevea",IF(F189&gt;=Hevea_umbral_envio_gratis,0,Hevea_coste_envio_bajo),Balliu_coste_envio)</f>
        <v/>
      </c>
      <c r="K189" s="118">
        <f>Tasa_devolucion*Coste_devolucion</f>
        <v/>
      </c>
      <c r="L189" s="118">
        <f>Tasa_incidencia*Coste_incidencia</f>
        <v/>
      </c>
      <c r="M189" s="118">
        <f>G189-I189-J189-K189-L189</f>
        <v/>
      </c>
      <c r="N189" s="191">
        <f>IFERROR(M189/E189,0)</f>
        <v/>
      </c>
      <c r="O189" s="118">
        <f>MAX(M189,0)</f>
        <v/>
      </c>
      <c r="P189" s="192">
        <f>IFERROR(F189/O189,0)</f>
        <v/>
      </c>
      <c r="Q189" s="193">
        <f>IF(N189&gt;=Umbral_PUSH_pct,IF(M189&gt;=Umbral_PUSH_eur,"PUSH","NEUTRAL"),IF(N189&gt;=Umbral_NEUTRAL_pct,"NEUTRAL",IF(N189&gt;=Umbral_WATCH_pct,"WATCH","NO ANUNCIAR")))</f>
        <v/>
      </c>
    </row>
    <row r="190">
      <c r="A190" s="122" t="inlineStr">
        <is>
          <t>Balliu</t>
        </is>
      </c>
      <c r="B190" s="122" t="inlineStr">
        <is>
          <t>BALLIU_SELVA_MESA_80_X_80_WERZALIT_1A5A5005</t>
        </is>
      </c>
      <c r="C190" s="122" t="inlineStr">
        <is>
          <t>Mesa exterior resina | 80×80 cm</t>
        </is>
      </c>
      <c r="D190" s="124" t="n">
        <v>131.01</v>
      </c>
      <c r="E190" s="124" t="n">
        <v>201.55</v>
      </c>
      <c r="F190" s="124">
        <f>E190*(1+IVA)</f>
        <v/>
      </c>
      <c r="G190" s="124">
        <f>E190-D190</f>
        <v/>
      </c>
      <c r="H190" s="194">
        <f>IFERROR(G190/E190,0)</f>
        <v/>
      </c>
      <c r="I190" s="124">
        <f>F190*Comision_pago_pct+Comision_pago_fija</f>
        <v/>
      </c>
      <c r="J190" s="124">
        <f>IF(A190="Hevea",IF(F190&gt;=Hevea_umbral_envio_gratis,0,Hevea_coste_envio_bajo),Balliu_coste_envio)</f>
        <v/>
      </c>
      <c r="K190" s="124">
        <f>Tasa_devolucion*Coste_devolucion</f>
        <v/>
      </c>
      <c r="L190" s="124">
        <f>Tasa_incidencia*Coste_incidencia</f>
        <v/>
      </c>
      <c r="M190" s="124">
        <f>G190-I190-J190-K190-L190</f>
        <v/>
      </c>
      <c r="N190" s="194">
        <f>IFERROR(M190/E190,0)</f>
        <v/>
      </c>
      <c r="O190" s="124">
        <f>MAX(M190,0)</f>
        <v/>
      </c>
      <c r="P190" s="195">
        <f>IFERROR(F190/O190,0)</f>
        <v/>
      </c>
      <c r="Q190" s="196">
        <f>IF(N190&gt;=Umbral_PUSH_pct,IF(M190&gt;=Umbral_PUSH_eur,"PUSH","NEUTRAL"),IF(N190&gt;=Umbral_NEUTRAL_pct,"NEUTRAL",IF(N190&gt;=Umbral_WATCH_pct,"WATCH","NO ANUNCIAR")))</f>
        <v/>
      </c>
    </row>
    <row r="191">
      <c r="A191" s="116" t="inlineStr">
        <is>
          <t>Balliu</t>
        </is>
      </c>
      <c r="B191" s="116" t="inlineStr">
        <is>
          <t>BALLIU_SELVA_MESA_120_X_80_WERZALI_747885BD</t>
        </is>
      </c>
      <c r="C191" s="116" t="inlineStr">
        <is>
          <t>Mesa exterior resina | 120×80 cm</t>
        </is>
      </c>
      <c r="D191" s="118" t="n">
        <v>169.64</v>
      </c>
      <c r="E191" s="118" t="n">
        <v>260.99</v>
      </c>
      <c r="F191" s="118">
        <f>E191*(1+IVA)</f>
        <v/>
      </c>
      <c r="G191" s="118">
        <f>E191-D191</f>
        <v/>
      </c>
      <c r="H191" s="191">
        <f>IFERROR(G191/E191,0)</f>
        <v/>
      </c>
      <c r="I191" s="118">
        <f>F191*Comision_pago_pct+Comision_pago_fija</f>
        <v/>
      </c>
      <c r="J191" s="118">
        <f>IF(A191="Hevea",IF(F191&gt;=Hevea_umbral_envio_gratis,0,Hevea_coste_envio_bajo),Balliu_coste_envio)</f>
        <v/>
      </c>
      <c r="K191" s="118">
        <f>Tasa_devolucion*Coste_devolucion</f>
        <v/>
      </c>
      <c r="L191" s="118">
        <f>Tasa_incidencia*Coste_incidencia</f>
        <v/>
      </c>
      <c r="M191" s="118">
        <f>G191-I191-J191-K191-L191</f>
        <v/>
      </c>
      <c r="N191" s="191">
        <f>IFERROR(M191/E191,0)</f>
        <v/>
      </c>
      <c r="O191" s="118">
        <f>MAX(M191,0)</f>
        <v/>
      </c>
      <c r="P191" s="192">
        <f>IFERROR(F191/O191,0)</f>
        <v/>
      </c>
      <c r="Q191" s="193">
        <f>IF(N191&gt;=Umbral_PUSH_pct,IF(M191&gt;=Umbral_PUSH_eur,"PUSH","NEUTRAL"),IF(N191&gt;=Umbral_NEUTRAL_pct,"NEUTRAL",IF(N191&gt;=Umbral_WATCH_pct,"WATCH","NO ANUNCIAR")))</f>
        <v/>
      </c>
    </row>
    <row r="192">
      <c r="A192" s="122" t="inlineStr">
        <is>
          <t>Balliu</t>
        </is>
      </c>
      <c r="B192" s="122" t="inlineStr">
        <is>
          <t>BALLIU_BRUNEI_MESA_80X80_TABLERO_HP_EF580AE2</t>
        </is>
      </c>
      <c r="C192" s="122" t="inlineStr">
        <is>
          <t>Mesa exterior aluminio | 80×80 cm</t>
        </is>
      </c>
      <c r="D192" s="124" t="n">
        <v>257.19</v>
      </c>
      <c r="E192" s="124" t="n">
        <v>395.68</v>
      </c>
      <c r="F192" s="124">
        <f>E192*(1+IVA)</f>
        <v/>
      </c>
      <c r="G192" s="124">
        <f>E192-D192</f>
        <v/>
      </c>
      <c r="H192" s="194">
        <f>IFERROR(G192/E192,0)</f>
        <v/>
      </c>
      <c r="I192" s="124">
        <f>F192*Comision_pago_pct+Comision_pago_fija</f>
        <v/>
      </c>
      <c r="J192" s="124">
        <f>IF(A192="Hevea",IF(F192&gt;=Hevea_umbral_envio_gratis,0,Hevea_coste_envio_bajo),Balliu_coste_envio)</f>
        <v/>
      </c>
      <c r="K192" s="124">
        <f>Tasa_devolucion*Coste_devolucion</f>
        <v/>
      </c>
      <c r="L192" s="124">
        <f>Tasa_incidencia*Coste_incidencia</f>
        <v/>
      </c>
      <c r="M192" s="124">
        <f>G192-I192-J192-K192-L192</f>
        <v/>
      </c>
      <c r="N192" s="194">
        <f>IFERROR(M192/E192,0)</f>
        <v/>
      </c>
      <c r="O192" s="124">
        <f>MAX(M192,0)</f>
        <v/>
      </c>
      <c r="P192" s="195">
        <f>IFERROR(F192/O192,0)</f>
        <v/>
      </c>
      <c r="Q192" s="196">
        <f>IF(N192&gt;=Umbral_PUSH_pct,IF(M192&gt;=Umbral_PUSH_eur,"PUSH","NEUTRAL"),IF(N192&gt;=Umbral_NEUTRAL_pct,"NEUTRAL",IF(N192&gt;=Umbral_WATCH_pct,"WATCH","NO ANUNCIAR")))</f>
        <v/>
      </c>
    </row>
    <row r="193">
      <c r="A193" s="116" t="inlineStr">
        <is>
          <t>Balliu</t>
        </is>
      </c>
      <c r="B193" s="116" t="inlineStr">
        <is>
          <t>BALLIU_BRUNEI_MESA_80X80_TABLERO_HP_FCE3B8BD</t>
        </is>
      </c>
      <c r="C193" s="116" t="inlineStr">
        <is>
          <t>Mesa exterior aluminio | 80×80 cm</t>
        </is>
      </c>
      <c r="D193" s="118" t="n">
        <v>290.22</v>
      </c>
      <c r="E193" s="118" t="n">
        <v>446.49</v>
      </c>
      <c r="F193" s="118">
        <f>E193*(1+IVA)</f>
        <v/>
      </c>
      <c r="G193" s="118">
        <f>E193-D193</f>
        <v/>
      </c>
      <c r="H193" s="191">
        <f>IFERROR(G193/E193,0)</f>
        <v/>
      </c>
      <c r="I193" s="118">
        <f>F193*Comision_pago_pct+Comision_pago_fija</f>
        <v/>
      </c>
      <c r="J193" s="118">
        <f>IF(A193="Hevea",IF(F193&gt;=Hevea_umbral_envio_gratis,0,Hevea_coste_envio_bajo),Balliu_coste_envio)</f>
        <v/>
      </c>
      <c r="K193" s="118">
        <f>Tasa_devolucion*Coste_devolucion</f>
        <v/>
      </c>
      <c r="L193" s="118">
        <f>Tasa_incidencia*Coste_incidencia</f>
        <v/>
      </c>
      <c r="M193" s="118">
        <f>G193-I193-J193-K193-L193</f>
        <v/>
      </c>
      <c r="N193" s="191">
        <f>IFERROR(M193/E193,0)</f>
        <v/>
      </c>
      <c r="O193" s="118">
        <f>MAX(M193,0)</f>
        <v/>
      </c>
      <c r="P193" s="192">
        <f>IFERROR(F193/O193,0)</f>
        <v/>
      </c>
      <c r="Q193" s="193">
        <f>IF(N193&gt;=Umbral_PUSH_pct,IF(M193&gt;=Umbral_PUSH_eur,"PUSH","NEUTRAL"),IF(N193&gt;=Umbral_NEUTRAL_pct,"NEUTRAL",IF(N193&gt;=Umbral_WATCH_pct,"WATCH","NO ANUNCIAR")))</f>
        <v/>
      </c>
    </row>
    <row r="194">
      <c r="A194" s="122" t="inlineStr">
        <is>
          <t>Balliu</t>
        </is>
      </c>
      <c r="B194" s="122" t="inlineStr">
        <is>
          <t>BALLIU_BRUNEI_MESA_130X80_TABLERO_H_DF7C872B</t>
        </is>
      </c>
      <c r="C194" s="122" t="inlineStr">
        <is>
          <t>Mesa exterior aluminio | 130×80 cm</t>
        </is>
      </c>
      <c r="D194" s="124" t="n">
        <v>342.68</v>
      </c>
      <c r="E194" s="124" t="n">
        <v>527.21</v>
      </c>
      <c r="F194" s="124">
        <f>E194*(1+IVA)</f>
        <v/>
      </c>
      <c r="G194" s="124">
        <f>E194-D194</f>
        <v/>
      </c>
      <c r="H194" s="194">
        <f>IFERROR(G194/E194,0)</f>
        <v/>
      </c>
      <c r="I194" s="124">
        <f>F194*Comision_pago_pct+Comision_pago_fija</f>
        <v/>
      </c>
      <c r="J194" s="124">
        <f>IF(A194="Hevea",IF(F194&gt;=Hevea_umbral_envio_gratis,0,Hevea_coste_envio_bajo),Balliu_coste_envio)</f>
        <v/>
      </c>
      <c r="K194" s="124">
        <f>Tasa_devolucion*Coste_devolucion</f>
        <v/>
      </c>
      <c r="L194" s="124">
        <f>Tasa_incidencia*Coste_incidencia</f>
        <v/>
      </c>
      <c r="M194" s="124">
        <f>G194-I194-J194-K194-L194</f>
        <v/>
      </c>
      <c r="N194" s="194">
        <f>IFERROR(M194/E194,0)</f>
        <v/>
      </c>
      <c r="O194" s="124">
        <f>MAX(M194,0)</f>
        <v/>
      </c>
      <c r="P194" s="195">
        <f>IFERROR(F194/O194,0)</f>
        <v/>
      </c>
      <c r="Q194" s="196">
        <f>IF(N194&gt;=Umbral_PUSH_pct,IF(M194&gt;=Umbral_PUSH_eur,"PUSH","NEUTRAL"),IF(N194&gt;=Umbral_NEUTRAL_pct,"NEUTRAL",IF(N194&gt;=Umbral_WATCH_pct,"WATCH","NO ANUNCIAR")))</f>
        <v/>
      </c>
    </row>
    <row r="195">
      <c r="A195" s="116" t="inlineStr">
        <is>
          <t>Balliu</t>
        </is>
      </c>
      <c r="B195" s="116" t="inlineStr">
        <is>
          <t>BALLIU_BRUNEI_MESA_130X80_TABLERO_H_5068224E</t>
        </is>
      </c>
      <c r="C195" s="116" t="inlineStr">
        <is>
          <t>Mesa exterior aluminio | 130×80 cm</t>
        </is>
      </c>
      <c r="D195" s="118" t="n">
        <v>396.09</v>
      </c>
      <c r="E195" s="118" t="n">
        <v>609.37</v>
      </c>
      <c r="F195" s="118">
        <f>E195*(1+IVA)</f>
        <v/>
      </c>
      <c r="G195" s="118">
        <f>E195-D195</f>
        <v/>
      </c>
      <c r="H195" s="191">
        <f>IFERROR(G195/E195,0)</f>
        <v/>
      </c>
      <c r="I195" s="118">
        <f>F195*Comision_pago_pct+Comision_pago_fija</f>
        <v/>
      </c>
      <c r="J195" s="118">
        <f>IF(A195="Hevea",IF(F195&gt;=Hevea_umbral_envio_gratis,0,Hevea_coste_envio_bajo),Balliu_coste_envio)</f>
        <v/>
      </c>
      <c r="K195" s="118">
        <f>Tasa_devolucion*Coste_devolucion</f>
        <v/>
      </c>
      <c r="L195" s="118">
        <f>Tasa_incidencia*Coste_incidencia</f>
        <v/>
      </c>
      <c r="M195" s="118">
        <f>G195-I195-J195-K195-L195</f>
        <v/>
      </c>
      <c r="N195" s="191">
        <f>IFERROR(M195/E195,0)</f>
        <v/>
      </c>
      <c r="O195" s="118">
        <f>MAX(M195,0)</f>
        <v/>
      </c>
      <c r="P195" s="192">
        <f>IFERROR(F195/O195,0)</f>
        <v/>
      </c>
      <c r="Q195" s="193">
        <f>IF(N195&gt;=Umbral_PUSH_pct,IF(M195&gt;=Umbral_PUSH_eur,"PUSH","NEUTRAL"),IF(N195&gt;=Umbral_NEUTRAL_pct,"NEUTRAL",IF(N195&gt;=Umbral_WATCH_pct,"WATCH","NO ANUNCIAR")))</f>
        <v/>
      </c>
    </row>
    <row r="196">
      <c r="A196" s="122" t="inlineStr">
        <is>
          <t>Balliu</t>
        </is>
      </c>
      <c r="B196" s="122" t="inlineStr">
        <is>
          <t>BALLIU_BRUNEI_MESA_160X90_TABLERO_H_11303F43</t>
        </is>
      </c>
      <c r="C196" s="122" t="inlineStr">
        <is>
          <t>Mesa exterior aluminio | 160×90 cm</t>
        </is>
      </c>
      <c r="D196" s="124" t="n">
        <v>412.95</v>
      </c>
      <c r="E196" s="124" t="n">
        <v>635.3200000000001</v>
      </c>
      <c r="F196" s="124">
        <f>E196*(1+IVA)</f>
        <v/>
      </c>
      <c r="G196" s="124">
        <f>E196-D196</f>
        <v/>
      </c>
      <c r="H196" s="194">
        <f>IFERROR(G196/E196,0)</f>
        <v/>
      </c>
      <c r="I196" s="124">
        <f>F196*Comision_pago_pct+Comision_pago_fija</f>
        <v/>
      </c>
      <c r="J196" s="124">
        <f>IF(A196="Hevea",IF(F196&gt;=Hevea_umbral_envio_gratis,0,Hevea_coste_envio_bajo),Balliu_coste_envio)</f>
        <v/>
      </c>
      <c r="K196" s="124">
        <f>Tasa_devolucion*Coste_devolucion</f>
        <v/>
      </c>
      <c r="L196" s="124">
        <f>Tasa_incidencia*Coste_incidencia</f>
        <v/>
      </c>
      <c r="M196" s="124">
        <f>G196-I196-J196-K196-L196</f>
        <v/>
      </c>
      <c r="N196" s="194">
        <f>IFERROR(M196/E196,0)</f>
        <v/>
      </c>
      <c r="O196" s="124">
        <f>MAX(M196,0)</f>
        <v/>
      </c>
      <c r="P196" s="195">
        <f>IFERROR(F196/O196,0)</f>
        <v/>
      </c>
      <c r="Q196" s="196">
        <f>IF(N196&gt;=Umbral_PUSH_pct,IF(M196&gt;=Umbral_PUSH_eur,"PUSH","NEUTRAL"),IF(N196&gt;=Umbral_NEUTRAL_pct,"NEUTRAL",IF(N196&gt;=Umbral_WATCH_pct,"WATCH","NO ANUNCIAR")))</f>
        <v/>
      </c>
    </row>
    <row r="197">
      <c r="A197" s="116" t="inlineStr">
        <is>
          <t>Balliu</t>
        </is>
      </c>
      <c r="B197" s="116" t="inlineStr">
        <is>
          <t>BALLIU_BRUNEI_MESA_160X90_TABLERO_H_C39E3349</t>
        </is>
      </c>
      <c r="C197" s="116" t="inlineStr">
        <is>
          <t>Mesa exterior aluminio | 160×90 cm</t>
        </is>
      </c>
      <c r="D197" s="118" t="n">
        <v>479.59</v>
      </c>
      <c r="E197" s="118" t="n">
        <v>737.84</v>
      </c>
      <c r="F197" s="118">
        <f>E197*(1+IVA)</f>
        <v/>
      </c>
      <c r="G197" s="118">
        <f>E197-D197</f>
        <v/>
      </c>
      <c r="H197" s="191">
        <f>IFERROR(G197/E197,0)</f>
        <v/>
      </c>
      <c r="I197" s="118">
        <f>F197*Comision_pago_pct+Comision_pago_fija</f>
        <v/>
      </c>
      <c r="J197" s="118">
        <f>IF(A197="Hevea",IF(F197&gt;=Hevea_umbral_envio_gratis,0,Hevea_coste_envio_bajo),Balliu_coste_envio)</f>
        <v/>
      </c>
      <c r="K197" s="118">
        <f>Tasa_devolucion*Coste_devolucion</f>
        <v/>
      </c>
      <c r="L197" s="118">
        <f>Tasa_incidencia*Coste_incidencia</f>
        <v/>
      </c>
      <c r="M197" s="118">
        <f>G197-I197-J197-K197-L197</f>
        <v/>
      </c>
      <c r="N197" s="191">
        <f>IFERROR(M197/E197,0)</f>
        <v/>
      </c>
      <c r="O197" s="118">
        <f>MAX(M197,0)</f>
        <v/>
      </c>
      <c r="P197" s="192">
        <f>IFERROR(F197/O197,0)</f>
        <v/>
      </c>
      <c r="Q197" s="193">
        <f>IF(N197&gt;=Umbral_PUSH_pct,IF(M197&gt;=Umbral_PUSH_eur,"PUSH","NEUTRAL"),IF(N197&gt;=Umbral_NEUTRAL_pct,"NEUTRAL",IF(N197&gt;=Umbral_WATCH_pct,"WATCH","NO ANUNCIAR")))</f>
        <v/>
      </c>
    </row>
    <row r="198">
      <c r="A198" s="122" t="inlineStr">
        <is>
          <t>Balliu</t>
        </is>
      </c>
      <c r="B198" s="122" t="inlineStr">
        <is>
          <t>BALLIU_BRUNEI_MESA_190X90_TABLERO_H_4D2D1E60</t>
        </is>
      </c>
      <c r="C198" s="122" t="inlineStr">
        <is>
          <t>Mesa exterior aluminio | 190×90 cm</t>
        </is>
      </c>
      <c r="D198" s="124" t="n">
        <v>506.65</v>
      </c>
      <c r="E198" s="124" t="n">
        <v>779.46</v>
      </c>
      <c r="F198" s="124">
        <f>E198*(1+IVA)</f>
        <v/>
      </c>
      <c r="G198" s="124">
        <f>E198-D198</f>
        <v/>
      </c>
      <c r="H198" s="194">
        <f>IFERROR(G198/E198,0)</f>
        <v/>
      </c>
      <c r="I198" s="124">
        <f>F198*Comision_pago_pct+Comision_pago_fija</f>
        <v/>
      </c>
      <c r="J198" s="124">
        <f>IF(A198="Hevea",IF(F198&gt;=Hevea_umbral_envio_gratis,0,Hevea_coste_envio_bajo),Balliu_coste_envio)</f>
        <v/>
      </c>
      <c r="K198" s="124">
        <f>Tasa_devolucion*Coste_devolucion</f>
        <v/>
      </c>
      <c r="L198" s="124">
        <f>Tasa_incidencia*Coste_incidencia</f>
        <v/>
      </c>
      <c r="M198" s="124">
        <f>G198-I198-J198-K198-L198</f>
        <v/>
      </c>
      <c r="N198" s="194">
        <f>IFERROR(M198/E198,0)</f>
        <v/>
      </c>
      <c r="O198" s="124">
        <f>MAX(M198,0)</f>
        <v/>
      </c>
      <c r="P198" s="195">
        <f>IFERROR(F198/O198,0)</f>
        <v/>
      </c>
      <c r="Q198" s="196">
        <f>IF(N198&gt;=Umbral_PUSH_pct,IF(M198&gt;=Umbral_PUSH_eur,"PUSH","NEUTRAL"),IF(N198&gt;=Umbral_NEUTRAL_pct,"NEUTRAL",IF(N198&gt;=Umbral_WATCH_pct,"WATCH","NO ANUNCIAR")))</f>
        <v/>
      </c>
    </row>
    <row r="199">
      <c r="A199" s="116" t="inlineStr">
        <is>
          <t>Balliu</t>
        </is>
      </c>
      <c r="B199" s="116" t="inlineStr">
        <is>
          <t>BALLIU_BRUNEI_MESA_190X90_TABLERO_H_7FCC116E</t>
        </is>
      </c>
      <c r="C199" s="116" t="inlineStr">
        <is>
          <t>Mesa exterior aluminio | 190×90 cm</t>
        </is>
      </c>
      <c r="D199" s="118" t="n">
        <v>603.5</v>
      </c>
      <c r="E199" s="118" t="n">
        <v>928.47</v>
      </c>
      <c r="F199" s="118">
        <f>E199*(1+IVA)</f>
        <v/>
      </c>
      <c r="G199" s="118">
        <f>E199-D199</f>
        <v/>
      </c>
      <c r="H199" s="191">
        <f>IFERROR(G199/E199,0)</f>
        <v/>
      </c>
      <c r="I199" s="118">
        <f>F199*Comision_pago_pct+Comision_pago_fija</f>
        <v/>
      </c>
      <c r="J199" s="118">
        <f>IF(A199="Hevea",IF(F199&gt;=Hevea_umbral_envio_gratis,0,Hevea_coste_envio_bajo),Balliu_coste_envio)</f>
        <v/>
      </c>
      <c r="K199" s="118">
        <f>Tasa_devolucion*Coste_devolucion</f>
        <v/>
      </c>
      <c r="L199" s="118">
        <f>Tasa_incidencia*Coste_incidencia</f>
        <v/>
      </c>
      <c r="M199" s="118">
        <f>G199-I199-J199-K199-L199</f>
        <v/>
      </c>
      <c r="N199" s="191">
        <f>IFERROR(M199/E199,0)</f>
        <v/>
      </c>
      <c r="O199" s="118">
        <f>MAX(M199,0)</f>
        <v/>
      </c>
      <c r="P199" s="192">
        <f>IFERROR(F199/O199,0)</f>
        <v/>
      </c>
      <c r="Q199" s="193">
        <f>IF(N199&gt;=Umbral_PUSH_pct,IF(M199&gt;=Umbral_PUSH_eur,"PUSH","NEUTRAL"),IF(N199&gt;=Umbral_NEUTRAL_pct,"NEUTRAL",IF(N199&gt;=Umbral_WATCH_pct,"WATCH","NO ANUNCIAR")))</f>
        <v/>
      </c>
    </row>
    <row r="200">
      <c r="A200" s="122" t="inlineStr">
        <is>
          <t>Balliu</t>
        </is>
      </c>
      <c r="B200" s="122" t="inlineStr">
        <is>
          <t>BALLIU_ATLANTA_MESA_240X90_TABLERO_H_78358691</t>
        </is>
      </c>
      <c r="C200" s="122" t="inlineStr">
        <is>
          <t>Mesa exterior HPL | 240×90 cm</t>
        </is>
      </c>
      <c r="D200" s="124" t="n">
        <v>689</v>
      </c>
      <c r="E200" s="124" t="n">
        <v>1060</v>
      </c>
      <c r="F200" s="124">
        <f>E200*(1+IVA)</f>
        <v/>
      </c>
      <c r="G200" s="124">
        <f>E200-D200</f>
        <v/>
      </c>
      <c r="H200" s="194">
        <f>IFERROR(G200/E200,0)</f>
        <v/>
      </c>
      <c r="I200" s="124">
        <f>F200*Comision_pago_pct+Comision_pago_fija</f>
        <v/>
      </c>
      <c r="J200" s="124">
        <f>IF(A200="Hevea",IF(F200&gt;=Hevea_umbral_envio_gratis,0,Hevea_coste_envio_bajo),Balliu_coste_envio)</f>
        <v/>
      </c>
      <c r="K200" s="124">
        <f>Tasa_devolucion*Coste_devolucion</f>
        <v/>
      </c>
      <c r="L200" s="124">
        <f>Tasa_incidencia*Coste_incidencia</f>
        <v/>
      </c>
      <c r="M200" s="124">
        <f>G200-I200-J200-K200-L200</f>
        <v/>
      </c>
      <c r="N200" s="194">
        <f>IFERROR(M200/E200,0)</f>
        <v/>
      </c>
      <c r="O200" s="124">
        <f>MAX(M200,0)</f>
        <v/>
      </c>
      <c r="P200" s="195">
        <f>IFERROR(F200/O200,0)</f>
        <v/>
      </c>
      <c r="Q200" s="196">
        <f>IF(N200&gt;=Umbral_PUSH_pct,IF(M200&gt;=Umbral_PUSH_eur,"PUSH","NEUTRAL"),IF(N200&gt;=Umbral_NEUTRAL_pct,"NEUTRAL",IF(N200&gt;=Umbral_WATCH_pct,"WATCH","NO ANUNCIAR")))</f>
        <v/>
      </c>
    </row>
    <row r="201">
      <c r="A201" s="116" t="inlineStr">
        <is>
          <t>Balliu</t>
        </is>
      </c>
      <c r="B201" s="116" t="inlineStr">
        <is>
          <t>BALLIU_ATLANTA_MESA_240X90_TABLERO_H_D4E471C5</t>
        </is>
      </c>
      <c r="C201" s="116" t="inlineStr">
        <is>
          <t>Mesa exterior HPL | 240×90 cm</t>
        </is>
      </c>
      <c r="D201" s="118" t="n">
        <v>694.04</v>
      </c>
      <c r="E201" s="118" t="n">
        <v>1067.75</v>
      </c>
      <c r="F201" s="118">
        <f>E201*(1+IVA)</f>
        <v/>
      </c>
      <c r="G201" s="118">
        <f>E201-D201</f>
        <v/>
      </c>
      <c r="H201" s="191">
        <f>IFERROR(G201/E201,0)</f>
        <v/>
      </c>
      <c r="I201" s="118">
        <f>F201*Comision_pago_pct+Comision_pago_fija</f>
        <v/>
      </c>
      <c r="J201" s="118">
        <f>IF(A201="Hevea",IF(F201&gt;=Hevea_umbral_envio_gratis,0,Hevea_coste_envio_bajo),Balliu_coste_envio)</f>
        <v/>
      </c>
      <c r="K201" s="118">
        <f>Tasa_devolucion*Coste_devolucion</f>
        <v/>
      </c>
      <c r="L201" s="118">
        <f>Tasa_incidencia*Coste_incidencia</f>
        <v/>
      </c>
      <c r="M201" s="118">
        <f>G201-I201-J201-K201-L201</f>
        <v/>
      </c>
      <c r="N201" s="191">
        <f>IFERROR(M201/E201,0)</f>
        <v/>
      </c>
      <c r="O201" s="118">
        <f>MAX(M201,0)</f>
        <v/>
      </c>
      <c r="P201" s="192">
        <f>IFERROR(F201/O201,0)</f>
        <v/>
      </c>
      <c r="Q201" s="193">
        <f>IF(N201&gt;=Umbral_PUSH_pct,IF(M201&gt;=Umbral_PUSH_eur,"PUSH","NEUTRAL"),IF(N201&gt;=Umbral_NEUTRAL_pct,"NEUTRAL",IF(N201&gt;=Umbral_WATCH_pct,"WATCH","NO ANUNCIAR")))</f>
        <v/>
      </c>
    </row>
    <row r="202">
      <c r="A202" s="122" t="inlineStr">
        <is>
          <t>Balliu</t>
        </is>
      </c>
      <c r="B202" s="122" t="inlineStr">
        <is>
          <t>BALLIU_ATLANTA_MESA_140_180X90_EXTEN_E4EC7D7C</t>
        </is>
      </c>
      <c r="C202" s="122" t="inlineStr">
        <is>
          <t>Mesa exterior | 140/180×90 cm</t>
        </is>
      </c>
      <c r="D202" s="124" t="n">
        <v>789.72</v>
      </c>
      <c r="E202" s="124" t="n">
        <v>1052.96</v>
      </c>
      <c r="F202" s="124">
        <f>E202*(1+IVA)</f>
        <v/>
      </c>
      <c r="G202" s="124">
        <f>E202-D202</f>
        <v/>
      </c>
      <c r="H202" s="194">
        <f>IFERROR(G202/E202,0)</f>
        <v/>
      </c>
      <c r="I202" s="124">
        <f>F202*Comision_pago_pct+Comision_pago_fija</f>
        <v/>
      </c>
      <c r="J202" s="124">
        <f>IF(A202="Hevea",IF(F202&gt;=Hevea_umbral_envio_gratis,0,Hevea_coste_envio_bajo),Balliu_coste_envio)</f>
        <v/>
      </c>
      <c r="K202" s="124">
        <f>Tasa_devolucion*Coste_devolucion</f>
        <v/>
      </c>
      <c r="L202" s="124">
        <f>Tasa_incidencia*Coste_incidencia</f>
        <v/>
      </c>
      <c r="M202" s="124">
        <f>G202-I202-J202-K202-L202</f>
        <v/>
      </c>
      <c r="N202" s="194">
        <f>IFERROR(M202/E202,0)</f>
        <v/>
      </c>
      <c r="O202" s="124">
        <f>MAX(M202,0)</f>
        <v/>
      </c>
      <c r="P202" s="195">
        <f>IFERROR(F202/O202,0)</f>
        <v/>
      </c>
      <c r="Q202" s="196">
        <f>IF(N202&gt;=Umbral_PUSH_pct,IF(M202&gt;=Umbral_PUSH_eur,"PUSH","NEUTRAL"),IF(N202&gt;=Umbral_NEUTRAL_pct,"NEUTRAL",IF(N202&gt;=Umbral_WATCH_pct,"WATCH","NO ANUNCIAR")))</f>
        <v/>
      </c>
    </row>
    <row r="203">
      <c r="A203" s="116" t="inlineStr">
        <is>
          <t>Balliu</t>
        </is>
      </c>
      <c r="B203" s="116" t="inlineStr">
        <is>
          <t>BALLIU_ATLANTA_MESA_200_260X100_EXTE_9D798E50</t>
        </is>
      </c>
      <c r="C203" s="116" t="inlineStr">
        <is>
          <t>Mesa exterior | 200/260×100 cm</t>
        </is>
      </c>
      <c r="D203" s="118" t="n">
        <v>1035.01</v>
      </c>
      <c r="E203" s="118" t="n">
        <v>1380.01</v>
      </c>
      <c r="F203" s="118">
        <f>E203*(1+IVA)</f>
        <v/>
      </c>
      <c r="G203" s="118">
        <f>E203-D203</f>
        <v/>
      </c>
      <c r="H203" s="191">
        <f>IFERROR(G203/E203,0)</f>
        <v/>
      </c>
      <c r="I203" s="118">
        <f>F203*Comision_pago_pct+Comision_pago_fija</f>
        <v/>
      </c>
      <c r="J203" s="118">
        <f>IF(A203="Hevea",IF(F203&gt;=Hevea_umbral_envio_gratis,0,Hevea_coste_envio_bajo),Balliu_coste_envio)</f>
        <v/>
      </c>
      <c r="K203" s="118">
        <f>Tasa_devolucion*Coste_devolucion</f>
        <v/>
      </c>
      <c r="L203" s="118">
        <f>Tasa_incidencia*Coste_incidencia</f>
        <v/>
      </c>
      <c r="M203" s="118">
        <f>G203-I203-J203-K203-L203</f>
        <v/>
      </c>
      <c r="N203" s="191">
        <f>IFERROR(M203/E203,0)</f>
        <v/>
      </c>
      <c r="O203" s="118">
        <f>MAX(M203,0)</f>
        <v/>
      </c>
      <c r="P203" s="192">
        <f>IFERROR(F203/O203,0)</f>
        <v/>
      </c>
      <c r="Q203" s="193">
        <f>IF(N203&gt;=Umbral_PUSH_pct,IF(M203&gt;=Umbral_PUSH_eur,"PUSH","NEUTRAL"),IF(N203&gt;=Umbral_NEUTRAL_pct,"NEUTRAL",IF(N203&gt;=Umbral_WATCH_pct,"WATCH","NO ANUNCIAR")))</f>
        <v/>
      </c>
    </row>
    <row r="204">
      <c r="A204" s="122" t="inlineStr">
        <is>
          <t>Balliu</t>
        </is>
      </c>
      <c r="B204" s="122" t="inlineStr">
        <is>
          <t>BALLIU_MESA_JAVA_140_180X100_EXTE_8E073AAB</t>
        </is>
      </c>
      <c r="C204" s="122" t="inlineStr">
        <is>
          <t>Mesa exterior HPL | 140/180×100 cm</t>
        </is>
      </c>
      <c r="D204" s="124" t="n">
        <v>975.21</v>
      </c>
      <c r="E204" s="124" t="n">
        <v>1300.28</v>
      </c>
      <c r="F204" s="124">
        <f>E204*(1+IVA)</f>
        <v/>
      </c>
      <c r="G204" s="124">
        <f>E204-D204</f>
        <v/>
      </c>
      <c r="H204" s="194">
        <f>IFERROR(G204/E204,0)</f>
        <v/>
      </c>
      <c r="I204" s="124">
        <f>F204*Comision_pago_pct+Comision_pago_fija</f>
        <v/>
      </c>
      <c r="J204" s="124">
        <f>IF(A204="Hevea",IF(F204&gt;=Hevea_umbral_envio_gratis,0,Hevea_coste_envio_bajo),Balliu_coste_envio)</f>
        <v/>
      </c>
      <c r="K204" s="124">
        <f>Tasa_devolucion*Coste_devolucion</f>
        <v/>
      </c>
      <c r="L204" s="124">
        <f>Tasa_incidencia*Coste_incidencia</f>
        <v/>
      </c>
      <c r="M204" s="124">
        <f>G204-I204-J204-K204-L204</f>
        <v/>
      </c>
      <c r="N204" s="194">
        <f>IFERROR(M204/E204,0)</f>
        <v/>
      </c>
      <c r="O204" s="124">
        <f>MAX(M204,0)</f>
        <v/>
      </c>
      <c r="P204" s="195">
        <f>IFERROR(F204/O204,0)</f>
        <v/>
      </c>
      <c r="Q204" s="196">
        <f>IF(N204&gt;=Umbral_PUSH_pct,IF(M204&gt;=Umbral_PUSH_eur,"PUSH","NEUTRAL"),IF(N204&gt;=Umbral_NEUTRAL_pct,"NEUTRAL",IF(N204&gt;=Umbral_WATCH_pct,"WATCH","NO ANUNCIAR")))</f>
        <v/>
      </c>
    </row>
    <row r="205">
      <c r="A205" s="116" t="inlineStr">
        <is>
          <t>Balliu</t>
        </is>
      </c>
      <c r="B205" s="116" t="inlineStr">
        <is>
          <t>BALLIU_MESA_JAVA_140_180X100_EXTE_E5E3BB40</t>
        </is>
      </c>
      <c r="C205" s="116" t="inlineStr">
        <is>
          <t>Mesa exterior HPL | 140/180×100 cm</t>
        </is>
      </c>
      <c r="D205" s="118" t="n">
        <v>987.5599999999999</v>
      </c>
      <c r="E205" s="118" t="n">
        <v>1316.74</v>
      </c>
      <c r="F205" s="118">
        <f>E205*(1+IVA)</f>
        <v/>
      </c>
      <c r="G205" s="118">
        <f>E205-D205</f>
        <v/>
      </c>
      <c r="H205" s="191">
        <f>IFERROR(G205/E205,0)</f>
        <v/>
      </c>
      <c r="I205" s="118">
        <f>F205*Comision_pago_pct+Comision_pago_fija</f>
        <v/>
      </c>
      <c r="J205" s="118">
        <f>IF(A205="Hevea",IF(F205&gt;=Hevea_umbral_envio_gratis,0,Hevea_coste_envio_bajo),Balliu_coste_envio)</f>
        <v/>
      </c>
      <c r="K205" s="118">
        <f>Tasa_devolucion*Coste_devolucion</f>
        <v/>
      </c>
      <c r="L205" s="118">
        <f>Tasa_incidencia*Coste_incidencia</f>
        <v/>
      </c>
      <c r="M205" s="118">
        <f>G205-I205-J205-K205-L205</f>
        <v/>
      </c>
      <c r="N205" s="191">
        <f>IFERROR(M205/E205,0)</f>
        <v/>
      </c>
      <c r="O205" s="118">
        <f>MAX(M205,0)</f>
        <v/>
      </c>
      <c r="P205" s="192">
        <f>IFERROR(F205/O205,0)</f>
        <v/>
      </c>
      <c r="Q205" s="193">
        <f>IF(N205&gt;=Umbral_PUSH_pct,IF(M205&gt;=Umbral_PUSH_eur,"PUSH","NEUTRAL"),IF(N205&gt;=Umbral_NEUTRAL_pct,"NEUTRAL",IF(N205&gt;=Umbral_WATCH_pct,"WATCH","NO ANUNCIAR")))</f>
        <v/>
      </c>
    </row>
    <row r="206">
      <c r="A206" s="122" t="inlineStr">
        <is>
          <t>Balliu</t>
        </is>
      </c>
      <c r="B206" s="122" t="inlineStr">
        <is>
          <t>BALLIU_MESA_JAVA_200_260X100_EXTE_23187EA9</t>
        </is>
      </c>
      <c r="C206" s="122" t="inlineStr">
        <is>
          <t>Mesa exterior HPL | 200/260×100 cm</t>
        </is>
      </c>
      <c r="D206" s="124" t="n">
        <v>1250.19</v>
      </c>
      <c r="E206" s="124" t="n">
        <v>1666.92</v>
      </c>
      <c r="F206" s="124">
        <f>E206*(1+IVA)</f>
        <v/>
      </c>
      <c r="G206" s="124">
        <f>E206-D206</f>
        <v/>
      </c>
      <c r="H206" s="194">
        <f>IFERROR(G206/E206,0)</f>
        <v/>
      </c>
      <c r="I206" s="124">
        <f>F206*Comision_pago_pct+Comision_pago_fija</f>
        <v/>
      </c>
      <c r="J206" s="124">
        <f>IF(A206="Hevea",IF(F206&gt;=Hevea_umbral_envio_gratis,0,Hevea_coste_envio_bajo),Balliu_coste_envio)</f>
        <v/>
      </c>
      <c r="K206" s="124">
        <f>Tasa_devolucion*Coste_devolucion</f>
        <v/>
      </c>
      <c r="L206" s="124">
        <f>Tasa_incidencia*Coste_incidencia</f>
        <v/>
      </c>
      <c r="M206" s="124">
        <f>G206-I206-J206-K206-L206</f>
        <v/>
      </c>
      <c r="N206" s="194">
        <f>IFERROR(M206/E206,0)</f>
        <v/>
      </c>
      <c r="O206" s="124">
        <f>MAX(M206,0)</f>
        <v/>
      </c>
      <c r="P206" s="195">
        <f>IFERROR(F206/O206,0)</f>
        <v/>
      </c>
      <c r="Q206" s="196">
        <f>IF(N206&gt;=Umbral_PUSH_pct,IF(M206&gt;=Umbral_PUSH_eur,"PUSH","NEUTRAL"),IF(N206&gt;=Umbral_NEUTRAL_pct,"NEUTRAL",IF(N206&gt;=Umbral_WATCH_pct,"WATCH","NO ANUNCIAR")))</f>
        <v/>
      </c>
    </row>
    <row r="207">
      <c r="A207" s="116" t="inlineStr">
        <is>
          <t>Balliu</t>
        </is>
      </c>
      <c r="B207" s="116" t="inlineStr">
        <is>
          <t>BALLIU_MESA_JAVA_200_260X100_EXTE_4A63BE2F</t>
        </is>
      </c>
      <c r="C207" s="116" t="inlineStr">
        <is>
          <t>Mesa exterior HPL | 200/260×100 cm</t>
        </is>
      </c>
      <c r="D207" s="118" t="n">
        <v>1423.37</v>
      </c>
      <c r="E207" s="118" t="n">
        <v>1897.82</v>
      </c>
      <c r="F207" s="118">
        <f>E207*(1+IVA)</f>
        <v/>
      </c>
      <c r="G207" s="118">
        <f>E207-D207</f>
        <v/>
      </c>
      <c r="H207" s="191">
        <f>IFERROR(G207/E207,0)</f>
        <v/>
      </c>
      <c r="I207" s="118">
        <f>F207*Comision_pago_pct+Comision_pago_fija</f>
        <v/>
      </c>
      <c r="J207" s="118">
        <f>IF(A207="Hevea",IF(F207&gt;=Hevea_umbral_envio_gratis,0,Hevea_coste_envio_bajo),Balliu_coste_envio)</f>
        <v/>
      </c>
      <c r="K207" s="118">
        <f>Tasa_devolucion*Coste_devolucion</f>
        <v/>
      </c>
      <c r="L207" s="118">
        <f>Tasa_incidencia*Coste_incidencia</f>
        <v/>
      </c>
      <c r="M207" s="118">
        <f>G207-I207-J207-K207-L207</f>
        <v/>
      </c>
      <c r="N207" s="191">
        <f>IFERROR(M207/E207,0)</f>
        <v/>
      </c>
      <c r="O207" s="118">
        <f>MAX(M207,0)</f>
        <v/>
      </c>
      <c r="P207" s="192">
        <f>IFERROR(F207/O207,0)</f>
        <v/>
      </c>
      <c r="Q207" s="193">
        <f>IF(N207&gt;=Umbral_PUSH_pct,IF(M207&gt;=Umbral_PUSH_eur,"PUSH","NEUTRAL"),IF(N207&gt;=Umbral_NEUTRAL_pct,"NEUTRAL",IF(N207&gt;=Umbral_WATCH_pct,"WATCH","NO ANUNCIAR")))</f>
        <v/>
      </c>
    </row>
    <row r="208">
      <c r="A208" s="122" t="inlineStr">
        <is>
          <t>Balliu</t>
        </is>
      </c>
      <c r="B208" s="122" t="inlineStr">
        <is>
          <t>BALLIU_DIAM_70_MESA_ALTA_TABLERO_HPL_45C511E9</t>
        </is>
      </c>
      <c r="C208" s="122" t="inlineStr">
        <is>
          <t>Mesa alta exterior HPL</t>
        </is>
      </c>
      <c r="D208" s="124" t="n">
        <v>273.99</v>
      </c>
      <c r="E208" s="124" t="n">
        <v>421.53</v>
      </c>
      <c r="F208" s="124">
        <f>E208*(1+IVA)</f>
        <v/>
      </c>
      <c r="G208" s="124">
        <f>E208-D208</f>
        <v/>
      </c>
      <c r="H208" s="194">
        <f>IFERROR(G208/E208,0)</f>
        <v/>
      </c>
      <c r="I208" s="124">
        <f>F208*Comision_pago_pct+Comision_pago_fija</f>
        <v/>
      </c>
      <c r="J208" s="124">
        <f>IF(A208="Hevea",IF(F208&gt;=Hevea_umbral_envio_gratis,0,Hevea_coste_envio_bajo),Balliu_coste_envio)</f>
        <v/>
      </c>
      <c r="K208" s="124">
        <f>Tasa_devolucion*Coste_devolucion</f>
        <v/>
      </c>
      <c r="L208" s="124">
        <f>Tasa_incidencia*Coste_incidencia</f>
        <v/>
      </c>
      <c r="M208" s="124">
        <f>G208-I208-J208-K208-L208</f>
        <v/>
      </c>
      <c r="N208" s="194">
        <f>IFERROR(M208/E208,0)</f>
        <v/>
      </c>
      <c r="O208" s="124">
        <f>MAX(M208,0)</f>
        <v/>
      </c>
      <c r="P208" s="195">
        <f>IFERROR(F208/O208,0)</f>
        <v/>
      </c>
      <c r="Q208" s="196">
        <f>IF(N208&gt;=Umbral_PUSH_pct,IF(M208&gt;=Umbral_PUSH_eur,"PUSH","NEUTRAL"),IF(N208&gt;=Umbral_NEUTRAL_pct,"NEUTRAL",IF(N208&gt;=Umbral_WATCH_pct,"WATCH","NO ANUNCIAR")))</f>
        <v/>
      </c>
    </row>
    <row r="209">
      <c r="A209" s="116" t="inlineStr">
        <is>
          <t>Balliu</t>
        </is>
      </c>
      <c r="B209" s="116" t="inlineStr">
        <is>
          <t>BALLIU_DIAM_70_MESA_ALTA_TABLERO_HPL_GD_F99491CE</t>
        </is>
      </c>
      <c r="C209" s="116" t="inlineStr">
        <is>
          <t>Mesa alta exterior HPL</t>
        </is>
      </c>
      <c r="D209" s="118" t="n">
        <v>279.99</v>
      </c>
      <c r="E209" s="118" t="n">
        <v>430.75</v>
      </c>
      <c r="F209" s="118">
        <f>E209*(1+IVA)</f>
        <v/>
      </c>
      <c r="G209" s="118">
        <f>E209-D209</f>
        <v/>
      </c>
      <c r="H209" s="191">
        <f>IFERROR(G209/E209,0)</f>
        <v/>
      </c>
      <c r="I209" s="118">
        <f>F209*Comision_pago_pct+Comision_pago_fija</f>
        <v/>
      </c>
      <c r="J209" s="118">
        <f>IF(A209="Hevea",IF(F209&gt;=Hevea_umbral_envio_gratis,0,Hevea_coste_envio_bajo),Balliu_coste_envio)</f>
        <v/>
      </c>
      <c r="K209" s="118">
        <f>Tasa_devolucion*Coste_devolucion</f>
        <v/>
      </c>
      <c r="L209" s="118">
        <f>Tasa_incidencia*Coste_incidencia</f>
        <v/>
      </c>
      <c r="M209" s="118">
        <f>G209-I209-J209-K209-L209</f>
        <v/>
      </c>
      <c r="N209" s="191">
        <f>IFERROR(M209/E209,0)</f>
        <v/>
      </c>
      <c r="O209" s="118">
        <f>MAX(M209,0)</f>
        <v/>
      </c>
      <c r="P209" s="192">
        <f>IFERROR(F209/O209,0)</f>
        <v/>
      </c>
      <c r="Q209" s="193">
        <f>IF(N209&gt;=Umbral_PUSH_pct,IF(M209&gt;=Umbral_PUSH_eur,"PUSH","NEUTRAL"),IF(N209&gt;=Umbral_NEUTRAL_pct,"NEUTRAL",IF(N209&gt;=Umbral_WATCH_pct,"WATCH","NO ANUNCIAR")))</f>
        <v/>
      </c>
    </row>
    <row r="210">
      <c r="A210" s="122" t="inlineStr">
        <is>
          <t>Balliu</t>
        </is>
      </c>
      <c r="B210" s="122" t="inlineStr">
        <is>
          <t>BALLIU_DIAM_70_MESA_TABLERO_HPL_451E7BA8</t>
        </is>
      </c>
      <c r="C210" s="122" t="inlineStr">
        <is>
          <t>Mesa exterior HPL</t>
        </is>
      </c>
      <c r="D210" s="124" t="n">
        <v>187.58</v>
      </c>
      <c r="E210" s="124" t="n">
        <v>288.59</v>
      </c>
      <c r="F210" s="124">
        <f>E210*(1+IVA)</f>
        <v/>
      </c>
      <c r="G210" s="124">
        <f>E210-D210</f>
        <v/>
      </c>
      <c r="H210" s="194">
        <f>IFERROR(G210/E210,0)</f>
        <v/>
      </c>
      <c r="I210" s="124">
        <f>F210*Comision_pago_pct+Comision_pago_fija</f>
        <v/>
      </c>
      <c r="J210" s="124">
        <f>IF(A210="Hevea",IF(F210&gt;=Hevea_umbral_envio_gratis,0,Hevea_coste_envio_bajo),Balliu_coste_envio)</f>
        <v/>
      </c>
      <c r="K210" s="124">
        <f>Tasa_devolucion*Coste_devolucion</f>
        <v/>
      </c>
      <c r="L210" s="124">
        <f>Tasa_incidencia*Coste_incidencia</f>
        <v/>
      </c>
      <c r="M210" s="124">
        <f>G210-I210-J210-K210-L210</f>
        <v/>
      </c>
      <c r="N210" s="194">
        <f>IFERROR(M210/E210,0)</f>
        <v/>
      </c>
      <c r="O210" s="124">
        <f>MAX(M210,0)</f>
        <v/>
      </c>
      <c r="P210" s="195">
        <f>IFERROR(F210/O210,0)</f>
        <v/>
      </c>
      <c r="Q210" s="196">
        <f>IF(N210&gt;=Umbral_PUSH_pct,IF(M210&gt;=Umbral_PUSH_eur,"PUSH","NEUTRAL"),IF(N210&gt;=Umbral_NEUTRAL_pct,"NEUTRAL",IF(N210&gt;=Umbral_WATCH_pct,"WATCH","NO ANUNCIAR")))</f>
        <v/>
      </c>
    </row>
    <row r="211">
      <c r="A211" s="116" t="inlineStr">
        <is>
          <t>Balliu</t>
        </is>
      </c>
      <c r="B211" s="116" t="inlineStr">
        <is>
          <t>BALLIU_DIAM_70_MESA_TABLERO_HPL_GD_3ADFE773</t>
        </is>
      </c>
      <c r="C211" s="116" t="inlineStr">
        <is>
          <t>Mesa exterior HPL</t>
        </is>
      </c>
      <c r="D211" s="118" t="n">
        <v>208.21</v>
      </c>
      <c r="E211" s="118" t="n">
        <v>320.32</v>
      </c>
      <c r="F211" s="118">
        <f>E211*(1+IVA)</f>
        <v/>
      </c>
      <c r="G211" s="118">
        <f>E211-D211</f>
        <v/>
      </c>
      <c r="H211" s="191">
        <f>IFERROR(G211/E211,0)</f>
        <v/>
      </c>
      <c r="I211" s="118">
        <f>F211*Comision_pago_pct+Comision_pago_fija</f>
        <v/>
      </c>
      <c r="J211" s="118">
        <f>IF(A211="Hevea",IF(F211&gt;=Hevea_umbral_envio_gratis,0,Hevea_coste_envio_bajo),Balliu_coste_envio)</f>
        <v/>
      </c>
      <c r="K211" s="118">
        <f>Tasa_devolucion*Coste_devolucion</f>
        <v/>
      </c>
      <c r="L211" s="118">
        <f>Tasa_incidencia*Coste_incidencia</f>
        <v/>
      </c>
      <c r="M211" s="118">
        <f>G211-I211-J211-K211-L211</f>
        <v/>
      </c>
      <c r="N211" s="191">
        <f>IFERROR(M211/E211,0)</f>
        <v/>
      </c>
      <c r="O211" s="118">
        <f>MAX(M211,0)</f>
        <v/>
      </c>
      <c r="P211" s="192">
        <f>IFERROR(F211/O211,0)</f>
        <v/>
      </c>
      <c r="Q211" s="193">
        <f>IF(N211&gt;=Umbral_PUSH_pct,IF(M211&gt;=Umbral_PUSH_eur,"PUSH","NEUTRAL"),IF(N211&gt;=Umbral_NEUTRAL_pct,"NEUTRAL",IF(N211&gt;=Umbral_WATCH_pct,"WATCH","NO ANUNCIAR")))</f>
        <v/>
      </c>
    </row>
    <row r="212">
      <c r="A212" s="122" t="inlineStr">
        <is>
          <t>Balliu</t>
        </is>
      </c>
      <c r="B212" s="122" t="inlineStr">
        <is>
          <t>BALLIU_DIAM_80_MESA_TABLERO_HPL_65E3CA13</t>
        </is>
      </c>
      <c r="C212" s="122" t="inlineStr">
        <is>
          <t>Mesa exterior HPL</t>
        </is>
      </c>
      <c r="D212" s="124" t="n">
        <v>207.97</v>
      </c>
      <c r="E212" s="124" t="n">
        <v>319.95</v>
      </c>
      <c r="F212" s="124">
        <f>E212*(1+IVA)</f>
        <v/>
      </c>
      <c r="G212" s="124">
        <f>E212-D212</f>
        <v/>
      </c>
      <c r="H212" s="194">
        <f>IFERROR(G212/E212,0)</f>
        <v/>
      </c>
      <c r="I212" s="124">
        <f>F212*Comision_pago_pct+Comision_pago_fija</f>
        <v/>
      </c>
      <c r="J212" s="124">
        <f>IF(A212="Hevea",IF(F212&gt;=Hevea_umbral_envio_gratis,0,Hevea_coste_envio_bajo),Balliu_coste_envio)</f>
        <v/>
      </c>
      <c r="K212" s="124">
        <f>Tasa_devolucion*Coste_devolucion</f>
        <v/>
      </c>
      <c r="L212" s="124">
        <f>Tasa_incidencia*Coste_incidencia</f>
        <v/>
      </c>
      <c r="M212" s="124">
        <f>G212-I212-J212-K212-L212</f>
        <v/>
      </c>
      <c r="N212" s="194">
        <f>IFERROR(M212/E212,0)</f>
        <v/>
      </c>
      <c r="O212" s="124">
        <f>MAX(M212,0)</f>
        <v/>
      </c>
      <c r="P212" s="195">
        <f>IFERROR(F212/O212,0)</f>
        <v/>
      </c>
      <c r="Q212" s="196">
        <f>IF(N212&gt;=Umbral_PUSH_pct,IF(M212&gt;=Umbral_PUSH_eur,"PUSH","NEUTRAL"),IF(N212&gt;=Umbral_NEUTRAL_pct,"NEUTRAL",IF(N212&gt;=Umbral_WATCH_pct,"WATCH","NO ANUNCIAR")))</f>
        <v/>
      </c>
    </row>
    <row r="213">
      <c r="A213" s="116" t="inlineStr">
        <is>
          <t>Balliu</t>
        </is>
      </c>
      <c r="B213" s="116" t="inlineStr">
        <is>
          <t>BALLIU_DIAM_80_MESA_TABLERO_HPL_GD_1B4F3962</t>
        </is>
      </c>
      <c r="C213" s="116" t="inlineStr">
        <is>
          <t>Mesa exterior HPL</t>
        </is>
      </c>
      <c r="D213" s="118" t="n">
        <v>235.95</v>
      </c>
      <c r="E213" s="118" t="n">
        <v>363.01</v>
      </c>
      <c r="F213" s="118">
        <f>E213*(1+IVA)</f>
        <v/>
      </c>
      <c r="G213" s="118">
        <f>E213-D213</f>
        <v/>
      </c>
      <c r="H213" s="191">
        <f>IFERROR(G213/E213,0)</f>
        <v/>
      </c>
      <c r="I213" s="118">
        <f>F213*Comision_pago_pct+Comision_pago_fija</f>
        <v/>
      </c>
      <c r="J213" s="118">
        <f>IF(A213="Hevea",IF(F213&gt;=Hevea_umbral_envio_gratis,0,Hevea_coste_envio_bajo),Balliu_coste_envio)</f>
        <v/>
      </c>
      <c r="K213" s="118">
        <f>Tasa_devolucion*Coste_devolucion</f>
        <v/>
      </c>
      <c r="L213" s="118">
        <f>Tasa_incidencia*Coste_incidencia</f>
        <v/>
      </c>
      <c r="M213" s="118">
        <f>G213-I213-J213-K213-L213</f>
        <v/>
      </c>
      <c r="N213" s="191">
        <f>IFERROR(M213/E213,0)</f>
        <v/>
      </c>
      <c r="O213" s="118">
        <f>MAX(M213,0)</f>
        <v/>
      </c>
      <c r="P213" s="192">
        <f>IFERROR(F213/O213,0)</f>
        <v/>
      </c>
      <c r="Q213" s="193">
        <f>IF(N213&gt;=Umbral_PUSH_pct,IF(M213&gt;=Umbral_PUSH_eur,"PUSH","NEUTRAL"),IF(N213&gt;=Umbral_NEUTRAL_pct,"NEUTRAL",IF(N213&gt;=Umbral_WATCH_pct,"WATCH","NO ANUNCIAR")))</f>
        <v/>
      </c>
    </row>
    <row r="214">
      <c r="A214" s="122" t="inlineStr">
        <is>
          <t>Balliu</t>
        </is>
      </c>
      <c r="B214" s="122" t="inlineStr">
        <is>
          <t>BALLIU_CAPRI_MESA_DIAM_90_TABLE_HP_22901F1B</t>
        </is>
      </c>
      <c r="C214" s="122" t="inlineStr">
        <is>
          <t>Mesa exterior aluminio | Ø90 cm</t>
        </is>
      </c>
      <c r="D214" s="124" t="n">
        <v>209.41</v>
      </c>
      <c r="E214" s="124" t="n">
        <v>322.18</v>
      </c>
      <c r="F214" s="124">
        <f>E214*(1+IVA)</f>
        <v/>
      </c>
      <c r="G214" s="124">
        <f>E214-D214</f>
        <v/>
      </c>
      <c r="H214" s="194">
        <f>IFERROR(G214/E214,0)</f>
        <v/>
      </c>
      <c r="I214" s="124">
        <f>F214*Comision_pago_pct+Comision_pago_fija</f>
        <v/>
      </c>
      <c r="J214" s="124">
        <f>IF(A214="Hevea",IF(F214&gt;=Hevea_umbral_envio_gratis,0,Hevea_coste_envio_bajo),Balliu_coste_envio)</f>
        <v/>
      </c>
      <c r="K214" s="124">
        <f>Tasa_devolucion*Coste_devolucion</f>
        <v/>
      </c>
      <c r="L214" s="124">
        <f>Tasa_incidencia*Coste_incidencia</f>
        <v/>
      </c>
      <c r="M214" s="124">
        <f>G214-I214-J214-K214-L214</f>
        <v/>
      </c>
      <c r="N214" s="194">
        <f>IFERROR(M214/E214,0)</f>
        <v/>
      </c>
      <c r="O214" s="124">
        <f>MAX(M214,0)</f>
        <v/>
      </c>
      <c r="P214" s="195">
        <f>IFERROR(F214/O214,0)</f>
        <v/>
      </c>
      <c r="Q214" s="196">
        <f>IF(N214&gt;=Umbral_PUSH_pct,IF(M214&gt;=Umbral_PUSH_eur,"PUSH","NEUTRAL"),IF(N214&gt;=Umbral_NEUTRAL_pct,"NEUTRAL",IF(N214&gt;=Umbral_WATCH_pct,"WATCH","NO ANUNCIAR")))</f>
        <v/>
      </c>
    </row>
    <row r="215">
      <c r="A215" s="116" t="inlineStr">
        <is>
          <t>Balliu</t>
        </is>
      </c>
      <c r="B215" s="116" t="inlineStr">
        <is>
          <t>BALLIU_CAPRI_MESA_DIAM_90_TABLE_HP_6C6DFD1C</t>
        </is>
      </c>
      <c r="C215" s="116" t="inlineStr">
        <is>
          <t>Mesa exterior aluminio | Ø90 cm</t>
        </is>
      </c>
      <c r="D215" s="118" t="n">
        <v>237.88</v>
      </c>
      <c r="E215" s="118" t="n">
        <v>365.97</v>
      </c>
      <c r="F215" s="118">
        <f>E215*(1+IVA)</f>
        <v/>
      </c>
      <c r="G215" s="118">
        <f>E215-D215</f>
        <v/>
      </c>
      <c r="H215" s="191">
        <f>IFERROR(G215/E215,0)</f>
        <v/>
      </c>
      <c r="I215" s="118">
        <f>F215*Comision_pago_pct+Comision_pago_fija</f>
        <v/>
      </c>
      <c r="J215" s="118">
        <f>IF(A215="Hevea",IF(F215&gt;=Hevea_umbral_envio_gratis,0,Hevea_coste_envio_bajo),Balliu_coste_envio)</f>
        <v/>
      </c>
      <c r="K215" s="118">
        <f>Tasa_devolucion*Coste_devolucion</f>
        <v/>
      </c>
      <c r="L215" s="118">
        <f>Tasa_incidencia*Coste_incidencia</f>
        <v/>
      </c>
      <c r="M215" s="118">
        <f>G215-I215-J215-K215-L215</f>
        <v/>
      </c>
      <c r="N215" s="191">
        <f>IFERROR(M215/E215,0)</f>
        <v/>
      </c>
      <c r="O215" s="118">
        <f>MAX(M215,0)</f>
        <v/>
      </c>
      <c r="P215" s="192">
        <f>IFERROR(F215/O215,0)</f>
        <v/>
      </c>
      <c r="Q215" s="193">
        <f>IF(N215&gt;=Umbral_PUSH_pct,IF(M215&gt;=Umbral_PUSH_eur,"PUSH","NEUTRAL"),IF(N215&gt;=Umbral_NEUTRAL_pct,"NEUTRAL",IF(N215&gt;=Umbral_WATCH_pct,"WATCH","NO ANUNCIAR")))</f>
        <v/>
      </c>
    </row>
    <row r="216">
      <c r="A216" s="122" t="inlineStr">
        <is>
          <t>Balliu</t>
        </is>
      </c>
      <c r="B216" s="122" t="inlineStr">
        <is>
          <t>BALLIU_CAPRI_MESA_70X70_PIE_SIMPLE_724B0DB0</t>
        </is>
      </c>
      <c r="C216" s="122" t="inlineStr">
        <is>
          <t>Mesa exterior aluminio | 70×70 cm</t>
        </is>
      </c>
      <c r="D216" s="124" t="n">
        <v>203.29</v>
      </c>
      <c r="E216" s="124" t="n">
        <v>312.75</v>
      </c>
      <c r="F216" s="124">
        <f>E216*(1+IVA)</f>
        <v/>
      </c>
      <c r="G216" s="124">
        <f>E216-D216</f>
        <v/>
      </c>
      <c r="H216" s="194">
        <f>IFERROR(G216/E216,0)</f>
        <v/>
      </c>
      <c r="I216" s="124">
        <f>F216*Comision_pago_pct+Comision_pago_fija</f>
        <v/>
      </c>
      <c r="J216" s="124">
        <f>IF(A216="Hevea",IF(F216&gt;=Hevea_umbral_envio_gratis,0,Hevea_coste_envio_bajo),Balliu_coste_envio)</f>
        <v/>
      </c>
      <c r="K216" s="124">
        <f>Tasa_devolucion*Coste_devolucion</f>
        <v/>
      </c>
      <c r="L216" s="124">
        <f>Tasa_incidencia*Coste_incidencia</f>
        <v/>
      </c>
      <c r="M216" s="124">
        <f>G216-I216-J216-K216-L216</f>
        <v/>
      </c>
      <c r="N216" s="194">
        <f>IFERROR(M216/E216,0)</f>
        <v/>
      </c>
      <c r="O216" s="124">
        <f>MAX(M216,0)</f>
        <v/>
      </c>
      <c r="P216" s="195">
        <f>IFERROR(F216/O216,0)</f>
        <v/>
      </c>
      <c r="Q216" s="196">
        <f>IF(N216&gt;=Umbral_PUSH_pct,IF(M216&gt;=Umbral_PUSH_eur,"PUSH","NEUTRAL"),IF(N216&gt;=Umbral_NEUTRAL_pct,"NEUTRAL",IF(N216&gt;=Umbral_WATCH_pct,"WATCH","NO ANUNCIAR")))</f>
        <v/>
      </c>
    </row>
    <row r="217">
      <c r="A217" s="116" t="inlineStr">
        <is>
          <t>Balliu</t>
        </is>
      </c>
      <c r="B217" s="116" t="inlineStr">
        <is>
          <t>BALLIU_CAPRI_MESA_70X70_PIE_SIMPLE_A0A23F40</t>
        </is>
      </c>
      <c r="C217" s="116" t="inlineStr">
        <is>
          <t>Mesa exterior aluminio | 70×70 cm</t>
        </is>
      </c>
      <c r="D217" s="118" t="n">
        <v>232.21</v>
      </c>
      <c r="E217" s="118" t="n">
        <v>357.25</v>
      </c>
      <c r="F217" s="118">
        <f>E217*(1+IVA)</f>
        <v/>
      </c>
      <c r="G217" s="118">
        <f>E217-D217</f>
        <v/>
      </c>
      <c r="H217" s="191">
        <f>IFERROR(G217/E217,0)</f>
        <v/>
      </c>
      <c r="I217" s="118">
        <f>F217*Comision_pago_pct+Comision_pago_fija</f>
        <v/>
      </c>
      <c r="J217" s="118">
        <f>IF(A217="Hevea",IF(F217&gt;=Hevea_umbral_envio_gratis,0,Hevea_coste_envio_bajo),Balliu_coste_envio)</f>
        <v/>
      </c>
      <c r="K217" s="118">
        <f>Tasa_devolucion*Coste_devolucion</f>
        <v/>
      </c>
      <c r="L217" s="118">
        <f>Tasa_incidencia*Coste_incidencia</f>
        <v/>
      </c>
      <c r="M217" s="118">
        <f>G217-I217-J217-K217-L217</f>
        <v/>
      </c>
      <c r="N217" s="191">
        <f>IFERROR(M217/E217,0)</f>
        <v/>
      </c>
      <c r="O217" s="118">
        <f>MAX(M217,0)</f>
        <v/>
      </c>
      <c r="P217" s="192">
        <f>IFERROR(F217/O217,0)</f>
        <v/>
      </c>
      <c r="Q217" s="193">
        <f>IF(N217&gt;=Umbral_PUSH_pct,IF(M217&gt;=Umbral_PUSH_eur,"PUSH","NEUTRAL"),IF(N217&gt;=Umbral_NEUTRAL_pct,"NEUTRAL",IF(N217&gt;=Umbral_WATCH_pct,"WATCH","NO ANUNCIAR")))</f>
        <v/>
      </c>
    </row>
    <row r="218">
      <c r="A218" s="122" t="inlineStr">
        <is>
          <t>Balliu</t>
        </is>
      </c>
      <c r="B218" s="122" t="inlineStr">
        <is>
          <t>BALLIU_CAPRI_MESA_80X80_PIE_SIMPLE_2A80CB3A</t>
        </is>
      </c>
      <c r="C218" s="122" t="inlineStr">
        <is>
          <t>Mesa exterior aluminio | 80×80 cm</t>
        </is>
      </c>
      <c r="D218" s="124" t="n">
        <v>218.28</v>
      </c>
      <c r="E218" s="124" t="n">
        <v>335.82</v>
      </c>
      <c r="F218" s="124">
        <f>E218*(1+IVA)</f>
        <v/>
      </c>
      <c r="G218" s="124">
        <f>E218-D218</f>
        <v/>
      </c>
      <c r="H218" s="194">
        <f>IFERROR(G218/E218,0)</f>
        <v/>
      </c>
      <c r="I218" s="124">
        <f>F218*Comision_pago_pct+Comision_pago_fija</f>
        <v/>
      </c>
      <c r="J218" s="124">
        <f>IF(A218="Hevea",IF(F218&gt;=Hevea_umbral_envio_gratis,0,Hevea_coste_envio_bajo),Balliu_coste_envio)</f>
        <v/>
      </c>
      <c r="K218" s="124">
        <f>Tasa_devolucion*Coste_devolucion</f>
        <v/>
      </c>
      <c r="L218" s="124">
        <f>Tasa_incidencia*Coste_incidencia</f>
        <v/>
      </c>
      <c r="M218" s="124">
        <f>G218-I218-J218-K218-L218</f>
        <v/>
      </c>
      <c r="N218" s="194">
        <f>IFERROR(M218/E218,0)</f>
        <v/>
      </c>
      <c r="O218" s="124">
        <f>MAX(M218,0)</f>
        <v/>
      </c>
      <c r="P218" s="195">
        <f>IFERROR(F218/O218,0)</f>
        <v/>
      </c>
      <c r="Q218" s="196">
        <f>IF(N218&gt;=Umbral_PUSH_pct,IF(M218&gt;=Umbral_PUSH_eur,"PUSH","NEUTRAL"),IF(N218&gt;=Umbral_NEUTRAL_pct,"NEUTRAL",IF(N218&gt;=Umbral_WATCH_pct,"WATCH","NO ANUNCIAR")))</f>
        <v/>
      </c>
    </row>
    <row r="219">
      <c r="A219" s="116" t="inlineStr">
        <is>
          <t>Balliu</t>
        </is>
      </c>
      <c r="B219" s="116" t="inlineStr">
        <is>
          <t>BALLIU_CAPRI_MESA_80X80_PIE_SIMPLE_8CA835FF</t>
        </is>
      </c>
      <c r="C219" s="116" t="inlineStr">
        <is>
          <t>Mesa exterior aluminio | 80×80 cm</t>
        </is>
      </c>
      <c r="D219" s="118" t="n">
        <v>228.9</v>
      </c>
      <c r="E219" s="118" t="n">
        <v>352.15</v>
      </c>
      <c r="F219" s="118">
        <f>E219*(1+IVA)</f>
        <v/>
      </c>
      <c r="G219" s="118">
        <f>E219-D219</f>
        <v/>
      </c>
      <c r="H219" s="191">
        <f>IFERROR(G219/E219,0)</f>
        <v/>
      </c>
      <c r="I219" s="118">
        <f>F219*Comision_pago_pct+Comision_pago_fija</f>
        <v/>
      </c>
      <c r="J219" s="118">
        <f>IF(A219="Hevea",IF(F219&gt;=Hevea_umbral_envio_gratis,0,Hevea_coste_envio_bajo),Balliu_coste_envio)</f>
        <v/>
      </c>
      <c r="K219" s="118">
        <f>Tasa_devolucion*Coste_devolucion</f>
        <v/>
      </c>
      <c r="L219" s="118">
        <f>Tasa_incidencia*Coste_incidencia</f>
        <v/>
      </c>
      <c r="M219" s="118">
        <f>G219-I219-J219-K219-L219</f>
        <v/>
      </c>
      <c r="N219" s="191">
        <f>IFERROR(M219/E219,0)</f>
        <v/>
      </c>
      <c r="O219" s="118">
        <f>MAX(M219,0)</f>
        <v/>
      </c>
      <c r="P219" s="192">
        <f>IFERROR(F219/O219,0)</f>
        <v/>
      </c>
      <c r="Q219" s="193">
        <f>IF(N219&gt;=Umbral_PUSH_pct,IF(M219&gt;=Umbral_PUSH_eur,"PUSH","NEUTRAL"),IF(N219&gt;=Umbral_NEUTRAL_pct,"NEUTRAL",IF(N219&gt;=Umbral_WATCH_pct,"WATCH","NO ANUNCIAR")))</f>
        <v/>
      </c>
    </row>
    <row r="220">
      <c r="A220" s="122" t="inlineStr">
        <is>
          <t>Balliu</t>
        </is>
      </c>
      <c r="B220" s="122" t="inlineStr">
        <is>
          <t>BALLIU_CAPRI_MESA_120X80_PIE_DOBLE_5C848C82</t>
        </is>
      </c>
      <c r="C220" s="122" t="inlineStr">
        <is>
          <t>Mesa exterior aluminio | 120×80 cm</t>
        </is>
      </c>
      <c r="D220" s="124" t="n">
        <v>285.53</v>
      </c>
      <c r="E220" s="124" t="n">
        <v>439.28</v>
      </c>
      <c r="F220" s="124">
        <f>E220*(1+IVA)</f>
        <v/>
      </c>
      <c r="G220" s="124">
        <f>E220-D220</f>
        <v/>
      </c>
      <c r="H220" s="194">
        <f>IFERROR(G220/E220,0)</f>
        <v/>
      </c>
      <c r="I220" s="124">
        <f>F220*Comision_pago_pct+Comision_pago_fija</f>
        <v/>
      </c>
      <c r="J220" s="124">
        <f>IF(A220="Hevea",IF(F220&gt;=Hevea_umbral_envio_gratis,0,Hevea_coste_envio_bajo),Balliu_coste_envio)</f>
        <v/>
      </c>
      <c r="K220" s="124">
        <f>Tasa_devolucion*Coste_devolucion</f>
        <v/>
      </c>
      <c r="L220" s="124">
        <f>Tasa_incidencia*Coste_incidencia</f>
        <v/>
      </c>
      <c r="M220" s="124">
        <f>G220-I220-J220-K220-L220</f>
        <v/>
      </c>
      <c r="N220" s="194">
        <f>IFERROR(M220/E220,0)</f>
        <v/>
      </c>
      <c r="O220" s="124">
        <f>MAX(M220,0)</f>
        <v/>
      </c>
      <c r="P220" s="195">
        <f>IFERROR(F220/O220,0)</f>
        <v/>
      </c>
      <c r="Q220" s="196">
        <f>IF(N220&gt;=Umbral_PUSH_pct,IF(M220&gt;=Umbral_PUSH_eur,"PUSH","NEUTRAL"),IF(N220&gt;=Umbral_NEUTRAL_pct,"NEUTRAL",IF(N220&gt;=Umbral_WATCH_pct,"WATCH","NO ANUNCIAR")))</f>
        <v/>
      </c>
    </row>
    <row r="221">
      <c r="A221" s="116" t="inlineStr">
        <is>
          <t>Balliu</t>
        </is>
      </c>
      <c r="B221" s="116" t="inlineStr">
        <is>
          <t>BALLIU_CAPRI_MESA_120X80_PIE_DOBLE_798DCADF</t>
        </is>
      </c>
      <c r="C221" s="116" t="inlineStr">
        <is>
          <t>Mesa exterior aluminio | 120×80 cm</t>
        </is>
      </c>
      <c r="D221" s="118" t="n">
        <v>334.63</v>
      </c>
      <c r="E221" s="118" t="n">
        <v>514.8200000000001</v>
      </c>
      <c r="F221" s="118">
        <f>E221*(1+IVA)</f>
        <v/>
      </c>
      <c r="G221" s="118">
        <f>E221-D221</f>
        <v/>
      </c>
      <c r="H221" s="191">
        <f>IFERROR(G221/E221,0)</f>
        <v/>
      </c>
      <c r="I221" s="118">
        <f>F221*Comision_pago_pct+Comision_pago_fija</f>
        <v/>
      </c>
      <c r="J221" s="118">
        <f>IF(A221="Hevea",IF(F221&gt;=Hevea_umbral_envio_gratis,0,Hevea_coste_envio_bajo),Balliu_coste_envio)</f>
        <v/>
      </c>
      <c r="K221" s="118">
        <f>Tasa_devolucion*Coste_devolucion</f>
        <v/>
      </c>
      <c r="L221" s="118">
        <f>Tasa_incidencia*Coste_incidencia</f>
        <v/>
      </c>
      <c r="M221" s="118">
        <f>G221-I221-J221-K221-L221</f>
        <v/>
      </c>
      <c r="N221" s="191">
        <f>IFERROR(M221/E221,0)</f>
        <v/>
      </c>
      <c r="O221" s="118">
        <f>MAX(M221,0)</f>
        <v/>
      </c>
      <c r="P221" s="192">
        <f>IFERROR(F221/O221,0)</f>
        <v/>
      </c>
      <c r="Q221" s="193">
        <f>IF(N221&gt;=Umbral_PUSH_pct,IF(M221&gt;=Umbral_PUSH_eur,"PUSH","NEUTRAL"),IF(N221&gt;=Umbral_NEUTRAL_pct,"NEUTRAL",IF(N221&gt;=Umbral_WATCH_pct,"WATCH","NO ANUNCIAR")))</f>
        <v/>
      </c>
    </row>
    <row r="222">
      <c r="A222" s="122" t="inlineStr">
        <is>
          <t>Balliu</t>
        </is>
      </c>
      <c r="B222" s="122" t="inlineStr">
        <is>
          <t>BALLIU_CAPRI_MESA_120X80_PIE_DOBLE_3C3BF077</t>
        </is>
      </c>
      <c r="C222" s="122" t="inlineStr">
        <is>
          <t>Mesa exterior aluminio | 120×80 cm</t>
        </is>
      </c>
      <c r="D222" s="124" t="n">
        <v>325.1</v>
      </c>
      <c r="E222" s="124" t="n">
        <v>500.15</v>
      </c>
      <c r="F222" s="124">
        <f>E222*(1+IVA)</f>
        <v/>
      </c>
      <c r="G222" s="124">
        <f>E222-D222</f>
        <v/>
      </c>
      <c r="H222" s="194">
        <f>IFERROR(G222/E222,0)</f>
        <v/>
      </c>
      <c r="I222" s="124">
        <f>F222*Comision_pago_pct+Comision_pago_fija</f>
        <v/>
      </c>
      <c r="J222" s="124">
        <f>IF(A222="Hevea",IF(F222&gt;=Hevea_umbral_envio_gratis,0,Hevea_coste_envio_bajo),Balliu_coste_envio)</f>
        <v/>
      </c>
      <c r="K222" s="124">
        <f>Tasa_devolucion*Coste_devolucion</f>
        <v/>
      </c>
      <c r="L222" s="124">
        <f>Tasa_incidencia*Coste_incidencia</f>
        <v/>
      </c>
      <c r="M222" s="124">
        <f>G222-I222-J222-K222-L222</f>
        <v/>
      </c>
      <c r="N222" s="194">
        <f>IFERROR(M222/E222,0)</f>
        <v/>
      </c>
      <c r="O222" s="124">
        <f>MAX(M222,0)</f>
        <v/>
      </c>
      <c r="P222" s="195">
        <f>IFERROR(F222/O222,0)</f>
        <v/>
      </c>
      <c r="Q222" s="196">
        <f>IF(N222&gt;=Umbral_PUSH_pct,IF(M222&gt;=Umbral_PUSH_eur,"PUSH","NEUTRAL"),IF(N222&gt;=Umbral_NEUTRAL_pct,"NEUTRAL",IF(N222&gt;=Umbral_WATCH_pct,"WATCH","NO ANUNCIAR")))</f>
        <v/>
      </c>
    </row>
    <row r="223">
      <c r="A223" s="116" t="inlineStr">
        <is>
          <t>Balliu</t>
        </is>
      </c>
      <c r="B223" s="116" t="inlineStr">
        <is>
          <t>BALLIU_CAPRI_MESA_120X80_PIE_DOBLE_05C442CF</t>
        </is>
      </c>
      <c r="C223" s="116" t="inlineStr">
        <is>
          <t>Mesa exterior aluminio | 120×80 cm</t>
        </is>
      </c>
      <c r="D223" s="118" t="n">
        <v>358.03</v>
      </c>
      <c r="E223" s="118" t="n">
        <v>550.8200000000001</v>
      </c>
      <c r="F223" s="118">
        <f>E223*(1+IVA)</f>
        <v/>
      </c>
      <c r="G223" s="118">
        <f>E223-D223</f>
        <v/>
      </c>
      <c r="H223" s="191">
        <f>IFERROR(G223/E223,0)</f>
        <v/>
      </c>
      <c r="I223" s="118">
        <f>F223*Comision_pago_pct+Comision_pago_fija</f>
        <v/>
      </c>
      <c r="J223" s="118">
        <f>IF(A223="Hevea",IF(F223&gt;=Hevea_umbral_envio_gratis,0,Hevea_coste_envio_bajo),Balliu_coste_envio)</f>
        <v/>
      </c>
      <c r="K223" s="118">
        <f>Tasa_devolucion*Coste_devolucion</f>
        <v/>
      </c>
      <c r="L223" s="118">
        <f>Tasa_incidencia*Coste_incidencia</f>
        <v/>
      </c>
      <c r="M223" s="118">
        <f>G223-I223-J223-K223-L223</f>
        <v/>
      </c>
      <c r="N223" s="191">
        <f>IFERROR(M223/E223,0)</f>
        <v/>
      </c>
      <c r="O223" s="118">
        <f>MAX(M223,0)</f>
        <v/>
      </c>
      <c r="P223" s="192">
        <f>IFERROR(F223/O223,0)</f>
        <v/>
      </c>
      <c r="Q223" s="193">
        <f>IF(N223&gt;=Umbral_PUSH_pct,IF(M223&gt;=Umbral_PUSH_eur,"PUSH","NEUTRAL"),IF(N223&gt;=Umbral_NEUTRAL_pct,"NEUTRAL",IF(N223&gt;=Umbral_WATCH_pct,"WATCH","NO ANUNCIAR")))</f>
        <v/>
      </c>
    </row>
    <row r="224">
      <c r="A224" s="122" t="inlineStr">
        <is>
          <t>Balliu</t>
        </is>
      </c>
      <c r="B224" s="122" t="inlineStr">
        <is>
          <t>BALLIU_60X60_MESA_ALTA_TABLERO_HPL_GD_A3352658</t>
        </is>
      </c>
      <c r="C224" s="122" t="inlineStr">
        <is>
          <t>Mesa alta exterior HPL</t>
        </is>
      </c>
      <c r="D224" s="124" t="n">
        <v>245.33</v>
      </c>
      <c r="E224" s="124" t="n">
        <v>377.43</v>
      </c>
      <c r="F224" s="124">
        <f>E224*(1+IVA)</f>
        <v/>
      </c>
      <c r="G224" s="124">
        <f>E224-D224</f>
        <v/>
      </c>
      <c r="H224" s="194">
        <f>IFERROR(G224/E224,0)</f>
        <v/>
      </c>
      <c r="I224" s="124">
        <f>F224*Comision_pago_pct+Comision_pago_fija</f>
        <v/>
      </c>
      <c r="J224" s="124">
        <f>IF(A224="Hevea",IF(F224&gt;=Hevea_umbral_envio_gratis,0,Hevea_coste_envio_bajo),Balliu_coste_envio)</f>
        <v/>
      </c>
      <c r="K224" s="124">
        <f>Tasa_devolucion*Coste_devolucion</f>
        <v/>
      </c>
      <c r="L224" s="124">
        <f>Tasa_incidencia*Coste_incidencia</f>
        <v/>
      </c>
      <c r="M224" s="124">
        <f>G224-I224-J224-K224-L224</f>
        <v/>
      </c>
      <c r="N224" s="194">
        <f>IFERROR(M224/E224,0)</f>
        <v/>
      </c>
      <c r="O224" s="124">
        <f>MAX(M224,0)</f>
        <v/>
      </c>
      <c r="P224" s="195">
        <f>IFERROR(F224/O224,0)</f>
        <v/>
      </c>
      <c r="Q224" s="196">
        <f>IF(N224&gt;=Umbral_PUSH_pct,IF(M224&gt;=Umbral_PUSH_eur,"PUSH","NEUTRAL"),IF(N224&gt;=Umbral_NEUTRAL_pct,"NEUTRAL",IF(N224&gt;=Umbral_WATCH_pct,"WATCH","NO ANUNCIAR")))</f>
        <v/>
      </c>
    </row>
    <row r="225">
      <c r="A225" s="116" t="inlineStr">
        <is>
          <t>Balliu</t>
        </is>
      </c>
      <c r="B225" s="116" t="inlineStr">
        <is>
          <t>BALLIU_60X60_MESA_ALTA_TABLERO_HPL_GD_A3352658</t>
        </is>
      </c>
      <c r="C225" s="116" t="inlineStr">
        <is>
          <t>Mesa alta exterior HPL</t>
        </is>
      </c>
      <c r="D225" s="118" t="n">
        <v>263.01</v>
      </c>
      <c r="E225" s="118" t="n">
        <v>404.63</v>
      </c>
      <c r="F225" s="118">
        <f>E225*(1+IVA)</f>
        <v/>
      </c>
      <c r="G225" s="118">
        <f>E225-D225</f>
        <v/>
      </c>
      <c r="H225" s="191">
        <f>IFERROR(G225/E225,0)</f>
        <v/>
      </c>
      <c r="I225" s="118">
        <f>F225*Comision_pago_pct+Comision_pago_fija</f>
        <v/>
      </c>
      <c r="J225" s="118">
        <f>IF(A225="Hevea",IF(F225&gt;=Hevea_umbral_envio_gratis,0,Hevea_coste_envio_bajo),Balliu_coste_envio)</f>
        <v/>
      </c>
      <c r="K225" s="118">
        <f>Tasa_devolucion*Coste_devolucion</f>
        <v/>
      </c>
      <c r="L225" s="118">
        <f>Tasa_incidencia*Coste_incidencia</f>
        <v/>
      </c>
      <c r="M225" s="118">
        <f>G225-I225-J225-K225-L225</f>
        <v/>
      </c>
      <c r="N225" s="191">
        <f>IFERROR(M225/E225,0)</f>
        <v/>
      </c>
      <c r="O225" s="118">
        <f>MAX(M225,0)</f>
        <v/>
      </c>
      <c r="P225" s="192">
        <f>IFERROR(F225/O225,0)</f>
        <v/>
      </c>
      <c r="Q225" s="193">
        <f>IF(N225&gt;=Umbral_PUSH_pct,IF(M225&gt;=Umbral_PUSH_eur,"PUSH","NEUTRAL"),IF(N225&gt;=Umbral_NEUTRAL_pct,"NEUTRAL",IF(N225&gt;=Umbral_WATCH_pct,"WATCH","NO ANUNCIAR")))</f>
        <v/>
      </c>
    </row>
    <row r="226">
      <c r="A226" s="122" t="inlineStr">
        <is>
          <t>Balliu</t>
        </is>
      </c>
      <c r="B226" s="122" t="inlineStr">
        <is>
          <t>BALLIU_70X70_MESA_ALTA_TABLERO_HPL_94512EAB</t>
        </is>
      </c>
      <c r="C226" s="122" t="inlineStr">
        <is>
          <t>Mesa alta exterior HPL</t>
        </is>
      </c>
      <c r="D226" s="124" t="n">
        <v>283.88</v>
      </c>
      <c r="E226" s="124" t="n">
        <v>436.74</v>
      </c>
      <c r="F226" s="124">
        <f>E226*(1+IVA)</f>
        <v/>
      </c>
      <c r="G226" s="124">
        <f>E226-D226</f>
        <v/>
      </c>
      <c r="H226" s="194">
        <f>IFERROR(G226/E226,0)</f>
        <v/>
      </c>
      <c r="I226" s="124">
        <f>F226*Comision_pago_pct+Comision_pago_fija</f>
        <v/>
      </c>
      <c r="J226" s="124">
        <f>IF(A226="Hevea",IF(F226&gt;=Hevea_umbral_envio_gratis,0,Hevea_coste_envio_bajo),Balliu_coste_envio)</f>
        <v/>
      </c>
      <c r="K226" s="124">
        <f>Tasa_devolucion*Coste_devolucion</f>
        <v/>
      </c>
      <c r="L226" s="124">
        <f>Tasa_incidencia*Coste_incidencia</f>
        <v/>
      </c>
      <c r="M226" s="124">
        <f>G226-I226-J226-K226-L226</f>
        <v/>
      </c>
      <c r="N226" s="194">
        <f>IFERROR(M226/E226,0)</f>
        <v/>
      </c>
      <c r="O226" s="124">
        <f>MAX(M226,0)</f>
        <v/>
      </c>
      <c r="P226" s="195">
        <f>IFERROR(F226/O226,0)</f>
        <v/>
      </c>
      <c r="Q226" s="196">
        <f>IF(N226&gt;=Umbral_PUSH_pct,IF(M226&gt;=Umbral_PUSH_eur,"PUSH","NEUTRAL"),IF(N226&gt;=Umbral_NEUTRAL_pct,"NEUTRAL",IF(N226&gt;=Umbral_WATCH_pct,"WATCH","NO ANUNCIAR")))</f>
        <v/>
      </c>
    </row>
    <row r="227">
      <c r="A227" s="116" t="inlineStr">
        <is>
          <t>Balliu</t>
        </is>
      </c>
      <c r="B227" s="116" t="inlineStr">
        <is>
          <t>BALLIU_70X70_MESA_ALTA_TABLERO_HPL_GD_5D74130E</t>
        </is>
      </c>
      <c r="C227" s="116" t="inlineStr">
        <is>
          <t>Mesa alta exterior HPL</t>
        </is>
      </c>
      <c r="D227" s="118" t="n">
        <v>317.28</v>
      </c>
      <c r="E227" s="118" t="n">
        <v>488.12</v>
      </c>
      <c r="F227" s="118">
        <f>E227*(1+IVA)</f>
        <v/>
      </c>
      <c r="G227" s="118">
        <f>E227-D227</f>
        <v/>
      </c>
      <c r="H227" s="191">
        <f>IFERROR(G227/E227,0)</f>
        <v/>
      </c>
      <c r="I227" s="118">
        <f>F227*Comision_pago_pct+Comision_pago_fija</f>
        <v/>
      </c>
      <c r="J227" s="118">
        <f>IF(A227="Hevea",IF(F227&gt;=Hevea_umbral_envio_gratis,0,Hevea_coste_envio_bajo),Balliu_coste_envio)</f>
        <v/>
      </c>
      <c r="K227" s="118">
        <f>Tasa_devolucion*Coste_devolucion</f>
        <v/>
      </c>
      <c r="L227" s="118">
        <f>Tasa_incidencia*Coste_incidencia</f>
        <v/>
      </c>
      <c r="M227" s="118">
        <f>G227-I227-J227-K227-L227</f>
        <v/>
      </c>
      <c r="N227" s="191">
        <f>IFERROR(M227/E227,0)</f>
        <v/>
      </c>
      <c r="O227" s="118">
        <f>MAX(M227,0)</f>
        <v/>
      </c>
      <c r="P227" s="192">
        <f>IFERROR(F227/O227,0)</f>
        <v/>
      </c>
      <c r="Q227" s="193">
        <f>IF(N227&gt;=Umbral_PUSH_pct,IF(M227&gt;=Umbral_PUSH_eur,"PUSH","NEUTRAL"),IF(N227&gt;=Umbral_NEUTRAL_pct,"NEUTRAL",IF(N227&gt;=Umbral_WATCH_pct,"WATCH","NO ANUNCIAR")))</f>
        <v/>
      </c>
    </row>
    <row r="228">
      <c r="A228" s="122" t="inlineStr">
        <is>
          <t>Balliu</t>
        </is>
      </c>
      <c r="B228" s="122" t="inlineStr">
        <is>
          <t>BALLIU_SOFIA_MESA_70X70_TABLERO_HP_9D14E31F</t>
        </is>
      </c>
      <c r="C228" s="122" t="inlineStr">
        <is>
          <t>Mesa exterior HPL | 70×70 cm</t>
        </is>
      </c>
      <c r="D228" s="124" t="n">
        <v>178.35</v>
      </c>
      <c r="E228" s="124" t="n">
        <v>274.39</v>
      </c>
      <c r="F228" s="124">
        <f>E228*(1+IVA)</f>
        <v/>
      </c>
      <c r="G228" s="124">
        <f>E228-D228</f>
        <v/>
      </c>
      <c r="H228" s="194">
        <f>IFERROR(G228/E228,0)</f>
        <v/>
      </c>
      <c r="I228" s="124">
        <f>F228*Comision_pago_pct+Comision_pago_fija</f>
        <v/>
      </c>
      <c r="J228" s="124">
        <f>IF(A228="Hevea",IF(F228&gt;=Hevea_umbral_envio_gratis,0,Hevea_coste_envio_bajo),Balliu_coste_envio)</f>
        <v/>
      </c>
      <c r="K228" s="124">
        <f>Tasa_devolucion*Coste_devolucion</f>
        <v/>
      </c>
      <c r="L228" s="124">
        <f>Tasa_incidencia*Coste_incidencia</f>
        <v/>
      </c>
      <c r="M228" s="124">
        <f>G228-I228-J228-K228-L228</f>
        <v/>
      </c>
      <c r="N228" s="194">
        <f>IFERROR(M228/E228,0)</f>
        <v/>
      </c>
      <c r="O228" s="124">
        <f>MAX(M228,0)</f>
        <v/>
      </c>
      <c r="P228" s="195">
        <f>IFERROR(F228/O228,0)</f>
        <v/>
      </c>
      <c r="Q228" s="196">
        <f>IF(N228&gt;=Umbral_PUSH_pct,IF(M228&gt;=Umbral_PUSH_eur,"PUSH","NEUTRAL"),IF(N228&gt;=Umbral_NEUTRAL_pct,"NEUTRAL",IF(N228&gt;=Umbral_WATCH_pct,"WATCH","NO ANUNCIAR")))</f>
        <v/>
      </c>
    </row>
    <row r="229">
      <c r="A229" s="116" t="inlineStr">
        <is>
          <t>Balliu</t>
        </is>
      </c>
      <c r="B229" s="116" t="inlineStr">
        <is>
          <t>BALLIU_SOFIA_MESA_70X70_TABLERO_HP_146F72CA</t>
        </is>
      </c>
      <c r="C229" s="116" t="inlineStr">
        <is>
          <t>Mesa exterior HPL | 70×70 cm</t>
        </is>
      </c>
      <c r="D229" s="118" t="n">
        <v>177.5</v>
      </c>
      <c r="E229" s="118" t="n">
        <v>273.08</v>
      </c>
      <c r="F229" s="118">
        <f>E229*(1+IVA)</f>
        <v/>
      </c>
      <c r="G229" s="118">
        <f>E229-D229</f>
        <v/>
      </c>
      <c r="H229" s="191">
        <f>IFERROR(G229/E229,0)</f>
        <v/>
      </c>
      <c r="I229" s="118">
        <f>F229*Comision_pago_pct+Comision_pago_fija</f>
        <v/>
      </c>
      <c r="J229" s="118">
        <f>IF(A229="Hevea",IF(F229&gt;=Hevea_umbral_envio_gratis,0,Hevea_coste_envio_bajo),Balliu_coste_envio)</f>
        <v/>
      </c>
      <c r="K229" s="118">
        <f>Tasa_devolucion*Coste_devolucion</f>
        <v/>
      </c>
      <c r="L229" s="118">
        <f>Tasa_incidencia*Coste_incidencia</f>
        <v/>
      </c>
      <c r="M229" s="118">
        <f>G229-I229-J229-K229-L229</f>
        <v/>
      </c>
      <c r="N229" s="191">
        <f>IFERROR(M229/E229,0)</f>
        <v/>
      </c>
      <c r="O229" s="118">
        <f>MAX(M229,0)</f>
        <v/>
      </c>
      <c r="P229" s="192">
        <f>IFERROR(F229/O229,0)</f>
        <v/>
      </c>
      <c r="Q229" s="193">
        <f>IF(N229&gt;=Umbral_PUSH_pct,IF(M229&gt;=Umbral_PUSH_eur,"PUSH","NEUTRAL"),IF(N229&gt;=Umbral_NEUTRAL_pct,"NEUTRAL",IF(N229&gt;=Umbral_WATCH_pct,"WATCH","NO ANUNCIAR")))</f>
        <v/>
      </c>
    </row>
    <row r="230">
      <c r="A230" s="122" t="inlineStr">
        <is>
          <t>Balliu</t>
        </is>
      </c>
      <c r="B230" s="122" t="inlineStr">
        <is>
          <t>BALLIU_SOFIA_MESA_80X80_TABLERO_HP_1A2FE7B5</t>
        </is>
      </c>
      <c r="C230" s="122" t="inlineStr">
        <is>
          <t>Mesa exterior HPL | 80×80 cm</t>
        </is>
      </c>
      <c r="D230" s="124" t="n">
        <v>186.98</v>
      </c>
      <c r="E230" s="124" t="n">
        <v>287.66</v>
      </c>
      <c r="F230" s="124">
        <f>E230*(1+IVA)</f>
        <v/>
      </c>
      <c r="G230" s="124">
        <f>E230-D230</f>
        <v/>
      </c>
      <c r="H230" s="194">
        <f>IFERROR(G230/E230,0)</f>
        <v/>
      </c>
      <c r="I230" s="124">
        <f>F230*Comision_pago_pct+Comision_pago_fija</f>
        <v/>
      </c>
      <c r="J230" s="124">
        <f>IF(A230="Hevea",IF(F230&gt;=Hevea_umbral_envio_gratis,0,Hevea_coste_envio_bajo),Balliu_coste_envio)</f>
        <v/>
      </c>
      <c r="K230" s="124">
        <f>Tasa_devolucion*Coste_devolucion</f>
        <v/>
      </c>
      <c r="L230" s="124">
        <f>Tasa_incidencia*Coste_incidencia</f>
        <v/>
      </c>
      <c r="M230" s="124">
        <f>G230-I230-J230-K230-L230</f>
        <v/>
      </c>
      <c r="N230" s="194">
        <f>IFERROR(M230/E230,0)</f>
        <v/>
      </c>
      <c r="O230" s="124">
        <f>MAX(M230,0)</f>
        <v/>
      </c>
      <c r="P230" s="195">
        <f>IFERROR(F230/O230,0)</f>
        <v/>
      </c>
      <c r="Q230" s="196">
        <f>IF(N230&gt;=Umbral_PUSH_pct,IF(M230&gt;=Umbral_PUSH_eur,"PUSH","NEUTRAL"),IF(N230&gt;=Umbral_NEUTRAL_pct,"NEUTRAL",IF(N230&gt;=Umbral_WATCH_pct,"WATCH","NO ANUNCIAR")))</f>
        <v/>
      </c>
    </row>
    <row r="231">
      <c r="A231" s="116" t="inlineStr">
        <is>
          <t>Balliu</t>
        </is>
      </c>
      <c r="B231" s="116" t="inlineStr">
        <is>
          <t>BALLIU_SOFIA_MESA_80X80_TABLERO_HP_96593887</t>
        </is>
      </c>
      <c r="C231" s="116" t="inlineStr">
        <is>
          <t>Mesa exterior HPL | 80×80 cm</t>
        </is>
      </c>
      <c r="D231" s="118" t="n">
        <v>206.53</v>
      </c>
      <c r="E231" s="118" t="n">
        <v>317.75</v>
      </c>
      <c r="F231" s="118">
        <f>E231*(1+IVA)</f>
        <v/>
      </c>
      <c r="G231" s="118">
        <f>E231-D231</f>
        <v/>
      </c>
      <c r="H231" s="191">
        <f>IFERROR(G231/E231,0)</f>
        <v/>
      </c>
      <c r="I231" s="118">
        <f>F231*Comision_pago_pct+Comision_pago_fija</f>
        <v/>
      </c>
      <c r="J231" s="118">
        <f>IF(A231="Hevea",IF(F231&gt;=Hevea_umbral_envio_gratis,0,Hevea_coste_envio_bajo),Balliu_coste_envio)</f>
        <v/>
      </c>
      <c r="K231" s="118">
        <f>Tasa_devolucion*Coste_devolucion</f>
        <v/>
      </c>
      <c r="L231" s="118">
        <f>Tasa_incidencia*Coste_incidencia</f>
        <v/>
      </c>
      <c r="M231" s="118">
        <f>G231-I231-J231-K231-L231</f>
        <v/>
      </c>
      <c r="N231" s="191">
        <f>IFERROR(M231/E231,0)</f>
        <v/>
      </c>
      <c r="O231" s="118">
        <f>MAX(M231,0)</f>
        <v/>
      </c>
      <c r="P231" s="192">
        <f>IFERROR(F231/O231,0)</f>
        <v/>
      </c>
      <c r="Q231" s="193">
        <f>IF(N231&gt;=Umbral_PUSH_pct,IF(M231&gt;=Umbral_PUSH_eur,"PUSH","NEUTRAL"),IF(N231&gt;=Umbral_NEUTRAL_pct,"NEUTRAL",IF(N231&gt;=Umbral_WATCH_pct,"WATCH","NO ANUNCIAR")))</f>
        <v/>
      </c>
    </row>
    <row r="232">
      <c r="A232" s="122" t="inlineStr">
        <is>
          <t>Balliu</t>
        </is>
      </c>
      <c r="B232" s="122" t="inlineStr">
        <is>
          <t>BALLIU_SOFIA_MESA_70X70_HPL_F6074154</t>
        </is>
      </c>
      <c r="C232" s="122" t="inlineStr">
        <is>
          <t>Mesa exterior HPL | 70×70 cm</t>
        </is>
      </c>
      <c r="D232" s="124" t="n">
        <v>226.39</v>
      </c>
      <c r="E232" s="124" t="n">
        <v>348.29</v>
      </c>
      <c r="F232" s="124">
        <f>E232*(1+IVA)</f>
        <v/>
      </c>
      <c r="G232" s="124">
        <f>E232-D232</f>
        <v/>
      </c>
      <c r="H232" s="194">
        <f>IFERROR(G232/E232,0)</f>
        <v/>
      </c>
      <c r="I232" s="124">
        <f>F232*Comision_pago_pct+Comision_pago_fija</f>
        <v/>
      </c>
      <c r="J232" s="124">
        <f>IF(A232="Hevea",IF(F232&gt;=Hevea_umbral_envio_gratis,0,Hevea_coste_envio_bajo),Balliu_coste_envio)</f>
        <v/>
      </c>
      <c r="K232" s="124">
        <f>Tasa_devolucion*Coste_devolucion</f>
        <v/>
      </c>
      <c r="L232" s="124">
        <f>Tasa_incidencia*Coste_incidencia</f>
        <v/>
      </c>
      <c r="M232" s="124">
        <f>G232-I232-J232-K232-L232</f>
        <v/>
      </c>
      <c r="N232" s="194">
        <f>IFERROR(M232/E232,0)</f>
        <v/>
      </c>
      <c r="O232" s="124">
        <f>MAX(M232,0)</f>
        <v/>
      </c>
      <c r="P232" s="195">
        <f>IFERROR(F232/O232,0)</f>
        <v/>
      </c>
      <c r="Q232" s="196">
        <f>IF(N232&gt;=Umbral_PUSH_pct,IF(M232&gt;=Umbral_PUSH_eur,"PUSH","NEUTRAL"),IF(N232&gt;=Umbral_NEUTRAL_pct,"NEUTRAL",IF(N232&gt;=Umbral_WATCH_pct,"WATCH","NO ANUNCIAR")))</f>
        <v/>
      </c>
    </row>
    <row r="233">
      <c r="A233" s="116" t="inlineStr">
        <is>
          <t>Balliu</t>
        </is>
      </c>
      <c r="B233" s="116" t="inlineStr">
        <is>
          <t>BALLIU_ALTEA_MESA_70_X_70_HPL_GD_1B61E6B6</t>
        </is>
      </c>
      <c r="C233" s="116" t="inlineStr">
        <is>
          <t>Mesa exterior aluminio | 70×70 cm</t>
        </is>
      </c>
      <c r="D233" s="118" t="n">
        <v>258.36</v>
      </c>
      <c r="E233" s="118" t="n">
        <v>397.47</v>
      </c>
      <c r="F233" s="118">
        <f>E233*(1+IVA)</f>
        <v/>
      </c>
      <c r="G233" s="118">
        <f>E233-D233</f>
        <v/>
      </c>
      <c r="H233" s="191">
        <f>IFERROR(G233/E233,0)</f>
        <v/>
      </c>
      <c r="I233" s="118">
        <f>F233*Comision_pago_pct+Comision_pago_fija</f>
        <v/>
      </c>
      <c r="J233" s="118">
        <f>IF(A233="Hevea",IF(F233&gt;=Hevea_umbral_envio_gratis,0,Hevea_coste_envio_bajo),Balliu_coste_envio)</f>
        <v/>
      </c>
      <c r="K233" s="118">
        <f>Tasa_devolucion*Coste_devolucion</f>
        <v/>
      </c>
      <c r="L233" s="118">
        <f>Tasa_incidencia*Coste_incidencia</f>
        <v/>
      </c>
      <c r="M233" s="118">
        <f>G233-I233-J233-K233-L233</f>
        <v/>
      </c>
      <c r="N233" s="191">
        <f>IFERROR(M233/E233,0)</f>
        <v/>
      </c>
      <c r="O233" s="118">
        <f>MAX(M233,0)</f>
        <v/>
      </c>
      <c r="P233" s="192">
        <f>IFERROR(F233/O233,0)</f>
        <v/>
      </c>
      <c r="Q233" s="193">
        <f>IF(N233&gt;=Umbral_PUSH_pct,IF(M233&gt;=Umbral_PUSH_eur,"PUSH","NEUTRAL"),IF(N233&gt;=Umbral_NEUTRAL_pct,"NEUTRAL",IF(N233&gt;=Umbral_WATCH_pct,"WATCH","NO ANUNCIAR")))</f>
        <v/>
      </c>
    </row>
    <row r="234">
      <c r="A234" s="122" t="inlineStr">
        <is>
          <t>Balliu</t>
        </is>
      </c>
      <c r="B234" s="122" t="inlineStr">
        <is>
          <t>BALLIU_ALTEA_MESA_80_X_80_HPL_A05618AD</t>
        </is>
      </c>
      <c r="C234" s="122" t="inlineStr">
        <is>
          <t>Mesa exterior aluminio | 80×80 cm</t>
        </is>
      </c>
      <c r="D234" s="124" t="n">
        <v>226.79</v>
      </c>
      <c r="E234" s="124" t="n">
        <v>348.9</v>
      </c>
      <c r="F234" s="124">
        <f>E234*(1+IVA)</f>
        <v/>
      </c>
      <c r="G234" s="124">
        <f>E234-D234</f>
        <v/>
      </c>
      <c r="H234" s="194">
        <f>IFERROR(G234/E234,0)</f>
        <v/>
      </c>
      <c r="I234" s="124">
        <f>F234*Comision_pago_pct+Comision_pago_fija</f>
        <v/>
      </c>
      <c r="J234" s="124">
        <f>IF(A234="Hevea",IF(F234&gt;=Hevea_umbral_envio_gratis,0,Hevea_coste_envio_bajo),Balliu_coste_envio)</f>
        <v/>
      </c>
      <c r="K234" s="124">
        <f>Tasa_devolucion*Coste_devolucion</f>
        <v/>
      </c>
      <c r="L234" s="124">
        <f>Tasa_incidencia*Coste_incidencia</f>
        <v/>
      </c>
      <c r="M234" s="124">
        <f>G234-I234-J234-K234-L234</f>
        <v/>
      </c>
      <c r="N234" s="194">
        <f>IFERROR(M234/E234,0)</f>
        <v/>
      </c>
      <c r="O234" s="124">
        <f>MAX(M234,0)</f>
        <v/>
      </c>
      <c r="P234" s="195">
        <f>IFERROR(F234/O234,0)</f>
        <v/>
      </c>
      <c r="Q234" s="196">
        <f>IF(N234&gt;=Umbral_PUSH_pct,IF(M234&gt;=Umbral_PUSH_eur,"PUSH","NEUTRAL"),IF(N234&gt;=Umbral_NEUTRAL_pct,"NEUTRAL",IF(N234&gt;=Umbral_WATCH_pct,"WATCH","NO ANUNCIAR")))</f>
        <v/>
      </c>
    </row>
    <row r="235">
      <c r="A235" s="116" t="inlineStr">
        <is>
          <t>Balliu</t>
        </is>
      </c>
      <c r="B235" s="116" t="inlineStr">
        <is>
          <t>BALLIU_ALTEA_MESA_80_X_80_HPL_GD_0A3EE957</t>
        </is>
      </c>
      <c r="C235" s="116" t="inlineStr">
        <is>
          <t>Mesa exterior aluminio | 80×80 cm</t>
        </is>
      </c>
      <c r="D235" s="118" t="n">
        <v>258.75</v>
      </c>
      <c r="E235" s="118" t="n">
        <v>398.08</v>
      </c>
      <c r="F235" s="118">
        <f>E235*(1+IVA)</f>
        <v/>
      </c>
      <c r="G235" s="118">
        <f>E235-D235</f>
        <v/>
      </c>
      <c r="H235" s="191">
        <f>IFERROR(G235/E235,0)</f>
        <v/>
      </c>
      <c r="I235" s="118">
        <f>F235*Comision_pago_pct+Comision_pago_fija</f>
        <v/>
      </c>
      <c r="J235" s="118">
        <f>IF(A235="Hevea",IF(F235&gt;=Hevea_umbral_envio_gratis,0,Hevea_coste_envio_bajo),Balliu_coste_envio)</f>
        <v/>
      </c>
      <c r="K235" s="118">
        <f>Tasa_devolucion*Coste_devolucion</f>
        <v/>
      </c>
      <c r="L235" s="118">
        <f>Tasa_incidencia*Coste_incidencia</f>
        <v/>
      </c>
      <c r="M235" s="118">
        <f>G235-I235-J235-K235-L235</f>
        <v/>
      </c>
      <c r="N235" s="191">
        <f>IFERROR(M235/E235,0)</f>
        <v/>
      </c>
      <c r="O235" s="118">
        <f>MAX(M235,0)</f>
        <v/>
      </c>
      <c r="P235" s="192">
        <f>IFERROR(F235/O235,0)</f>
        <v/>
      </c>
      <c r="Q235" s="193">
        <f>IF(N235&gt;=Umbral_PUSH_pct,IF(M235&gt;=Umbral_PUSH_eur,"PUSH","NEUTRAL"),IF(N235&gt;=Umbral_NEUTRAL_pct,"NEUTRAL",IF(N235&gt;=Umbral_WATCH_pct,"WATCH","NO ANUNCIAR")))</f>
        <v/>
      </c>
    </row>
    <row r="236">
      <c r="A236" s="122" t="inlineStr">
        <is>
          <t>Balliu</t>
        </is>
      </c>
      <c r="B236" s="122" t="inlineStr">
        <is>
          <t>BALLIU_ALTEA_MESA_DIAM_80_HPL_50525E0B</t>
        </is>
      </c>
      <c r="C236" s="122" t="inlineStr">
        <is>
          <t>Mesa exterior aluminio | Ø80 cm</t>
        </is>
      </c>
      <c r="D236" s="124" t="n">
        <v>205.19</v>
      </c>
      <c r="E236" s="124" t="n">
        <v>315.68</v>
      </c>
      <c r="F236" s="124">
        <f>E236*(1+IVA)</f>
        <v/>
      </c>
      <c r="G236" s="124">
        <f>E236-D236</f>
        <v/>
      </c>
      <c r="H236" s="194">
        <f>IFERROR(G236/E236,0)</f>
        <v/>
      </c>
      <c r="I236" s="124">
        <f>F236*Comision_pago_pct+Comision_pago_fija</f>
        <v/>
      </c>
      <c r="J236" s="124">
        <f>IF(A236="Hevea",IF(F236&gt;=Hevea_umbral_envio_gratis,0,Hevea_coste_envio_bajo),Balliu_coste_envio)</f>
        <v/>
      </c>
      <c r="K236" s="124">
        <f>Tasa_devolucion*Coste_devolucion</f>
        <v/>
      </c>
      <c r="L236" s="124">
        <f>Tasa_incidencia*Coste_incidencia</f>
        <v/>
      </c>
      <c r="M236" s="124">
        <f>G236-I236-J236-K236-L236</f>
        <v/>
      </c>
      <c r="N236" s="194">
        <f>IFERROR(M236/E236,0)</f>
        <v/>
      </c>
      <c r="O236" s="124">
        <f>MAX(M236,0)</f>
        <v/>
      </c>
      <c r="P236" s="195">
        <f>IFERROR(F236/O236,0)</f>
        <v/>
      </c>
      <c r="Q236" s="196">
        <f>IF(N236&gt;=Umbral_PUSH_pct,IF(M236&gt;=Umbral_PUSH_eur,"PUSH","NEUTRAL"),IF(N236&gt;=Umbral_NEUTRAL_pct,"NEUTRAL",IF(N236&gt;=Umbral_WATCH_pct,"WATCH","NO ANUNCIAR")))</f>
        <v/>
      </c>
    </row>
    <row r="237">
      <c r="A237" s="116" t="inlineStr">
        <is>
          <t>Balliu</t>
        </is>
      </c>
      <c r="B237" s="116" t="inlineStr">
        <is>
          <t>BALLIU_ALTEA_MESA_DIAM_80_HPL_GD_B06218CA</t>
        </is>
      </c>
      <c r="C237" s="116" t="inlineStr">
        <is>
          <t>Mesa exterior aluminio | Ø80 cm</t>
        </is>
      </c>
      <c r="D237" s="118" t="n">
        <v>211.05</v>
      </c>
      <c r="E237" s="118" t="n">
        <v>324.68</v>
      </c>
      <c r="F237" s="118">
        <f>E237*(1+IVA)</f>
        <v/>
      </c>
      <c r="G237" s="118">
        <f>E237-D237</f>
        <v/>
      </c>
      <c r="H237" s="191">
        <f>IFERROR(G237/E237,0)</f>
        <v/>
      </c>
      <c r="I237" s="118">
        <f>F237*Comision_pago_pct+Comision_pago_fija</f>
        <v/>
      </c>
      <c r="J237" s="118">
        <f>IF(A237="Hevea",IF(F237&gt;=Hevea_umbral_envio_gratis,0,Hevea_coste_envio_bajo),Balliu_coste_envio)</f>
        <v/>
      </c>
      <c r="K237" s="118">
        <f>Tasa_devolucion*Coste_devolucion</f>
        <v/>
      </c>
      <c r="L237" s="118">
        <f>Tasa_incidencia*Coste_incidencia</f>
        <v/>
      </c>
      <c r="M237" s="118">
        <f>G237-I237-J237-K237-L237</f>
        <v/>
      </c>
      <c r="N237" s="191">
        <f>IFERROR(M237/E237,0)</f>
        <v/>
      </c>
      <c r="O237" s="118">
        <f>MAX(M237,0)</f>
        <v/>
      </c>
      <c r="P237" s="192">
        <f>IFERROR(F237/O237,0)</f>
        <v/>
      </c>
      <c r="Q237" s="193">
        <f>IF(N237&gt;=Umbral_PUSH_pct,IF(M237&gt;=Umbral_PUSH_eur,"PUSH","NEUTRAL"),IF(N237&gt;=Umbral_NEUTRAL_pct,"NEUTRAL",IF(N237&gt;=Umbral_WATCH_pct,"WATCH","NO ANUNCIAR")))</f>
        <v/>
      </c>
    </row>
    <row r="238">
      <c r="A238" s="122" t="inlineStr">
        <is>
          <t>Balliu</t>
        </is>
      </c>
      <c r="B238" s="122" t="inlineStr">
        <is>
          <t>BALLIU_ALTEA_MESA_120_X_80_HPL_BF75A33D</t>
        </is>
      </c>
      <c r="C238" s="122" t="inlineStr">
        <is>
          <t>Mesa exterior aluminio | 120×80 cm</t>
        </is>
      </c>
      <c r="D238" s="124" t="n">
        <v>361.89</v>
      </c>
      <c r="E238" s="124" t="n">
        <v>556.76</v>
      </c>
      <c r="F238" s="124">
        <f>E238*(1+IVA)</f>
        <v/>
      </c>
      <c r="G238" s="124">
        <f>E238-D238</f>
        <v/>
      </c>
      <c r="H238" s="194">
        <f>IFERROR(G238/E238,0)</f>
        <v/>
      </c>
      <c r="I238" s="124">
        <f>F238*Comision_pago_pct+Comision_pago_fija</f>
        <v/>
      </c>
      <c r="J238" s="124">
        <f>IF(A238="Hevea",IF(F238&gt;=Hevea_umbral_envio_gratis,0,Hevea_coste_envio_bajo),Balliu_coste_envio)</f>
        <v/>
      </c>
      <c r="K238" s="124">
        <f>Tasa_devolucion*Coste_devolucion</f>
        <v/>
      </c>
      <c r="L238" s="124">
        <f>Tasa_incidencia*Coste_incidencia</f>
        <v/>
      </c>
      <c r="M238" s="124">
        <f>G238-I238-J238-K238-L238</f>
        <v/>
      </c>
      <c r="N238" s="194">
        <f>IFERROR(M238/E238,0)</f>
        <v/>
      </c>
      <c r="O238" s="124">
        <f>MAX(M238,0)</f>
        <v/>
      </c>
      <c r="P238" s="195">
        <f>IFERROR(F238/O238,0)</f>
        <v/>
      </c>
      <c r="Q238" s="196">
        <f>IF(N238&gt;=Umbral_PUSH_pct,IF(M238&gt;=Umbral_PUSH_eur,"PUSH","NEUTRAL"),IF(N238&gt;=Umbral_NEUTRAL_pct,"NEUTRAL",IF(N238&gt;=Umbral_WATCH_pct,"WATCH","NO ANUNCIAR")))</f>
        <v/>
      </c>
    </row>
    <row r="239">
      <c r="A239" s="116" t="inlineStr">
        <is>
          <t>Balliu</t>
        </is>
      </c>
      <c r="B239" s="116" t="inlineStr">
        <is>
          <t>BALLIU_AGATA_MESA_120_X_80_HPL_GD_D7AB6E04</t>
        </is>
      </c>
      <c r="C239" s="116" t="inlineStr">
        <is>
          <t>Mesa exterior aluminio | 75 cm</t>
        </is>
      </c>
      <c r="D239" s="118" t="n">
        <v>368.6</v>
      </c>
      <c r="E239" s="118" t="n">
        <v>567.0700000000001</v>
      </c>
      <c r="F239" s="118">
        <f>E239*(1+IVA)</f>
        <v/>
      </c>
      <c r="G239" s="118">
        <f>E239-D239</f>
        <v/>
      </c>
      <c r="H239" s="191">
        <f>IFERROR(G239/E239,0)</f>
        <v/>
      </c>
      <c r="I239" s="118">
        <f>F239*Comision_pago_pct+Comision_pago_fija</f>
        <v/>
      </c>
      <c r="J239" s="118">
        <f>IF(A239="Hevea",IF(F239&gt;=Hevea_umbral_envio_gratis,0,Hevea_coste_envio_bajo),Balliu_coste_envio)</f>
        <v/>
      </c>
      <c r="K239" s="118">
        <f>Tasa_devolucion*Coste_devolucion</f>
        <v/>
      </c>
      <c r="L239" s="118">
        <f>Tasa_incidencia*Coste_incidencia</f>
        <v/>
      </c>
      <c r="M239" s="118">
        <f>G239-I239-J239-K239-L239</f>
        <v/>
      </c>
      <c r="N239" s="191">
        <f>IFERROR(M239/E239,0)</f>
        <v/>
      </c>
      <c r="O239" s="118">
        <f>MAX(M239,0)</f>
        <v/>
      </c>
      <c r="P239" s="192">
        <f>IFERROR(F239/O239,0)</f>
        <v/>
      </c>
      <c r="Q239" s="193">
        <f>IF(N239&gt;=Umbral_PUSH_pct,IF(M239&gt;=Umbral_PUSH_eur,"PUSH","NEUTRAL"),IF(N239&gt;=Umbral_NEUTRAL_pct,"NEUTRAL",IF(N239&gt;=Umbral_WATCH_pct,"WATCH","NO ANUNCIAR")))</f>
        <v/>
      </c>
    </row>
    <row r="240">
      <c r="A240" s="122" t="inlineStr">
        <is>
          <t>Balliu</t>
        </is>
      </c>
      <c r="B240" s="122" t="inlineStr">
        <is>
          <t>BALLIU_AGATA_MESA_70X70_ENCIMERA_A_DD745448</t>
        </is>
      </c>
      <c r="C240" s="122" t="inlineStr">
        <is>
          <t>Mesa exterior aluminio | 75 cm</t>
        </is>
      </c>
      <c r="D240" s="124" t="n">
        <v>186.62</v>
      </c>
      <c r="E240" s="124" t="n">
        <v>287.1</v>
      </c>
      <c r="F240" s="124">
        <f>E240*(1+IVA)</f>
        <v/>
      </c>
      <c r="G240" s="124">
        <f>E240-D240</f>
        <v/>
      </c>
      <c r="H240" s="194">
        <f>IFERROR(G240/E240,0)</f>
        <v/>
      </c>
      <c r="I240" s="124">
        <f>F240*Comision_pago_pct+Comision_pago_fija</f>
        <v/>
      </c>
      <c r="J240" s="124">
        <f>IF(A240="Hevea",IF(F240&gt;=Hevea_umbral_envio_gratis,0,Hevea_coste_envio_bajo),Balliu_coste_envio)</f>
        <v/>
      </c>
      <c r="K240" s="124">
        <f>Tasa_devolucion*Coste_devolucion</f>
        <v/>
      </c>
      <c r="L240" s="124">
        <f>Tasa_incidencia*Coste_incidencia</f>
        <v/>
      </c>
      <c r="M240" s="124">
        <f>G240-I240-J240-K240-L240</f>
        <v/>
      </c>
      <c r="N240" s="194">
        <f>IFERROR(M240/E240,0)</f>
        <v/>
      </c>
      <c r="O240" s="124">
        <f>MAX(M240,0)</f>
        <v/>
      </c>
      <c r="P240" s="195">
        <f>IFERROR(F240/O240,0)</f>
        <v/>
      </c>
      <c r="Q240" s="196">
        <f>IF(N240&gt;=Umbral_PUSH_pct,IF(M240&gt;=Umbral_PUSH_eur,"PUSH","NEUTRAL"),IF(N240&gt;=Umbral_NEUTRAL_pct,"NEUTRAL",IF(N240&gt;=Umbral_WATCH_pct,"WATCH","NO ANUNCIAR")))</f>
        <v/>
      </c>
    </row>
    <row r="241">
      <c r="A241" s="116" t="inlineStr">
        <is>
          <t>Balliu</t>
        </is>
      </c>
      <c r="B241" s="116" t="inlineStr">
        <is>
          <t>BALLIU_AGATA_MESA_180_X_90_ENCIMER_C0092E17</t>
        </is>
      </c>
      <c r="C241" s="116" t="inlineStr">
        <is>
          <t>Mesa exterior aluminio | 75 cm</t>
        </is>
      </c>
      <c r="D241" s="118" t="n">
        <v>270.76</v>
      </c>
      <c r="E241" s="118" t="n">
        <v>416.55</v>
      </c>
      <c r="F241" s="118">
        <f>E241*(1+IVA)</f>
        <v/>
      </c>
      <c r="G241" s="118">
        <f>E241-D241</f>
        <v/>
      </c>
      <c r="H241" s="191">
        <f>IFERROR(G241/E241,0)</f>
        <v/>
      </c>
      <c r="I241" s="118">
        <f>F241*Comision_pago_pct+Comision_pago_fija</f>
        <v/>
      </c>
      <c r="J241" s="118">
        <f>IF(A241="Hevea",IF(F241&gt;=Hevea_umbral_envio_gratis,0,Hevea_coste_envio_bajo),Balliu_coste_envio)</f>
        <v/>
      </c>
      <c r="K241" s="118">
        <f>Tasa_devolucion*Coste_devolucion</f>
        <v/>
      </c>
      <c r="L241" s="118">
        <f>Tasa_incidencia*Coste_incidencia</f>
        <v/>
      </c>
      <c r="M241" s="118">
        <f>G241-I241-J241-K241-L241</f>
        <v/>
      </c>
      <c r="N241" s="191">
        <f>IFERROR(M241/E241,0)</f>
        <v/>
      </c>
      <c r="O241" s="118">
        <f>MAX(M241,0)</f>
        <v/>
      </c>
      <c r="P241" s="192">
        <f>IFERROR(F241/O241,0)</f>
        <v/>
      </c>
      <c r="Q241" s="193">
        <f>IF(N241&gt;=Umbral_PUSH_pct,IF(M241&gt;=Umbral_PUSH_eur,"PUSH","NEUTRAL"),IF(N241&gt;=Umbral_NEUTRAL_pct,"NEUTRAL",IF(N241&gt;=Umbral_WATCH_pct,"WATCH","NO ANUNCIAR")))</f>
        <v/>
      </c>
    </row>
    <row r="242">
      <c r="A242" s="122" t="inlineStr">
        <is>
          <t>Balliu</t>
        </is>
      </c>
      <c r="B242" s="122" t="inlineStr">
        <is>
          <t>BALLIU_NORA_MESA_DIAMETRO_70_ALUM_72514F40</t>
        </is>
      </c>
      <c r="C242" s="122" t="inlineStr">
        <is>
          <t>Mesa exterior aluminio | 72 cm</t>
        </is>
      </c>
      <c r="D242" s="124" t="n">
        <v>120.39</v>
      </c>
      <c r="E242" s="124" t="n">
        <v>185.21</v>
      </c>
      <c r="F242" s="124">
        <f>E242*(1+IVA)</f>
        <v/>
      </c>
      <c r="G242" s="124">
        <f>E242-D242</f>
        <v/>
      </c>
      <c r="H242" s="194">
        <f>IFERROR(G242/E242,0)</f>
        <v/>
      </c>
      <c r="I242" s="124">
        <f>F242*Comision_pago_pct+Comision_pago_fija</f>
        <v/>
      </c>
      <c r="J242" s="124">
        <f>IF(A242="Hevea",IF(F242&gt;=Hevea_umbral_envio_gratis,0,Hevea_coste_envio_bajo),Balliu_coste_envio)</f>
        <v/>
      </c>
      <c r="K242" s="124">
        <f>Tasa_devolucion*Coste_devolucion</f>
        <v/>
      </c>
      <c r="L242" s="124">
        <f>Tasa_incidencia*Coste_incidencia</f>
        <v/>
      </c>
      <c r="M242" s="124">
        <f>G242-I242-J242-K242-L242</f>
        <v/>
      </c>
      <c r="N242" s="194">
        <f>IFERROR(M242/E242,0)</f>
        <v/>
      </c>
      <c r="O242" s="124">
        <f>MAX(M242,0)</f>
        <v/>
      </c>
      <c r="P242" s="195">
        <f>IFERROR(F242/O242,0)</f>
        <v/>
      </c>
      <c r="Q242" s="196">
        <f>IF(N242&gt;=Umbral_PUSH_pct,IF(M242&gt;=Umbral_PUSH_eur,"PUSH","NEUTRAL"),IF(N242&gt;=Umbral_NEUTRAL_pct,"NEUTRAL",IF(N242&gt;=Umbral_WATCH_pct,"WATCH","NO ANUNCIAR")))</f>
        <v/>
      </c>
    </row>
    <row r="243">
      <c r="A243" s="116" t="inlineStr">
        <is>
          <t>Balliu</t>
        </is>
      </c>
      <c r="B243" s="116" t="inlineStr">
        <is>
          <t>BALLIU_OLIMPIA_SOFA_INDIVIDUAL_TELA__5E2EF268</t>
        </is>
      </c>
      <c r="C243" s="116" t="inlineStr">
        <is>
          <t>Sofá exterior 3 plazas aluminio · estilo elegante | 62 cm</t>
        </is>
      </c>
      <c r="D243" s="118" t="n">
        <v>279.44</v>
      </c>
      <c r="E243" s="118" t="n">
        <v>429.91</v>
      </c>
      <c r="F243" s="118">
        <f>E243*(1+IVA)</f>
        <v/>
      </c>
      <c r="G243" s="118">
        <f>E243-D243</f>
        <v/>
      </c>
      <c r="H243" s="191">
        <f>IFERROR(G243/E243,0)</f>
        <v/>
      </c>
      <c r="I243" s="118">
        <f>F243*Comision_pago_pct+Comision_pago_fija</f>
        <v/>
      </c>
      <c r="J243" s="118">
        <f>IF(A243="Hevea",IF(F243&gt;=Hevea_umbral_envio_gratis,0,Hevea_coste_envio_bajo),Balliu_coste_envio)</f>
        <v/>
      </c>
      <c r="K243" s="118">
        <f>Tasa_devolucion*Coste_devolucion</f>
        <v/>
      </c>
      <c r="L243" s="118">
        <f>Tasa_incidencia*Coste_incidencia</f>
        <v/>
      </c>
      <c r="M243" s="118">
        <f>G243-I243-J243-K243-L243</f>
        <v/>
      </c>
      <c r="N243" s="191">
        <f>IFERROR(M243/E243,0)</f>
        <v/>
      </c>
      <c r="O243" s="118">
        <f>MAX(M243,0)</f>
        <v/>
      </c>
      <c r="P243" s="192">
        <f>IFERROR(F243/O243,0)</f>
        <v/>
      </c>
      <c r="Q243" s="193">
        <f>IF(N243&gt;=Umbral_PUSH_pct,IF(M243&gt;=Umbral_PUSH_eur,"PUSH","NEUTRAL"),IF(N243&gt;=Umbral_NEUTRAL_pct,"NEUTRAL",IF(N243&gt;=Umbral_WATCH_pct,"WATCH","NO ANUNCIAR")))</f>
        <v/>
      </c>
    </row>
    <row r="244">
      <c r="A244" s="122" t="inlineStr">
        <is>
          <t>Balliu</t>
        </is>
      </c>
      <c r="B244" s="122" t="inlineStr">
        <is>
          <t>BALLIU_OLIMPIA_SOFA_DOBLE_TELA_BALLI_4C82D31E</t>
        </is>
      </c>
      <c r="C244" s="122" t="inlineStr">
        <is>
          <t>Sofá exterior 3 plazas aluminio · estilo elegante | 62 cm</t>
        </is>
      </c>
      <c r="D244" s="124" t="n">
        <v>356.97</v>
      </c>
      <c r="E244" s="124" t="n">
        <v>549.1900000000001</v>
      </c>
      <c r="F244" s="124">
        <f>E244*(1+IVA)</f>
        <v/>
      </c>
      <c r="G244" s="124">
        <f>E244-D244</f>
        <v/>
      </c>
      <c r="H244" s="194">
        <f>IFERROR(G244/E244,0)</f>
        <v/>
      </c>
      <c r="I244" s="124">
        <f>F244*Comision_pago_pct+Comision_pago_fija</f>
        <v/>
      </c>
      <c r="J244" s="124">
        <f>IF(A244="Hevea",IF(F244&gt;=Hevea_umbral_envio_gratis,0,Hevea_coste_envio_bajo),Balliu_coste_envio)</f>
        <v/>
      </c>
      <c r="K244" s="124">
        <f>Tasa_devolucion*Coste_devolucion</f>
        <v/>
      </c>
      <c r="L244" s="124">
        <f>Tasa_incidencia*Coste_incidencia</f>
        <v/>
      </c>
      <c r="M244" s="124">
        <f>G244-I244-J244-K244-L244</f>
        <v/>
      </c>
      <c r="N244" s="194">
        <f>IFERROR(M244/E244,0)</f>
        <v/>
      </c>
      <c r="O244" s="124">
        <f>MAX(M244,0)</f>
        <v/>
      </c>
      <c r="P244" s="195">
        <f>IFERROR(F244/O244,0)</f>
        <v/>
      </c>
      <c r="Q244" s="196">
        <f>IF(N244&gt;=Umbral_PUSH_pct,IF(M244&gt;=Umbral_PUSH_eur,"PUSH","NEUTRAL"),IF(N244&gt;=Umbral_NEUTRAL_pct,"NEUTRAL",IF(N244&gt;=Umbral_WATCH_pct,"WATCH","NO ANUNCIAR")))</f>
        <v/>
      </c>
    </row>
    <row r="245">
      <c r="A245" s="116" t="inlineStr">
        <is>
          <t>Balliu</t>
        </is>
      </c>
      <c r="B245" s="116" t="inlineStr">
        <is>
          <t>BALLIU_OLIMPIA_SOFA_TRIPLE_TELA_BALL_CACE2317</t>
        </is>
      </c>
      <c r="C245" s="116" t="inlineStr">
        <is>
          <t>Sofá exterior 3 plazas aluminio · estilo elegante | 62 cm</t>
        </is>
      </c>
      <c r="D245" s="118" t="n">
        <v>534.41</v>
      </c>
      <c r="E245" s="118" t="n">
        <v>822.16</v>
      </c>
      <c r="F245" s="118">
        <f>E245*(1+IVA)</f>
        <v/>
      </c>
      <c r="G245" s="118">
        <f>E245-D245</f>
        <v/>
      </c>
      <c r="H245" s="191">
        <f>IFERROR(G245/E245,0)</f>
        <v/>
      </c>
      <c r="I245" s="118">
        <f>F245*Comision_pago_pct+Comision_pago_fija</f>
        <v/>
      </c>
      <c r="J245" s="118">
        <f>IF(A245="Hevea",IF(F245&gt;=Hevea_umbral_envio_gratis,0,Hevea_coste_envio_bajo),Balliu_coste_envio)</f>
        <v/>
      </c>
      <c r="K245" s="118">
        <f>Tasa_devolucion*Coste_devolucion</f>
        <v/>
      </c>
      <c r="L245" s="118">
        <f>Tasa_incidencia*Coste_incidencia</f>
        <v/>
      </c>
      <c r="M245" s="118">
        <f>G245-I245-J245-K245-L245</f>
        <v/>
      </c>
      <c r="N245" s="191">
        <f>IFERROR(M245/E245,0)</f>
        <v/>
      </c>
      <c r="O245" s="118">
        <f>MAX(M245,0)</f>
        <v/>
      </c>
      <c r="P245" s="192">
        <f>IFERROR(F245/O245,0)</f>
        <v/>
      </c>
      <c r="Q245" s="193">
        <f>IF(N245&gt;=Umbral_PUSH_pct,IF(M245&gt;=Umbral_PUSH_eur,"PUSH","NEUTRAL"),IF(N245&gt;=Umbral_NEUTRAL_pct,"NEUTRAL",IF(N245&gt;=Umbral_WATCH_pct,"WATCH","NO ANUNCIAR")))</f>
        <v/>
      </c>
    </row>
    <row r="246">
      <c r="A246" s="122" t="inlineStr">
        <is>
          <t>Balliu</t>
        </is>
      </c>
      <c r="B246" s="122" t="inlineStr">
        <is>
          <t>BALLIU_OLIMPIA_MESA_AUXILIA_CENTRAL_TABLERO__19D3D0EE</t>
        </is>
      </c>
      <c r="C246" s="122" t="inlineStr">
        <is>
          <t>Mesa auxiliar exterior aluminio | 54 cm</t>
        </is>
      </c>
      <c r="D246" s="124" t="n">
        <v>122.04</v>
      </c>
      <c r="E246" s="124" t="n">
        <v>187.75</v>
      </c>
      <c r="F246" s="124">
        <f>E246*(1+IVA)</f>
        <v/>
      </c>
      <c r="G246" s="124">
        <f>E246-D246</f>
        <v/>
      </c>
      <c r="H246" s="194">
        <f>IFERROR(G246/E246,0)</f>
        <v/>
      </c>
      <c r="I246" s="124">
        <f>F246*Comision_pago_pct+Comision_pago_fija</f>
        <v/>
      </c>
      <c r="J246" s="124">
        <f>IF(A246="Hevea",IF(F246&gt;=Hevea_umbral_envio_gratis,0,Hevea_coste_envio_bajo),Balliu_coste_envio)</f>
        <v/>
      </c>
      <c r="K246" s="124">
        <f>Tasa_devolucion*Coste_devolucion</f>
        <v/>
      </c>
      <c r="L246" s="124">
        <f>Tasa_incidencia*Coste_incidencia</f>
        <v/>
      </c>
      <c r="M246" s="124">
        <f>G246-I246-J246-K246-L246</f>
        <v/>
      </c>
      <c r="N246" s="194">
        <f>IFERROR(M246/E246,0)</f>
        <v/>
      </c>
      <c r="O246" s="124">
        <f>MAX(M246,0)</f>
        <v/>
      </c>
      <c r="P246" s="195">
        <f>IFERROR(F246/O246,0)</f>
        <v/>
      </c>
      <c r="Q246" s="196">
        <f>IF(N246&gt;=Umbral_PUSH_pct,IF(M246&gt;=Umbral_PUSH_eur,"PUSH","NEUTRAL"),IF(N246&gt;=Umbral_NEUTRAL_pct,"NEUTRAL",IF(N246&gt;=Umbral_WATCH_pct,"WATCH","NO ANUNCIAR")))</f>
        <v/>
      </c>
    </row>
    <row r="247">
      <c r="A247" s="116" t="inlineStr">
        <is>
          <t>Balliu</t>
        </is>
      </c>
      <c r="B247" s="116" t="inlineStr">
        <is>
          <t>BALLIU_OLIMPIA_MESA_AUXILIA_CENTRAL_TABLERO__9E2A2ECB</t>
        </is>
      </c>
      <c r="C247" s="116" t="inlineStr">
        <is>
          <t>Mesa auxiliar exterior aluminio | 54 cm</t>
        </is>
      </c>
      <c r="D247" s="118" t="n">
        <v>130.35</v>
      </c>
      <c r="E247" s="118" t="n">
        <v>200.54</v>
      </c>
      <c r="F247" s="118">
        <f>E247*(1+IVA)</f>
        <v/>
      </c>
      <c r="G247" s="118">
        <f>E247-D247</f>
        <v/>
      </c>
      <c r="H247" s="191">
        <f>IFERROR(G247/E247,0)</f>
        <v/>
      </c>
      <c r="I247" s="118">
        <f>F247*Comision_pago_pct+Comision_pago_fija</f>
        <v/>
      </c>
      <c r="J247" s="118">
        <f>IF(A247="Hevea",IF(F247&gt;=Hevea_umbral_envio_gratis,0,Hevea_coste_envio_bajo),Balliu_coste_envio)</f>
        <v/>
      </c>
      <c r="K247" s="118">
        <f>Tasa_devolucion*Coste_devolucion</f>
        <v/>
      </c>
      <c r="L247" s="118">
        <f>Tasa_incidencia*Coste_incidencia</f>
        <v/>
      </c>
      <c r="M247" s="118">
        <f>G247-I247-J247-K247-L247</f>
        <v/>
      </c>
      <c r="N247" s="191">
        <f>IFERROR(M247/E247,0)</f>
        <v/>
      </c>
      <c r="O247" s="118">
        <f>MAX(M247,0)</f>
        <v/>
      </c>
      <c r="P247" s="192">
        <f>IFERROR(F247/O247,0)</f>
        <v/>
      </c>
      <c r="Q247" s="193">
        <f>IF(N247&gt;=Umbral_PUSH_pct,IF(M247&gt;=Umbral_PUSH_eur,"PUSH","NEUTRAL"),IF(N247&gt;=Umbral_NEUTRAL_pct,"NEUTRAL",IF(N247&gt;=Umbral_WATCH_pct,"WATCH","NO ANUNCIAR")))</f>
        <v/>
      </c>
    </row>
    <row r="248">
      <c r="A248" s="122" t="inlineStr">
        <is>
          <t>Balliu</t>
        </is>
      </c>
      <c r="B248" s="122" t="inlineStr">
        <is>
          <t>BALLIU_OLIMPIA_MESA_AUXILIA_ESQUINERA_TABLER_5AD43BF2</t>
        </is>
      </c>
      <c r="C248" s="122" t="inlineStr">
        <is>
          <t>Mesa auxiliar exterior aluminio | 54 cm</t>
        </is>
      </c>
      <c r="D248" s="124" t="n">
        <v>123.32</v>
      </c>
      <c r="E248" s="124" t="n">
        <v>189.72</v>
      </c>
      <c r="F248" s="124">
        <f>E248*(1+IVA)</f>
        <v/>
      </c>
      <c r="G248" s="124">
        <f>E248-D248</f>
        <v/>
      </c>
      <c r="H248" s="194">
        <f>IFERROR(G248/E248,0)</f>
        <v/>
      </c>
      <c r="I248" s="124">
        <f>F248*Comision_pago_pct+Comision_pago_fija</f>
        <v/>
      </c>
      <c r="J248" s="124">
        <f>IF(A248="Hevea",IF(F248&gt;=Hevea_umbral_envio_gratis,0,Hevea_coste_envio_bajo),Balliu_coste_envio)</f>
        <v/>
      </c>
      <c r="K248" s="124">
        <f>Tasa_devolucion*Coste_devolucion</f>
        <v/>
      </c>
      <c r="L248" s="124">
        <f>Tasa_incidencia*Coste_incidencia</f>
        <v/>
      </c>
      <c r="M248" s="124">
        <f>G248-I248-J248-K248-L248</f>
        <v/>
      </c>
      <c r="N248" s="194">
        <f>IFERROR(M248/E248,0)</f>
        <v/>
      </c>
      <c r="O248" s="124">
        <f>MAX(M248,0)</f>
        <v/>
      </c>
      <c r="P248" s="195">
        <f>IFERROR(F248/O248,0)</f>
        <v/>
      </c>
      <c r="Q248" s="196">
        <f>IF(N248&gt;=Umbral_PUSH_pct,IF(M248&gt;=Umbral_PUSH_eur,"PUSH","NEUTRAL"),IF(N248&gt;=Umbral_NEUTRAL_pct,"NEUTRAL",IF(N248&gt;=Umbral_WATCH_pct,"WATCH","NO ANUNCIAR")))</f>
        <v/>
      </c>
    </row>
    <row r="249">
      <c r="A249" s="116" t="inlineStr">
        <is>
          <t>Balliu</t>
        </is>
      </c>
      <c r="B249" s="116" t="inlineStr">
        <is>
          <t>BALLIU_OLIMPIA_MESA_AUXILIA_ESQUINERA_TABLER_2AD5A2DF</t>
        </is>
      </c>
      <c r="C249" s="116" t="inlineStr">
        <is>
          <t>Mesa auxiliar exterior aluminio | 54 cm</t>
        </is>
      </c>
      <c r="D249" s="118" t="n">
        <v>136.79</v>
      </c>
      <c r="E249" s="118" t="n">
        <v>210.45</v>
      </c>
      <c r="F249" s="118">
        <f>E249*(1+IVA)</f>
        <v/>
      </c>
      <c r="G249" s="118">
        <f>E249-D249</f>
        <v/>
      </c>
      <c r="H249" s="191">
        <f>IFERROR(G249/E249,0)</f>
        <v/>
      </c>
      <c r="I249" s="118">
        <f>F249*Comision_pago_pct+Comision_pago_fija</f>
        <v/>
      </c>
      <c r="J249" s="118">
        <f>IF(A249="Hevea",IF(F249&gt;=Hevea_umbral_envio_gratis,0,Hevea_coste_envio_bajo),Balliu_coste_envio)</f>
        <v/>
      </c>
      <c r="K249" s="118">
        <f>Tasa_devolucion*Coste_devolucion</f>
        <v/>
      </c>
      <c r="L249" s="118">
        <f>Tasa_incidencia*Coste_incidencia</f>
        <v/>
      </c>
      <c r="M249" s="118">
        <f>G249-I249-J249-K249-L249</f>
        <v/>
      </c>
      <c r="N249" s="191">
        <f>IFERROR(M249/E249,0)</f>
        <v/>
      </c>
      <c r="O249" s="118">
        <f>MAX(M249,0)</f>
        <v/>
      </c>
      <c r="P249" s="192">
        <f>IFERROR(F249/O249,0)</f>
        <v/>
      </c>
      <c r="Q249" s="193">
        <f>IF(N249&gt;=Umbral_PUSH_pct,IF(M249&gt;=Umbral_PUSH_eur,"PUSH","NEUTRAL"),IF(N249&gt;=Umbral_NEUTRAL_pct,"NEUTRAL",IF(N249&gt;=Umbral_WATCH_pct,"WATCH","NO ANUNCIAR")))</f>
        <v/>
      </c>
    </row>
    <row r="250">
      <c r="A250" s="122" t="inlineStr">
        <is>
          <t>Balliu</t>
        </is>
      </c>
      <c r="B250" s="122" t="inlineStr">
        <is>
          <t>BALLIU_ETNA_SOFA_INDIVIDUAL_ACRIL_674AB9A1</t>
        </is>
      </c>
      <c r="C250" s="122" t="inlineStr">
        <is>
          <t>Sofá exterior 3 plazas aluminio · estilo contemporáneo | 77 cm</t>
        </is>
      </c>
      <c r="D250" s="124" t="n">
        <v>367.06</v>
      </c>
      <c r="E250" s="124" t="n">
        <v>564.71</v>
      </c>
      <c r="F250" s="124">
        <f>E250*(1+IVA)</f>
        <v/>
      </c>
      <c r="G250" s="124">
        <f>E250-D250</f>
        <v/>
      </c>
      <c r="H250" s="194">
        <f>IFERROR(G250/E250,0)</f>
        <v/>
      </c>
      <c r="I250" s="124">
        <f>F250*Comision_pago_pct+Comision_pago_fija</f>
        <v/>
      </c>
      <c r="J250" s="124">
        <f>IF(A250="Hevea",IF(F250&gt;=Hevea_umbral_envio_gratis,0,Hevea_coste_envio_bajo),Balliu_coste_envio)</f>
        <v/>
      </c>
      <c r="K250" s="124">
        <f>Tasa_devolucion*Coste_devolucion</f>
        <v/>
      </c>
      <c r="L250" s="124">
        <f>Tasa_incidencia*Coste_incidencia</f>
        <v/>
      </c>
      <c r="M250" s="124">
        <f>G250-I250-J250-K250-L250</f>
        <v/>
      </c>
      <c r="N250" s="194">
        <f>IFERROR(M250/E250,0)</f>
        <v/>
      </c>
      <c r="O250" s="124">
        <f>MAX(M250,0)</f>
        <v/>
      </c>
      <c r="P250" s="195">
        <f>IFERROR(F250/O250,0)</f>
        <v/>
      </c>
      <c r="Q250" s="196">
        <f>IF(N250&gt;=Umbral_PUSH_pct,IF(M250&gt;=Umbral_PUSH_eur,"PUSH","NEUTRAL"),IF(N250&gt;=Umbral_NEUTRAL_pct,"NEUTRAL",IF(N250&gt;=Umbral_WATCH_pct,"WATCH","NO ANUNCIAR")))</f>
        <v/>
      </c>
    </row>
    <row r="251">
      <c r="A251" s="116" t="inlineStr">
        <is>
          <t>Balliu</t>
        </is>
      </c>
      <c r="B251" s="116" t="inlineStr">
        <is>
          <t>BALLIU_ETNA_SOFA_DOBLE_ACRILICO_AED77E2A</t>
        </is>
      </c>
      <c r="C251" s="116" t="inlineStr">
        <is>
          <t>Sofá exterior 3 plazas aluminio · estilo contemporáneo | 77 cm</t>
        </is>
      </c>
      <c r="D251" s="118" t="n">
        <v>611.77</v>
      </c>
      <c r="E251" s="118" t="n">
        <v>941.1799999999999</v>
      </c>
      <c r="F251" s="118">
        <f>E251*(1+IVA)</f>
        <v/>
      </c>
      <c r="G251" s="118">
        <f>E251-D251</f>
        <v/>
      </c>
      <c r="H251" s="191">
        <f>IFERROR(G251/E251,0)</f>
        <v/>
      </c>
      <c r="I251" s="118">
        <f>F251*Comision_pago_pct+Comision_pago_fija</f>
        <v/>
      </c>
      <c r="J251" s="118">
        <f>IF(A251="Hevea",IF(F251&gt;=Hevea_umbral_envio_gratis,0,Hevea_coste_envio_bajo),Balliu_coste_envio)</f>
        <v/>
      </c>
      <c r="K251" s="118">
        <f>Tasa_devolucion*Coste_devolucion</f>
        <v/>
      </c>
      <c r="L251" s="118">
        <f>Tasa_incidencia*Coste_incidencia</f>
        <v/>
      </c>
      <c r="M251" s="118">
        <f>G251-I251-J251-K251-L251</f>
        <v/>
      </c>
      <c r="N251" s="191">
        <f>IFERROR(M251/E251,0)</f>
        <v/>
      </c>
      <c r="O251" s="118">
        <f>MAX(M251,0)</f>
        <v/>
      </c>
      <c r="P251" s="192">
        <f>IFERROR(F251/O251,0)</f>
        <v/>
      </c>
      <c r="Q251" s="193">
        <f>IF(N251&gt;=Umbral_PUSH_pct,IF(M251&gt;=Umbral_PUSH_eur,"PUSH","NEUTRAL"),IF(N251&gt;=Umbral_NEUTRAL_pct,"NEUTRAL",IF(N251&gt;=Umbral_WATCH_pct,"WATCH","NO ANUNCIAR")))</f>
        <v/>
      </c>
    </row>
    <row r="252">
      <c r="A252" s="122" t="inlineStr">
        <is>
          <t>Balliu</t>
        </is>
      </c>
      <c r="B252" s="122" t="inlineStr">
        <is>
          <t>BALLIU_ETNA_SOFA_TRIPLE_ACRILICO_E58D825A</t>
        </is>
      </c>
      <c r="C252" s="122" t="inlineStr">
        <is>
          <t>Sofá exterior 3 plazas aluminio · estilo contemporáneo | 77 cm</t>
        </is>
      </c>
      <c r="D252" s="124" t="n">
        <v>837.52</v>
      </c>
      <c r="E252" s="124" t="n">
        <v>1288.49</v>
      </c>
      <c r="F252" s="124">
        <f>E252*(1+IVA)</f>
        <v/>
      </c>
      <c r="G252" s="124">
        <f>E252-D252</f>
        <v/>
      </c>
      <c r="H252" s="194">
        <f>IFERROR(G252/E252,0)</f>
        <v/>
      </c>
      <c r="I252" s="124">
        <f>F252*Comision_pago_pct+Comision_pago_fija</f>
        <v/>
      </c>
      <c r="J252" s="124">
        <f>IF(A252="Hevea",IF(F252&gt;=Hevea_umbral_envio_gratis,0,Hevea_coste_envio_bajo),Balliu_coste_envio)</f>
        <v/>
      </c>
      <c r="K252" s="124">
        <f>Tasa_devolucion*Coste_devolucion</f>
        <v/>
      </c>
      <c r="L252" s="124">
        <f>Tasa_incidencia*Coste_incidencia</f>
        <v/>
      </c>
      <c r="M252" s="124">
        <f>G252-I252-J252-K252-L252</f>
        <v/>
      </c>
      <c r="N252" s="194">
        <f>IFERROR(M252/E252,0)</f>
        <v/>
      </c>
      <c r="O252" s="124">
        <f>MAX(M252,0)</f>
        <v/>
      </c>
      <c r="P252" s="195">
        <f>IFERROR(F252/O252,0)</f>
        <v/>
      </c>
      <c r="Q252" s="196">
        <f>IF(N252&gt;=Umbral_PUSH_pct,IF(M252&gt;=Umbral_PUSH_eur,"PUSH","NEUTRAL"),IF(N252&gt;=Umbral_NEUTRAL_pct,"NEUTRAL",IF(N252&gt;=Umbral_WATCH_pct,"WATCH","NO ANUNCIAR")))</f>
        <v/>
      </c>
    </row>
    <row r="253">
      <c r="A253" s="116" t="inlineStr">
        <is>
          <t>Balliu</t>
        </is>
      </c>
      <c r="B253" s="116" t="inlineStr">
        <is>
          <t>BALLIU_ETNA_MESA_CENTRAL_TABLERO_HPL_510B363E</t>
        </is>
      </c>
      <c r="C253" s="116" t="inlineStr">
        <is>
          <t>Mesa de centro exterior aluminio | 60 cm</t>
        </is>
      </c>
      <c r="D253" s="118" t="n">
        <v>194.7</v>
      </c>
      <c r="E253" s="118" t="n">
        <v>299.54</v>
      </c>
      <c r="F253" s="118">
        <f>E253*(1+IVA)</f>
        <v/>
      </c>
      <c r="G253" s="118">
        <f>E253-D253</f>
        <v/>
      </c>
      <c r="H253" s="191">
        <f>IFERROR(G253/E253,0)</f>
        <v/>
      </c>
      <c r="I253" s="118">
        <f>F253*Comision_pago_pct+Comision_pago_fija</f>
        <v/>
      </c>
      <c r="J253" s="118">
        <f>IF(A253="Hevea",IF(F253&gt;=Hevea_umbral_envio_gratis,0,Hevea_coste_envio_bajo),Balliu_coste_envio)</f>
        <v/>
      </c>
      <c r="K253" s="118">
        <f>Tasa_devolucion*Coste_devolucion</f>
        <v/>
      </c>
      <c r="L253" s="118">
        <f>Tasa_incidencia*Coste_incidencia</f>
        <v/>
      </c>
      <c r="M253" s="118">
        <f>G253-I253-J253-K253-L253</f>
        <v/>
      </c>
      <c r="N253" s="191">
        <f>IFERROR(M253/E253,0)</f>
        <v/>
      </c>
      <c r="O253" s="118">
        <f>MAX(M253,0)</f>
        <v/>
      </c>
      <c r="P253" s="192">
        <f>IFERROR(F253/O253,0)</f>
        <v/>
      </c>
      <c r="Q253" s="193">
        <f>IF(N253&gt;=Umbral_PUSH_pct,IF(M253&gt;=Umbral_PUSH_eur,"PUSH","NEUTRAL"),IF(N253&gt;=Umbral_NEUTRAL_pct,"NEUTRAL",IF(N253&gt;=Umbral_WATCH_pct,"WATCH","NO ANUNCIAR")))</f>
        <v/>
      </c>
    </row>
    <row r="254">
      <c r="A254" s="122" t="inlineStr">
        <is>
          <t>Balliu</t>
        </is>
      </c>
      <c r="B254" s="122" t="inlineStr">
        <is>
          <t>BALLIU_ETNA_MESA_CENTRAL_TABLERO_HPL_GD_BC53F712</t>
        </is>
      </c>
      <c r="C254" s="122" t="inlineStr">
        <is>
          <t>Mesa de centro exterior aluminio | 60 cm</t>
        </is>
      </c>
      <c r="D254" s="124" t="n">
        <v>226.66</v>
      </c>
      <c r="E254" s="124" t="n">
        <v>348.72</v>
      </c>
      <c r="F254" s="124">
        <f>E254*(1+IVA)</f>
        <v/>
      </c>
      <c r="G254" s="124">
        <f>E254-D254</f>
        <v/>
      </c>
      <c r="H254" s="194">
        <f>IFERROR(G254/E254,0)</f>
        <v/>
      </c>
      <c r="I254" s="124">
        <f>F254*Comision_pago_pct+Comision_pago_fija</f>
        <v/>
      </c>
      <c r="J254" s="124">
        <f>IF(A254="Hevea",IF(F254&gt;=Hevea_umbral_envio_gratis,0,Hevea_coste_envio_bajo),Balliu_coste_envio)</f>
        <v/>
      </c>
      <c r="K254" s="124">
        <f>Tasa_devolucion*Coste_devolucion</f>
        <v/>
      </c>
      <c r="L254" s="124">
        <f>Tasa_incidencia*Coste_incidencia</f>
        <v/>
      </c>
      <c r="M254" s="124">
        <f>G254-I254-J254-K254-L254</f>
        <v/>
      </c>
      <c r="N254" s="194">
        <f>IFERROR(M254/E254,0)</f>
        <v/>
      </c>
      <c r="O254" s="124">
        <f>MAX(M254,0)</f>
        <v/>
      </c>
      <c r="P254" s="195">
        <f>IFERROR(F254/O254,0)</f>
        <v/>
      </c>
      <c r="Q254" s="196">
        <f>IF(N254&gt;=Umbral_PUSH_pct,IF(M254&gt;=Umbral_PUSH_eur,"PUSH","NEUTRAL"),IF(N254&gt;=Umbral_NEUTRAL_pct,"NEUTRAL",IF(N254&gt;=Umbral_WATCH_pct,"WATCH","NO ANUNCIAR")))</f>
        <v/>
      </c>
    </row>
    <row r="255">
      <c r="A255" s="116" t="inlineStr">
        <is>
          <t>Balliu</t>
        </is>
      </c>
      <c r="B255" s="116" t="inlineStr">
        <is>
          <t>BALLIU_PARASOL_TELA_ACRILICA_236BD5F0</t>
        </is>
      </c>
      <c r="C255" s="116" t="inlineStr">
        <is>
          <t>Parasol para terraza acrílico</t>
        </is>
      </c>
      <c r="D255" s="118" t="n">
        <v>221.96</v>
      </c>
      <c r="E255" s="118" t="n">
        <v>341.48</v>
      </c>
      <c r="F255" s="118">
        <f>E255*(1+IVA)</f>
        <v/>
      </c>
      <c r="G255" s="118">
        <f>E255-D255</f>
        <v/>
      </c>
      <c r="H255" s="191">
        <f>IFERROR(G255/E255,0)</f>
        <v/>
      </c>
      <c r="I255" s="118">
        <f>F255*Comision_pago_pct+Comision_pago_fija</f>
        <v/>
      </c>
      <c r="J255" s="118">
        <f>IF(A255="Hevea",IF(F255&gt;=Hevea_umbral_envio_gratis,0,Hevea_coste_envio_bajo),Balliu_coste_envio)</f>
        <v/>
      </c>
      <c r="K255" s="118">
        <f>Tasa_devolucion*Coste_devolucion</f>
        <v/>
      </c>
      <c r="L255" s="118">
        <f>Tasa_incidencia*Coste_incidencia</f>
        <v/>
      </c>
      <c r="M255" s="118">
        <f>G255-I255-J255-K255-L255</f>
        <v/>
      </c>
      <c r="N255" s="191">
        <f>IFERROR(M255/E255,0)</f>
        <v/>
      </c>
      <c r="O255" s="118">
        <f>MAX(M255,0)</f>
        <v/>
      </c>
      <c r="P255" s="192">
        <f>IFERROR(F255/O255,0)</f>
        <v/>
      </c>
      <c r="Q255" s="193">
        <f>IF(N255&gt;=Umbral_PUSH_pct,IF(M255&gt;=Umbral_PUSH_eur,"PUSH","NEUTRAL"),IF(N255&gt;=Umbral_NEUTRAL_pct,"NEUTRAL",IF(N255&gt;=Umbral_WATCH_pct,"WATCH","NO ANUNCIAR")))</f>
        <v/>
      </c>
    </row>
    <row r="256">
      <c r="A256" s="122" t="inlineStr">
        <is>
          <t>Balliu</t>
        </is>
      </c>
      <c r="B256" s="122" t="inlineStr">
        <is>
          <t>BALLIU_PARASOL_TELA_BALLIU_82E48B2D</t>
        </is>
      </c>
      <c r="C256" s="122" t="inlineStr">
        <is>
          <t>Parasol para terraza</t>
        </is>
      </c>
      <c r="D256" s="124" t="n">
        <v>206.48</v>
      </c>
      <c r="E256" s="124" t="n">
        <v>317.66</v>
      </c>
      <c r="F256" s="124">
        <f>E256*(1+IVA)</f>
        <v/>
      </c>
      <c r="G256" s="124">
        <f>E256-D256</f>
        <v/>
      </c>
      <c r="H256" s="194">
        <f>IFERROR(G256/E256,0)</f>
        <v/>
      </c>
      <c r="I256" s="124">
        <f>F256*Comision_pago_pct+Comision_pago_fija</f>
        <v/>
      </c>
      <c r="J256" s="124">
        <f>IF(A256="Hevea",IF(F256&gt;=Hevea_umbral_envio_gratis,0,Hevea_coste_envio_bajo),Balliu_coste_envio)</f>
        <v/>
      </c>
      <c r="K256" s="124">
        <f>Tasa_devolucion*Coste_devolucion</f>
        <v/>
      </c>
      <c r="L256" s="124">
        <f>Tasa_incidencia*Coste_incidencia</f>
        <v/>
      </c>
      <c r="M256" s="124">
        <f>G256-I256-J256-K256-L256</f>
        <v/>
      </c>
      <c r="N256" s="194">
        <f>IFERROR(M256/E256,0)</f>
        <v/>
      </c>
      <c r="O256" s="124">
        <f>MAX(M256,0)</f>
        <v/>
      </c>
      <c r="P256" s="195">
        <f>IFERROR(F256/O256,0)</f>
        <v/>
      </c>
      <c r="Q256" s="196">
        <f>IF(N256&gt;=Umbral_PUSH_pct,IF(M256&gt;=Umbral_PUSH_eur,"PUSH","NEUTRAL"),IF(N256&gt;=Umbral_NEUTRAL_pct,"NEUTRAL",IF(N256&gt;=Umbral_WATCH_pct,"WATCH","NO ANUNCIAR")))</f>
        <v/>
      </c>
    </row>
    <row r="257">
      <c r="A257" s="116" t="inlineStr">
        <is>
          <t>Balliu</t>
        </is>
      </c>
      <c r="B257" s="116" t="inlineStr">
        <is>
          <t>BALLIU_PARASOL_TELA_ACRILICA_236BD5F0</t>
        </is>
      </c>
      <c r="C257" s="116" t="inlineStr">
        <is>
          <t>Parasol para terraza acrílico</t>
        </is>
      </c>
      <c r="D257" s="118" t="n">
        <v>213.86</v>
      </c>
      <c r="E257" s="118" t="n">
        <v>329.01</v>
      </c>
      <c r="F257" s="118">
        <f>E257*(1+IVA)</f>
        <v/>
      </c>
      <c r="G257" s="118">
        <f>E257-D257</f>
        <v/>
      </c>
      <c r="H257" s="191">
        <f>IFERROR(G257/E257,0)</f>
        <v/>
      </c>
      <c r="I257" s="118">
        <f>F257*Comision_pago_pct+Comision_pago_fija</f>
        <v/>
      </c>
      <c r="J257" s="118">
        <f>IF(A257="Hevea",IF(F257&gt;=Hevea_umbral_envio_gratis,0,Hevea_coste_envio_bajo),Balliu_coste_envio)</f>
        <v/>
      </c>
      <c r="K257" s="118">
        <f>Tasa_devolucion*Coste_devolucion</f>
        <v/>
      </c>
      <c r="L257" s="118">
        <f>Tasa_incidencia*Coste_incidencia</f>
        <v/>
      </c>
      <c r="M257" s="118">
        <f>G257-I257-J257-K257-L257</f>
        <v/>
      </c>
      <c r="N257" s="191">
        <f>IFERROR(M257/E257,0)</f>
        <v/>
      </c>
      <c r="O257" s="118">
        <f>MAX(M257,0)</f>
        <v/>
      </c>
      <c r="P257" s="192">
        <f>IFERROR(F257/O257,0)</f>
        <v/>
      </c>
      <c r="Q257" s="193">
        <f>IF(N257&gt;=Umbral_PUSH_pct,IF(M257&gt;=Umbral_PUSH_eur,"PUSH","NEUTRAL"),IF(N257&gt;=Umbral_NEUTRAL_pct,"NEUTRAL",IF(N257&gt;=Umbral_WATCH_pct,"WATCH","NO ANUNCIAR")))</f>
        <v/>
      </c>
    </row>
    <row r="258">
      <c r="A258" s="122" t="inlineStr">
        <is>
          <t>Balliu</t>
        </is>
      </c>
      <c r="B258" s="122" t="inlineStr">
        <is>
          <t>BALLIU_PARASOL_TELA_BALLIU_82E48B2D</t>
        </is>
      </c>
      <c r="C258" s="122" t="inlineStr">
        <is>
          <t>Parasol para terraza</t>
        </is>
      </c>
      <c r="D258" s="124" t="n">
        <v>163.38</v>
      </c>
      <c r="E258" s="124" t="n">
        <v>251.35</v>
      </c>
      <c r="F258" s="124">
        <f>E258*(1+IVA)</f>
        <v/>
      </c>
      <c r="G258" s="124">
        <f>E258-D258</f>
        <v/>
      </c>
      <c r="H258" s="194">
        <f>IFERROR(G258/E258,0)</f>
        <v/>
      </c>
      <c r="I258" s="124">
        <f>F258*Comision_pago_pct+Comision_pago_fija</f>
        <v/>
      </c>
      <c r="J258" s="124">
        <f>IF(A258="Hevea",IF(F258&gt;=Hevea_umbral_envio_gratis,0,Hevea_coste_envio_bajo),Balliu_coste_envio)</f>
        <v/>
      </c>
      <c r="K258" s="124">
        <f>Tasa_devolucion*Coste_devolucion</f>
        <v/>
      </c>
      <c r="L258" s="124">
        <f>Tasa_incidencia*Coste_incidencia</f>
        <v/>
      </c>
      <c r="M258" s="124">
        <f>G258-I258-J258-K258-L258</f>
        <v/>
      </c>
      <c r="N258" s="194">
        <f>IFERROR(M258/E258,0)</f>
        <v/>
      </c>
      <c r="O258" s="124">
        <f>MAX(M258,0)</f>
        <v/>
      </c>
      <c r="P258" s="195">
        <f>IFERROR(F258/O258,0)</f>
        <v/>
      </c>
      <c r="Q258" s="196">
        <f>IF(N258&gt;=Umbral_PUSH_pct,IF(M258&gt;=Umbral_PUSH_eur,"PUSH","NEUTRAL"),IF(N258&gt;=Umbral_NEUTRAL_pct,"NEUTRAL",IF(N258&gt;=Umbral_WATCH_pct,"WATCH","NO ANUNCIAR")))</f>
        <v/>
      </c>
    </row>
    <row r="259">
      <c r="A259" s="116" t="inlineStr">
        <is>
          <t>Balliu</t>
        </is>
      </c>
      <c r="B259" s="116" t="inlineStr">
        <is>
          <t>BALLIU_PARASOL_TELA_BALLIU_250__F1ED8B8B</t>
        </is>
      </c>
      <c r="C259" s="116" t="inlineStr">
        <is>
          <t>Parasol para terraza</t>
        </is>
      </c>
      <c r="D259" s="118" t="n">
        <v>204.95</v>
      </c>
      <c r="E259" s="118" t="n">
        <v>315.32</v>
      </c>
      <c r="F259" s="118">
        <f>E259*(1+IVA)</f>
        <v/>
      </c>
      <c r="G259" s="118">
        <f>E259-D259</f>
        <v/>
      </c>
      <c r="H259" s="191">
        <f>IFERROR(G259/E259,0)</f>
        <v/>
      </c>
      <c r="I259" s="118">
        <f>F259*Comision_pago_pct+Comision_pago_fija</f>
        <v/>
      </c>
      <c r="J259" s="118">
        <f>IF(A259="Hevea",IF(F259&gt;=Hevea_umbral_envio_gratis,0,Hevea_coste_envio_bajo),Balliu_coste_envio)</f>
        <v/>
      </c>
      <c r="K259" s="118">
        <f>Tasa_devolucion*Coste_devolucion</f>
        <v/>
      </c>
      <c r="L259" s="118">
        <f>Tasa_incidencia*Coste_incidencia</f>
        <v/>
      </c>
      <c r="M259" s="118">
        <f>G259-I259-J259-K259-L259</f>
        <v/>
      </c>
      <c r="N259" s="191">
        <f>IFERROR(M259/E259,0)</f>
        <v/>
      </c>
      <c r="O259" s="118">
        <f>MAX(M259,0)</f>
        <v/>
      </c>
      <c r="P259" s="192">
        <f>IFERROR(F259/O259,0)</f>
        <v/>
      </c>
      <c r="Q259" s="193">
        <f>IF(N259&gt;=Umbral_PUSH_pct,IF(M259&gt;=Umbral_PUSH_eur,"PUSH","NEUTRAL"),IF(N259&gt;=Umbral_NEUTRAL_pct,"NEUTRAL",IF(N259&gt;=Umbral_WATCH_pct,"WATCH","NO ANUNCIAR")))</f>
        <v/>
      </c>
    </row>
    <row r="260">
      <c r="A260" s="122" t="inlineStr">
        <is>
          <t>Balliu</t>
        </is>
      </c>
      <c r="B260" s="122" t="inlineStr">
        <is>
          <t>BALLIU_PARASOL_TELA_ACRILICA_25_C8DD492D</t>
        </is>
      </c>
      <c r="C260" s="122" t="inlineStr">
        <is>
          <t>Parasol para terraza acrílico</t>
        </is>
      </c>
      <c r="D260" s="124" t="n">
        <v>222.76</v>
      </c>
      <c r="E260" s="124" t="n">
        <v>342.7</v>
      </c>
      <c r="F260" s="124">
        <f>E260*(1+IVA)</f>
        <v/>
      </c>
      <c r="G260" s="124">
        <f>E260-D260</f>
        <v/>
      </c>
      <c r="H260" s="194">
        <f>IFERROR(G260/E260,0)</f>
        <v/>
      </c>
      <c r="I260" s="124">
        <f>F260*Comision_pago_pct+Comision_pago_fija</f>
        <v/>
      </c>
      <c r="J260" s="124">
        <f>IF(A260="Hevea",IF(F260&gt;=Hevea_umbral_envio_gratis,0,Hevea_coste_envio_bajo),Balliu_coste_envio)</f>
        <v/>
      </c>
      <c r="K260" s="124">
        <f>Tasa_devolucion*Coste_devolucion</f>
        <v/>
      </c>
      <c r="L260" s="124">
        <f>Tasa_incidencia*Coste_incidencia</f>
        <v/>
      </c>
      <c r="M260" s="124">
        <f>G260-I260-J260-K260-L260</f>
        <v/>
      </c>
      <c r="N260" s="194">
        <f>IFERROR(M260/E260,0)</f>
        <v/>
      </c>
      <c r="O260" s="124">
        <f>MAX(M260,0)</f>
        <v/>
      </c>
      <c r="P260" s="195">
        <f>IFERROR(F260/O260,0)</f>
        <v/>
      </c>
      <c r="Q260" s="196">
        <f>IF(N260&gt;=Umbral_PUSH_pct,IF(M260&gt;=Umbral_PUSH_eur,"PUSH","NEUTRAL"),IF(N260&gt;=Umbral_NEUTRAL_pct,"NEUTRAL",IF(N260&gt;=Umbral_WATCH_pct,"WATCH","NO ANUNCIAR")))</f>
        <v/>
      </c>
    </row>
    <row r="261">
      <c r="A261" s="116" t="inlineStr">
        <is>
          <t>Balliu</t>
        </is>
      </c>
      <c r="B261" s="116" t="inlineStr">
        <is>
          <t>BALLIU_PARASOL_TELA_ACRILICA_236BD5F0</t>
        </is>
      </c>
      <c r="C261" s="116" t="inlineStr">
        <is>
          <t>Parasol para terraza acrílico</t>
        </is>
      </c>
      <c r="D261" s="118" t="n">
        <v>228.96</v>
      </c>
      <c r="E261" s="118" t="n">
        <v>352.25</v>
      </c>
      <c r="F261" s="118">
        <f>E261*(1+IVA)</f>
        <v/>
      </c>
      <c r="G261" s="118">
        <f>E261-D261</f>
        <v/>
      </c>
      <c r="H261" s="191">
        <f>IFERROR(G261/E261,0)</f>
        <v/>
      </c>
      <c r="I261" s="118">
        <f>F261*Comision_pago_pct+Comision_pago_fija</f>
        <v/>
      </c>
      <c r="J261" s="118">
        <f>IF(A261="Hevea",IF(F261&gt;=Hevea_umbral_envio_gratis,0,Hevea_coste_envio_bajo),Balliu_coste_envio)</f>
        <v/>
      </c>
      <c r="K261" s="118">
        <f>Tasa_devolucion*Coste_devolucion</f>
        <v/>
      </c>
      <c r="L261" s="118">
        <f>Tasa_incidencia*Coste_incidencia</f>
        <v/>
      </c>
      <c r="M261" s="118">
        <f>G261-I261-J261-K261-L261</f>
        <v/>
      </c>
      <c r="N261" s="191">
        <f>IFERROR(M261/E261,0)</f>
        <v/>
      </c>
      <c r="O261" s="118">
        <f>MAX(M261,0)</f>
        <v/>
      </c>
      <c r="P261" s="192">
        <f>IFERROR(F261/O261,0)</f>
        <v/>
      </c>
      <c r="Q261" s="193">
        <f>IF(N261&gt;=Umbral_PUSH_pct,IF(M261&gt;=Umbral_PUSH_eur,"PUSH","NEUTRAL"),IF(N261&gt;=Umbral_NEUTRAL_pct,"NEUTRAL",IF(N261&gt;=Umbral_WATCH_pct,"WATCH","NO ANUNCIAR")))</f>
        <v/>
      </c>
    </row>
    <row r="262">
      <c r="A262" s="122" t="inlineStr">
        <is>
          <t>Balliu</t>
        </is>
      </c>
      <c r="B262" s="122" t="inlineStr">
        <is>
          <t>BALLIU_PARASOL_TELA_BALLIU_82E48B2D</t>
        </is>
      </c>
      <c r="C262" s="122" t="inlineStr">
        <is>
          <t>Parasol para terraza</t>
        </is>
      </c>
      <c r="D262" s="124" t="n">
        <v>217.14</v>
      </c>
      <c r="E262" s="124" t="n">
        <v>334.05</v>
      </c>
      <c r="F262" s="124">
        <f>E262*(1+IVA)</f>
        <v/>
      </c>
      <c r="G262" s="124">
        <f>E262-D262</f>
        <v/>
      </c>
      <c r="H262" s="194">
        <f>IFERROR(G262/E262,0)</f>
        <v/>
      </c>
      <c r="I262" s="124">
        <f>F262*Comision_pago_pct+Comision_pago_fija</f>
        <v/>
      </c>
      <c r="J262" s="124">
        <f>IF(A262="Hevea",IF(F262&gt;=Hevea_umbral_envio_gratis,0,Hevea_coste_envio_bajo),Balliu_coste_envio)</f>
        <v/>
      </c>
      <c r="K262" s="124">
        <f>Tasa_devolucion*Coste_devolucion</f>
        <v/>
      </c>
      <c r="L262" s="124">
        <f>Tasa_incidencia*Coste_incidencia</f>
        <v/>
      </c>
      <c r="M262" s="124">
        <f>G262-I262-J262-K262-L262</f>
        <v/>
      </c>
      <c r="N262" s="194">
        <f>IFERROR(M262/E262,0)</f>
        <v/>
      </c>
      <c r="O262" s="124">
        <f>MAX(M262,0)</f>
        <v/>
      </c>
      <c r="P262" s="195">
        <f>IFERROR(F262/O262,0)</f>
        <v/>
      </c>
      <c r="Q262" s="196">
        <f>IF(N262&gt;=Umbral_PUSH_pct,IF(M262&gt;=Umbral_PUSH_eur,"PUSH","NEUTRAL"),IF(N262&gt;=Umbral_NEUTRAL_pct,"NEUTRAL",IF(N262&gt;=Umbral_WATCH_pct,"WATCH","NO ANUNCIAR")))</f>
        <v/>
      </c>
    </row>
    <row r="263">
      <c r="A263" s="116" t="inlineStr">
        <is>
          <t>Balliu</t>
        </is>
      </c>
      <c r="B263" s="116" t="inlineStr">
        <is>
          <t>BALLIU_GARBI_PARASOL_DIAM_300_CM_TELA_3B7E77D1</t>
        </is>
      </c>
      <c r="C263" s="116" t="inlineStr">
        <is>
          <t>Parasol para terraza aluminio | Ø300 cm</t>
        </is>
      </c>
      <c r="D263" s="118" t="n">
        <v>561.54</v>
      </c>
      <c r="E263" s="118" t="n">
        <v>863.9</v>
      </c>
      <c r="F263" s="118">
        <f>E263*(1+IVA)</f>
        <v/>
      </c>
      <c r="G263" s="118">
        <f>E263-D263</f>
        <v/>
      </c>
      <c r="H263" s="191">
        <f>IFERROR(G263/E263,0)</f>
        <v/>
      </c>
      <c r="I263" s="118">
        <f>F263*Comision_pago_pct+Comision_pago_fija</f>
        <v/>
      </c>
      <c r="J263" s="118">
        <f>IF(A263="Hevea",IF(F263&gt;=Hevea_umbral_envio_gratis,0,Hevea_coste_envio_bajo),Balliu_coste_envio)</f>
        <v/>
      </c>
      <c r="K263" s="118">
        <f>Tasa_devolucion*Coste_devolucion</f>
        <v/>
      </c>
      <c r="L263" s="118">
        <f>Tasa_incidencia*Coste_incidencia</f>
        <v/>
      </c>
      <c r="M263" s="118">
        <f>G263-I263-J263-K263-L263</f>
        <v/>
      </c>
      <c r="N263" s="191">
        <f>IFERROR(M263/E263,0)</f>
        <v/>
      </c>
      <c r="O263" s="118">
        <f>MAX(M263,0)</f>
        <v/>
      </c>
      <c r="P263" s="192">
        <f>IFERROR(F263/O263,0)</f>
        <v/>
      </c>
      <c r="Q263" s="193">
        <f>IF(N263&gt;=Umbral_PUSH_pct,IF(M263&gt;=Umbral_PUSH_eur,"PUSH","NEUTRAL"),IF(N263&gt;=Umbral_NEUTRAL_pct,"NEUTRAL",IF(N263&gt;=Umbral_WATCH_pct,"WATCH","NO ANUNCIAR")))</f>
        <v/>
      </c>
    </row>
    <row r="264">
      <c r="A264" s="122" t="inlineStr">
        <is>
          <t>Balliu</t>
        </is>
      </c>
      <c r="B264" s="122" t="inlineStr">
        <is>
          <t>BALLIU_BRISA_PARASOL_PARASOL_TELA_BAL_0CEBA8E7</t>
        </is>
      </c>
      <c r="C264" s="122" t="inlineStr">
        <is>
          <t>Parasol para terraza aluminio | 300 cm</t>
        </is>
      </c>
      <c r="D264" s="124" t="n">
        <v>561.54</v>
      </c>
      <c r="E264" s="124" t="n">
        <v>863.9</v>
      </c>
      <c r="F264" s="124">
        <f>E264*(1+IVA)</f>
        <v/>
      </c>
      <c r="G264" s="124">
        <f>E264-D264</f>
        <v/>
      </c>
      <c r="H264" s="194">
        <f>IFERROR(G264/E264,0)</f>
        <v/>
      </c>
      <c r="I264" s="124">
        <f>F264*Comision_pago_pct+Comision_pago_fija</f>
        <v/>
      </c>
      <c r="J264" s="124">
        <f>IF(A264="Hevea",IF(F264&gt;=Hevea_umbral_envio_gratis,0,Hevea_coste_envio_bajo),Balliu_coste_envio)</f>
        <v/>
      </c>
      <c r="K264" s="124">
        <f>Tasa_devolucion*Coste_devolucion</f>
        <v/>
      </c>
      <c r="L264" s="124">
        <f>Tasa_incidencia*Coste_incidencia</f>
        <v/>
      </c>
      <c r="M264" s="124">
        <f>G264-I264-J264-K264-L264</f>
        <v/>
      </c>
      <c r="N264" s="194">
        <f>IFERROR(M264/E264,0)</f>
        <v/>
      </c>
      <c r="O264" s="124">
        <f>MAX(M264,0)</f>
        <v/>
      </c>
      <c r="P264" s="195">
        <f>IFERROR(F264/O264,0)</f>
        <v/>
      </c>
      <c r="Q264" s="196">
        <f>IF(N264&gt;=Umbral_PUSH_pct,IF(M264&gt;=Umbral_PUSH_eur,"PUSH","NEUTRAL"),IF(N264&gt;=Umbral_NEUTRAL_pct,"NEUTRAL",IF(N264&gt;=Umbral_WATCH_pct,"WATCH","NO ANUNCIAR")))</f>
        <v/>
      </c>
    </row>
    <row r="265">
      <c r="A265" s="116" t="inlineStr">
        <is>
          <t>Balliu</t>
        </is>
      </c>
      <c r="B265" s="116" t="inlineStr">
        <is>
          <t>BALLIU_ROMA_PARASOL_300X300_CM_6C1E1224</t>
        </is>
      </c>
      <c r="C265" s="116" t="inlineStr">
        <is>
          <t>Parasol para terraza aluminio | 300 cm</t>
        </is>
      </c>
      <c r="D265" s="118" t="n">
        <v>1019.5</v>
      </c>
      <c r="E265" s="118" t="n">
        <v>1568.47</v>
      </c>
      <c r="F265" s="118">
        <f>E265*(1+IVA)</f>
        <v/>
      </c>
      <c r="G265" s="118">
        <f>E265-D265</f>
        <v/>
      </c>
      <c r="H265" s="191">
        <f>IFERROR(G265/E265,0)</f>
        <v/>
      </c>
      <c r="I265" s="118">
        <f>F265*Comision_pago_pct+Comision_pago_fija</f>
        <v/>
      </c>
      <c r="J265" s="118">
        <f>IF(A265="Hevea",IF(F265&gt;=Hevea_umbral_envio_gratis,0,Hevea_coste_envio_bajo),Balliu_coste_envio)</f>
        <v/>
      </c>
      <c r="K265" s="118">
        <f>Tasa_devolucion*Coste_devolucion</f>
        <v/>
      </c>
      <c r="L265" s="118">
        <f>Tasa_incidencia*Coste_incidencia</f>
        <v/>
      </c>
      <c r="M265" s="118">
        <f>G265-I265-J265-K265-L265</f>
        <v/>
      </c>
      <c r="N265" s="191">
        <f>IFERROR(M265/E265,0)</f>
        <v/>
      </c>
      <c r="O265" s="118">
        <f>MAX(M265,0)</f>
        <v/>
      </c>
      <c r="P265" s="192">
        <f>IFERROR(F265/O265,0)</f>
        <v/>
      </c>
      <c r="Q265" s="193">
        <f>IF(N265&gt;=Umbral_PUSH_pct,IF(M265&gt;=Umbral_PUSH_eur,"PUSH","NEUTRAL"),IF(N265&gt;=Umbral_NEUTRAL_pct,"NEUTRAL",IF(N265&gt;=Umbral_WATCH_pct,"WATCH","NO ANUNCIAR")))</f>
        <v/>
      </c>
    </row>
    <row r="266">
      <c r="A266" s="122" t="inlineStr">
        <is>
          <t>Balliu</t>
        </is>
      </c>
      <c r="B266" s="122" t="inlineStr">
        <is>
          <t>BALLIU_PASARELA_RESINA_RECI_METRO_PASARELA_B_DA11D420</t>
        </is>
      </c>
      <c r="C266" s="122" t="inlineStr">
        <is>
          <t>Accesorio exterior resina</t>
        </is>
      </c>
      <c r="D266" s="124" t="n">
        <v>48.25</v>
      </c>
      <c r="E266" s="124" t="n">
        <v>74.23</v>
      </c>
      <c r="F266" s="124">
        <f>E266*(1+IVA)</f>
        <v/>
      </c>
      <c r="G266" s="124">
        <f>E266-D266</f>
        <v/>
      </c>
      <c r="H266" s="194">
        <f>IFERROR(G266/E266,0)</f>
        <v/>
      </c>
      <c r="I266" s="124">
        <f>F266*Comision_pago_pct+Comision_pago_fija</f>
        <v/>
      </c>
      <c r="J266" s="124">
        <f>IF(A266="Hevea",IF(F266&gt;=Hevea_umbral_envio_gratis,0,Hevea_coste_envio_bajo),Balliu_coste_envio)</f>
        <v/>
      </c>
      <c r="K266" s="124">
        <f>Tasa_devolucion*Coste_devolucion</f>
        <v/>
      </c>
      <c r="L266" s="124">
        <f>Tasa_incidencia*Coste_incidencia</f>
        <v/>
      </c>
      <c r="M266" s="124">
        <f>G266-I266-J266-K266-L266</f>
        <v/>
      </c>
      <c r="N266" s="194">
        <f>IFERROR(M266/E266,0)</f>
        <v/>
      </c>
      <c r="O266" s="124">
        <f>MAX(M266,0)</f>
        <v/>
      </c>
      <c r="P266" s="195">
        <f>IFERROR(F266/O266,0)</f>
        <v/>
      </c>
      <c r="Q266" s="196">
        <f>IF(N266&gt;=Umbral_PUSH_pct,IF(M266&gt;=Umbral_PUSH_eur,"PUSH","NEUTRAL"),IF(N266&gt;=Umbral_NEUTRAL_pct,"NEUTRAL",IF(N266&gt;=Umbral_WATCH_pct,"WATCH","NO ANUNCIAR")))</f>
        <v/>
      </c>
    </row>
    <row r="267">
      <c r="A267" s="116" t="inlineStr">
        <is>
          <t>Balliu</t>
        </is>
      </c>
      <c r="B267" s="116" t="inlineStr">
        <is>
          <t>BALLIU_PASARELA_RESINA_METRO_PASARELA_1_DF85D2D1</t>
        </is>
      </c>
      <c r="C267" s="116" t="inlineStr">
        <is>
          <t>Accesorio exterior resina</t>
        </is>
      </c>
      <c r="D267" s="118" t="n">
        <v>82.22</v>
      </c>
      <c r="E267" s="118" t="n">
        <v>126.49</v>
      </c>
      <c r="F267" s="118">
        <f>E267*(1+IVA)</f>
        <v/>
      </c>
      <c r="G267" s="118">
        <f>E267-D267</f>
        <v/>
      </c>
      <c r="H267" s="191">
        <f>IFERROR(G267/E267,0)</f>
        <v/>
      </c>
      <c r="I267" s="118">
        <f>F267*Comision_pago_pct+Comision_pago_fija</f>
        <v/>
      </c>
      <c r="J267" s="118">
        <f>IF(A267="Hevea",IF(F267&gt;=Hevea_umbral_envio_gratis,0,Hevea_coste_envio_bajo),Balliu_coste_envio)</f>
        <v/>
      </c>
      <c r="K267" s="118">
        <f>Tasa_devolucion*Coste_devolucion</f>
        <v/>
      </c>
      <c r="L267" s="118">
        <f>Tasa_incidencia*Coste_incidencia</f>
        <v/>
      </c>
      <c r="M267" s="118">
        <f>G267-I267-J267-K267-L267</f>
        <v/>
      </c>
      <c r="N267" s="191">
        <f>IFERROR(M267/E267,0)</f>
        <v/>
      </c>
      <c r="O267" s="118">
        <f>MAX(M267,0)</f>
        <v/>
      </c>
      <c r="P267" s="192">
        <f>IFERROR(F267/O267,0)</f>
        <v/>
      </c>
      <c r="Q267" s="193">
        <f>IF(N267&gt;=Umbral_PUSH_pct,IF(M267&gt;=Umbral_PUSH_eur,"PUSH","NEUTRAL"),IF(N267&gt;=Umbral_NEUTRAL_pct,"NEUTRAL",IF(N267&gt;=Umbral_WATCH_pct,"WATCH","NO ANUNCIAR")))</f>
        <v/>
      </c>
    </row>
    <row r="268">
      <c r="A268" s="122" t="inlineStr">
        <is>
          <t>Balliu</t>
        </is>
      </c>
      <c r="B268" s="122" t="inlineStr">
        <is>
          <t>BALLIU_COLCHONETA_TUMBONA_TEJIDO_ACRILICO_26977CB8</t>
        </is>
      </c>
      <c r="C268" s="122" t="inlineStr">
        <is>
          <t>Colchoneta para tumbona acrílico</t>
        </is>
      </c>
      <c r="D268" s="124" t="n">
        <v>70.56999999999999</v>
      </c>
      <c r="E268" s="124" t="n">
        <v>108.57</v>
      </c>
      <c r="F268" s="124">
        <f>E268*(1+IVA)</f>
        <v/>
      </c>
      <c r="G268" s="124">
        <f>E268-D268</f>
        <v/>
      </c>
      <c r="H268" s="194">
        <f>IFERROR(G268/E268,0)</f>
        <v/>
      </c>
      <c r="I268" s="124">
        <f>F268*Comision_pago_pct+Comision_pago_fija</f>
        <v/>
      </c>
      <c r="J268" s="124">
        <f>IF(A268="Hevea",IF(F268&gt;=Hevea_umbral_envio_gratis,0,Hevea_coste_envio_bajo),Balliu_coste_envio)</f>
        <v/>
      </c>
      <c r="K268" s="124">
        <f>Tasa_devolucion*Coste_devolucion</f>
        <v/>
      </c>
      <c r="L268" s="124">
        <f>Tasa_incidencia*Coste_incidencia</f>
        <v/>
      </c>
      <c r="M268" s="124">
        <f>G268-I268-J268-K268-L268</f>
        <v/>
      </c>
      <c r="N268" s="194">
        <f>IFERROR(M268/E268,0)</f>
        <v/>
      </c>
      <c r="O268" s="124">
        <f>MAX(M268,0)</f>
        <v/>
      </c>
      <c r="P268" s="195">
        <f>IFERROR(F268/O268,0)</f>
        <v/>
      </c>
      <c r="Q268" s="196">
        <f>IF(N268&gt;=Umbral_PUSH_pct,IF(M268&gt;=Umbral_PUSH_eur,"PUSH","NEUTRAL"),IF(N268&gt;=Umbral_NEUTRAL_pct,"NEUTRAL",IF(N268&gt;=Umbral_WATCH_pct,"WATCH","NO ANUNCIAR")))</f>
        <v/>
      </c>
    </row>
    <row r="269">
      <c r="A269" s="116" t="inlineStr">
        <is>
          <t>Balliu</t>
        </is>
      </c>
      <c r="B269" s="116" t="inlineStr">
        <is>
          <t>BALLIU_COLCHONETA_TUMBONA_TELA_BALLIU_GUAT_0E9A3256</t>
        </is>
      </c>
      <c r="C269" s="116" t="inlineStr">
        <is>
          <t>Colchoneta para tumbona</t>
        </is>
      </c>
      <c r="D269" s="118" t="n">
        <v>62.07</v>
      </c>
      <c r="E269" s="118" t="n">
        <v>95.5</v>
      </c>
      <c r="F269" s="118">
        <f>E269*(1+IVA)</f>
        <v/>
      </c>
      <c r="G269" s="118">
        <f>E269-D269</f>
        <v/>
      </c>
      <c r="H269" s="191">
        <f>IFERROR(G269/E269,0)</f>
        <v/>
      </c>
      <c r="I269" s="118">
        <f>F269*Comision_pago_pct+Comision_pago_fija</f>
        <v/>
      </c>
      <c r="J269" s="118">
        <f>IF(A269="Hevea",IF(F269&gt;=Hevea_umbral_envio_gratis,0,Hevea_coste_envio_bajo),Balliu_coste_envio)</f>
        <v/>
      </c>
      <c r="K269" s="118">
        <f>Tasa_devolucion*Coste_devolucion</f>
        <v/>
      </c>
      <c r="L269" s="118">
        <f>Tasa_incidencia*Coste_incidencia</f>
        <v/>
      </c>
      <c r="M269" s="118">
        <f>G269-I269-J269-K269-L269</f>
        <v/>
      </c>
      <c r="N269" s="191">
        <f>IFERROR(M269/E269,0)</f>
        <v/>
      </c>
      <c r="O269" s="118">
        <f>MAX(M269,0)</f>
        <v/>
      </c>
      <c r="P269" s="192">
        <f>IFERROR(F269/O269,0)</f>
        <v/>
      </c>
      <c r="Q269" s="193">
        <f>IF(N269&gt;=Umbral_PUSH_pct,IF(M269&gt;=Umbral_PUSH_eur,"PUSH","NEUTRAL"),IF(N269&gt;=Umbral_NEUTRAL_pct,"NEUTRAL",IF(N269&gt;=Umbral_WATCH_pct,"WATCH","NO ANUNCIAR")))</f>
        <v/>
      </c>
    </row>
    <row r="270">
      <c r="A270" s="122" t="inlineStr">
        <is>
          <t>Balliu</t>
        </is>
      </c>
      <c r="B270" s="122" t="inlineStr">
        <is>
          <t>BALLIU_COLCHONETA_TUMBONA_TELA_BALLIU_DRYF_41269616</t>
        </is>
      </c>
      <c r="C270" s="122" t="inlineStr">
        <is>
          <t>Colchoneta para tumbona</t>
        </is>
      </c>
      <c r="D270" s="124" t="n">
        <v>102.54</v>
      </c>
      <c r="E270" s="124" t="n">
        <v>157.75</v>
      </c>
      <c r="F270" s="124">
        <f>E270*(1+IVA)</f>
        <v/>
      </c>
      <c r="G270" s="124">
        <f>E270-D270</f>
        <v/>
      </c>
      <c r="H270" s="194">
        <f>IFERROR(G270/E270,0)</f>
        <v/>
      </c>
      <c r="I270" s="124">
        <f>F270*Comision_pago_pct+Comision_pago_fija</f>
        <v/>
      </c>
      <c r="J270" s="124">
        <f>IF(A270="Hevea",IF(F270&gt;=Hevea_umbral_envio_gratis,0,Hevea_coste_envio_bajo),Balliu_coste_envio)</f>
        <v/>
      </c>
      <c r="K270" s="124">
        <f>Tasa_devolucion*Coste_devolucion</f>
        <v/>
      </c>
      <c r="L270" s="124">
        <f>Tasa_incidencia*Coste_incidencia</f>
        <v/>
      </c>
      <c r="M270" s="124">
        <f>G270-I270-J270-K270-L270</f>
        <v/>
      </c>
      <c r="N270" s="194">
        <f>IFERROR(M270/E270,0)</f>
        <v/>
      </c>
      <c r="O270" s="124">
        <f>MAX(M270,0)</f>
        <v/>
      </c>
      <c r="P270" s="195">
        <f>IFERROR(F270/O270,0)</f>
        <v/>
      </c>
      <c r="Q270" s="196">
        <f>IF(N270&gt;=Umbral_PUSH_pct,IF(M270&gt;=Umbral_PUSH_eur,"PUSH","NEUTRAL"),IF(N270&gt;=Umbral_NEUTRAL_pct,"NEUTRAL",IF(N270&gt;=Umbral_WATCH_pct,"WATCH","NO ANUNCIAR")))</f>
        <v/>
      </c>
    </row>
    <row r="271">
      <c r="A271" s="116" t="inlineStr">
        <is>
          <t>Balliu</t>
        </is>
      </c>
      <c r="B271" s="116" t="inlineStr">
        <is>
          <t>BALLIU_WEGUARD_CAJA_DE_SEGU_6264905D</t>
        </is>
      </c>
      <c r="C271" s="116" t="inlineStr">
        <is>
          <t>Mobiliario exterior resina | 28 cm</t>
        </is>
      </c>
      <c r="D271" s="118" t="n">
        <v>34.61</v>
      </c>
      <c r="E271" s="118" t="n">
        <v>55.82</v>
      </c>
      <c r="F271" s="118">
        <f>E271*(1+IVA)</f>
        <v/>
      </c>
      <c r="G271" s="118">
        <f>E271-D271</f>
        <v/>
      </c>
      <c r="H271" s="191">
        <f>IFERROR(G271/E271,0)</f>
        <v/>
      </c>
      <c r="I271" s="118">
        <f>F271*Comision_pago_pct+Comision_pago_fija</f>
        <v/>
      </c>
      <c r="J271" s="118">
        <f>IF(A271="Hevea",IF(F271&gt;=Hevea_umbral_envio_gratis,0,Hevea_coste_envio_bajo),Balliu_coste_envio)</f>
        <v/>
      </c>
      <c r="K271" s="118">
        <f>Tasa_devolucion*Coste_devolucion</f>
        <v/>
      </c>
      <c r="L271" s="118">
        <f>Tasa_incidencia*Coste_incidencia</f>
        <v/>
      </c>
      <c r="M271" s="118">
        <f>G271-I271-J271-K271-L271</f>
        <v/>
      </c>
      <c r="N271" s="191">
        <f>IFERROR(M271/E271,0)</f>
        <v/>
      </c>
      <c r="O271" s="118">
        <f>MAX(M271,0)</f>
        <v/>
      </c>
      <c r="P271" s="192">
        <f>IFERROR(F271/O271,0)</f>
        <v/>
      </c>
      <c r="Q271" s="193">
        <f>IF(N271&gt;=Umbral_PUSH_pct,IF(M271&gt;=Umbral_PUSH_eur,"PUSH","NEUTRAL"),IF(N271&gt;=Umbral_NEUTRAL_pct,"NEUTRAL",IF(N271&gt;=Umbral_WATCH_pct,"WATCH","NO ANUNCIAR")))</f>
        <v/>
      </c>
    </row>
    <row r="272">
      <c r="A272" s="122" t="inlineStr">
        <is>
          <t>Balliu</t>
        </is>
      </c>
      <c r="B272" s="122" t="inlineStr">
        <is>
          <t>BALLIU_PIE_PARASOL_40_KG_C2147052</t>
        </is>
      </c>
      <c r="C272" s="122" t="inlineStr">
        <is>
          <t>Pie de parasol</t>
        </is>
      </c>
      <c r="D272" s="124" t="n">
        <v>88.17</v>
      </c>
      <c r="E272" s="124" t="n">
        <v>135.65</v>
      </c>
      <c r="F272" s="124">
        <f>E272*(1+IVA)</f>
        <v/>
      </c>
      <c r="G272" s="124">
        <f>E272-D272</f>
        <v/>
      </c>
      <c r="H272" s="194">
        <f>IFERROR(G272/E272,0)</f>
        <v/>
      </c>
      <c r="I272" s="124">
        <f>F272*Comision_pago_pct+Comision_pago_fija</f>
        <v/>
      </c>
      <c r="J272" s="124">
        <f>IF(A272="Hevea",IF(F272&gt;=Hevea_umbral_envio_gratis,0,Hevea_coste_envio_bajo),Balliu_coste_envio)</f>
        <v/>
      </c>
      <c r="K272" s="124">
        <f>Tasa_devolucion*Coste_devolucion</f>
        <v/>
      </c>
      <c r="L272" s="124">
        <f>Tasa_incidencia*Coste_incidencia</f>
        <v/>
      </c>
      <c r="M272" s="124">
        <f>G272-I272-J272-K272-L272</f>
        <v/>
      </c>
      <c r="N272" s="194">
        <f>IFERROR(M272/E272,0)</f>
        <v/>
      </c>
      <c r="O272" s="124">
        <f>MAX(M272,0)</f>
        <v/>
      </c>
      <c r="P272" s="195">
        <f>IFERROR(F272/O272,0)</f>
        <v/>
      </c>
      <c r="Q272" s="196">
        <f>IF(N272&gt;=Umbral_PUSH_pct,IF(M272&gt;=Umbral_PUSH_eur,"PUSH","NEUTRAL"),IF(N272&gt;=Umbral_NEUTRAL_pct,"NEUTRAL",IF(N272&gt;=Umbral_WATCH_pct,"WATCH","NO ANUNCIAR")))</f>
        <v/>
      </c>
    </row>
    <row r="273">
      <c r="A273" s="116" t="inlineStr">
        <is>
          <t>Balliu</t>
        </is>
      </c>
      <c r="B273" s="116" t="inlineStr">
        <is>
          <t>BALLIU_PIE_PARASOL_40_KG_RE_FAB3CAC6</t>
        </is>
      </c>
      <c r="C273" s="116" t="inlineStr">
        <is>
          <t>Pie de parasol</t>
        </is>
      </c>
      <c r="D273" s="118" t="n">
        <v>68.16</v>
      </c>
      <c r="E273" s="118" t="n">
        <v>104.86</v>
      </c>
      <c r="F273" s="118">
        <f>E273*(1+IVA)</f>
        <v/>
      </c>
      <c r="G273" s="118">
        <f>E273-D273</f>
        <v/>
      </c>
      <c r="H273" s="191">
        <f>IFERROR(G273/E273,0)</f>
        <v/>
      </c>
      <c r="I273" s="118">
        <f>F273*Comision_pago_pct+Comision_pago_fija</f>
        <v/>
      </c>
      <c r="J273" s="118">
        <f>IF(A273="Hevea",IF(F273&gt;=Hevea_umbral_envio_gratis,0,Hevea_coste_envio_bajo),Balliu_coste_envio)</f>
        <v/>
      </c>
      <c r="K273" s="118">
        <f>Tasa_devolucion*Coste_devolucion</f>
        <v/>
      </c>
      <c r="L273" s="118">
        <f>Tasa_incidencia*Coste_incidencia</f>
        <v/>
      </c>
      <c r="M273" s="118">
        <f>G273-I273-J273-K273-L273</f>
        <v/>
      </c>
      <c r="N273" s="191">
        <f>IFERROR(M273/E273,0)</f>
        <v/>
      </c>
      <c r="O273" s="118">
        <f>MAX(M273,0)</f>
        <v/>
      </c>
      <c r="P273" s="192">
        <f>IFERROR(F273/O273,0)</f>
        <v/>
      </c>
      <c r="Q273" s="193">
        <f>IF(N273&gt;=Umbral_PUSH_pct,IF(M273&gt;=Umbral_PUSH_eur,"PUSH","NEUTRAL"),IF(N273&gt;=Umbral_NEUTRAL_pct,"NEUTRAL",IF(N273&gt;=Umbral_WATCH_pct,"WATCH","NO ANUNCIAR")))</f>
        <v/>
      </c>
    </row>
    <row r="274">
      <c r="A274" s="122" t="inlineStr">
        <is>
          <t>Balliu</t>
        </is>
      </c>
      <c r="B274" s="122" t="inlineStr">
        <is>
          <t>BALLIU_BASE_HORMIGON_25_KG_3EE8B72D</t>
        </is>
      </c>
      <c r="C274" s="122" t="inlineStr">
        <is>
          <t>Base de parasol</t>
        </is>
      </c>
      <c r="D274" s="124" t="n">
        <v>54.88</v>
      </c>
      <c r="E274" s="124" t="n">
        <v>84.43000000000001</v>
      </c>
      <c r="F274" s="124">
        <f>E274*(1+IVA)</f>
        <v/>
      </c>
      <c r="G274" s="124">
        <f>E274-D274</f>
        <v/>
      </c>
      <c r="H274" s="194">
        <f>IFERROR(G274/E274,0)</f>
        <v/>
      </c>
      <c r="I274" s="124">
        <f>F274*Comision_pago_pct+Comision_pago_fija</f>
        <v/>
      </c>
      <c r="J274" s="124">
        <f>IF(A274="Hevea",IF(F274&gt;=Hevea_umbral_envio_gratis,0,Hevea_coste_envio_bajo),Balliu_coste_envio)</f>
        <v/>
      </c>
      <c r="K274" s="124">
        <f>Tasa_devolucion*Coste_devolucion</f>
        <v/>
      </c>
      <c r="L274" s="124">
        <f>Tasa_incidencia*Coste_incidencia</f>
        <v/>
      </c>
      <c r="M274" s="124">
        <f>G274-I274-J274-K274-L274</f>
        <v/>
      </c>
      <c r="N274" s="194">
        <f>IFERROR(M274/E274,0)</f>
        <v/>
      </c>
      <c r="O274" s="124">
        <f>MAX(M274,0)</f>
        <v/>
      </c>
      <c r="P274" s="195">
        <f>IFERROR(F274/O274,0)</f>
        <v/>
      </c>
      <c r="Q274" s="196">
        <f>IF(N274&gt;=Umbral_PUSH_pct,IF(M274&gt;=Umbral_PUSH_eur,"PUSH","NEUTRAL"),IF(N274&gt;=Umbral_NEUTRAL_pct,"NEUTRAL",IF(N274&gt;=Umbral_WATCH_pct,"WATCH","NO ANUNCIAR")))</f>
        <v/>
      </c>
    </row>
    <row r="275">
      <c r="A275" s="116" t="inlineStr">
        <is>
          <t>Balliu</t>
        </is>
      </c>
      <c r="B275" s="116" t="inlineStr">
        <is>
          <t>BALLIU_BASE_HORMIGON_30_KG_890A4CD4</t>
        </is>
      </c>
      <c r="C275" s="116" t="inlineStr">
        <is>
          <t>Base de parasol</t>
        </is>
      </c>
      <c r="D275" s="118" t="n">
        <v>27.52</v>
      </c>
      <c r="E275" s="118" t="n">
        <v>42.34</v>
      </c>
      <c r="F275" s="118">
        <f>E275*(1+IVA)</f>
        <v/>
      </c>
      <c r="G275" s="118">
        <f>E275-D275</f>
        <v/>
      </c>
      <c r="H275" s="191">
        <f>IFERROR(G275/E275,0)</f>
        <v/>
      </c>
      <c r="I275" s="118">
        <f>F275*Comision_pago_pct+Comision_pago_fija</f>
        <v/>
      </c>
      <c r="J275" s="118">
        <f>IF(A275="Hevea",IF(F275&gt;=Hevea_umbral_envio_gratis,0,Hevea_coste_envio_bajo),Balliu_coste_envio)</f>
        <v/>
      </c>
      <c r="K275" s="118">
        <f>Tasa_devolucion*Coste_devolucion</f>
        <v/>
      </c>
      <c r="L275" s="118">
        <f>Tasa_incidencia*Coste_incidencia</f>
        <v/>
      </c>
      <c r="M275" s="118">
        <f>G275-I275-J275-K275-L275</f>
        <v/>
      </c>
      <c r="N275" s="191">
        <f>IFERROR(M275/E275,0)</f>
        <v/>
      </c>
      <c r="O275" s="118">
        <f>MAX(M275,0)</f>
        <v/>
      </c>
      <c r="P275" s="192">
        <f>IFERROR(F275/O275,0)</f>
        <v/>
      </c>
      <c r="Q275" s="193">
        <f>IF(N275&gt;=Umbral_PUSH_pct,IF(M275&gt;=Umbral_PUSH_eur,"PUSH","NEUTRAL"),IF(N275&gt;=Umbral_NEUTRAL_pct,"NEUTRAL",IF(N275&gt;=Umbral_WATCH_pct,"WATCH","NO ANUNCIAR")))</f>
        <v/>
      </c>
    </row>
    <row r="276">
      <c r="A276" s="122" t="inlineStr">
        <is>
          <t>Balliu</t>
        </is>
      </c>
      <c r="B276" s="122" t="inlineStr">
        <is>
          <t>BALLIU_FUNDA_TUMBONA_12_UNIDADES_D7D20AB0</t>
        </is>
      </c>
      <c r="C276" s="122" t="inlineStr">
        <is>
          <t>Funda protectora exterior</t>
        </is>
      </c>
      <c r="D276" s="124" t="n">
        <v>137.94</v>
      </c>
      <c r="E276" s="124" t="n">
        <v>212.22</v>
      </c>
      <c r="F276" s="124">
        <f>E276*(1+IVA)</f>
        <v/>
      </c>
      <c r="G276" s="124">
        <f>E276-D276</f>
        <v/>
      </c>
      <c r="H276" s="194">
        <f>IFERROR(G276/E276,0)</f>
        <v/>
      </c>
      <c r="I276" s="124">
        <f>F276*Comision_pago_pct+Comision_pago_fija</f>
        <v/>
      </c>
      <c r="J276" s="124">
        <f>IF(A276="Hevea",IF(F276&gt;=Hevea_umbral_envio_gratis,0,Hevea_coste_envio_bajo),Balliu_coste_envio)</f>
        <v/>
      </c>
      <c r="K276" s="124">
        <f>Tasa_devolucion*Coste_devolucion</f>
        <v/>
      </c>
      <c r="L276" s="124">
        <f>Tasa_incidencia*Coste_incidencia</f>
        <v/>
      </c>
      <c r="M276" s="124">
        <f>G276-I276-J276-K276-L276</f>
        <v/>
      </c>
      <c r="N276" s="194">
        <f>IFERROR(M276/E276,0)</f>
        <v/>
      </c>
      <c r="O276" s="124">
        <f>MAX(M276,0)</f>
        <v/>
      </c>
      <c r="P276" s="195">
        <f>IFERROR(F276/O276,0)</f>
        <v/>
      </c>
      <c r="Q276" s="196">
        <f>IF(N276&gt;=Umbral_PUSH_pct,IF(M276&gt;=Umbral_PUSH_eur,"PUSH","NEUTRAL"),IF(N276&gt;=Umbral_NEUTRAL_pct,"NEUTRAL",IF(N276&gt;=Umbral_WATCH_pct,"WATCH","NO ANUNCIAR")))</f>
        <v/>
      </c>
    </row>
    <row r="277">
      <c r="A277" s="116" t="inlineStr">
        <is>
          <t>Balliu</t>
        </is>
      </c>
      <c r="B277" s="116" t="inlineStr">
        <is>
          <t>BALLIU_FUNDA_TUMBONA_24_UNIDADES_287BB1C0</t>
        </is>
      </c>
      <c r="C277" s="116" t="inlineStr">
        <is>
          <t>Funda protectora exterior</t>
        </is>
      </c>
      <c r="D277" s="118" t="n">
        <v>176.97</v>
      </c>
      <c r="E277" s="118" t="n">
        <v>272.25</v>
      </c>
      <c r="F277" s="118">
        <f>E277*(1+IVA)</f>
        <v/>
      </c>
      <c r="G277" s="118">
        <f>E277-D277</f>
        <v/>
      </c>
      <c r="H277" s="191">
        <f>IFERROR(G277/E277,0)</f>
        <v/>
      </c>
      <c r="I277" s="118">
        <f>F277*Comision_pago_pct+Comision_pago_fija</f>
        <v/>
      </c>
      <c r="J277" s="118">
        <f>IF(A277="Hevea",IF(F277&gt;=Hevea_umbral_envio_gratis,0,Hevea_coste_envio_bajo),Balliu_coste_envio)</f>
        <v/>
      </c>
      <c r="K277" s="118">
        <f>Tasa_devolucion*Coste_devolucion</f>
        <v/>
      </c>
      <c r="L277" s="118">
        <f>Tasa_incidencia*Coste_incidencia</f>
        <v/>
      </c>
      <c r="M277" s="118">
        <f>G277-I277-J277-K277-L277</f>
        <v/>
      </c>
      <c r="N277" s="191">
        <f>IFERROR(M277/E277,0)</f>
        <v/>
      </c>
      <c r="O277" s="118">
        <f>MAX(M277,0)</f>
        <v/>
      </c>
      <c r="P277" s="192">
        <f>IFERROR(F277/O277,0)</f>
        <v/>
      </c>
      <c r="Q277" s="193">
        <f>IF(N277&gt;=Umbral_PUSH_pct,IF(M277&gt;=Umbral_PUSH_eur,"PUSH","NEUTRAL"),IF(N277&gt;=Umbral_NEUTRAL_pct,"NEUTRAL",IF(N277&gt;=Umbral_WATCH_pct,"WATCH","NO ANUNCIAR")))</f>
        <v/>
      </c>
    </row>
    <row r="278">
      <c r="A278" s="122" t="inlineStr">
        <is>
          <t>Balliu</t>
        </is>
      </c>
      <c r="B278" s="122" t="inlineStr">
        <is>
          <t>BALLIU_FUNDA_TUMBONA_2_UNIDADES_686CC405</t>
        </is>
      </c>
      <c r="C278" s="122" t="inlineStr">
        <is>
          <t>Funda protectora exterior</t>
        </is>
      </c>
      <c r="D278" s="124" t="n">
        <v>42.82</v>
      </c>
      <c r="E278" s="124" t="n">
        <v>65.88</v>
      </c>
      <c r="F278" s="124">
        <f>E278*(1+IVA)</f>
        <v/>
      </c>
      <c r="G278" s="124">
        <f>E278-D278</f>
        <v/>
      </c>
      <c r="H278" s="194">
        <f>IFERROR(G278/E278,0)</f>
        <v/>
      </c>
      <c r="I278" s="124">
        <f>F278*Comision_pago_pct+Comision_pago_fija</f>
        <v/>
      </c>
      <c r="J278" s="124">
        <f>IF(A278="Hevea",IF(F278&gt;=Hevea_umbral_envio_gratis,0,Hevea_coste_envio_bajo),Balliu_coste_envio)</f>
        <v/>
      </c>
      <c r="K278" s="124">
        <f>Tasa_devolucion*Coste_devolucion</f>
        <v/>
      </c>
      <c r="L278" s="124">
        <f>Tasa_incidencia*Coste_incidencia</f>
        <v/>
      </c>
      <c r="M278" s="124">
        <f>G278-I278-J278-K278-L278</f>
        <v/>
      </c>
      <c r="N278" s="194">
        <f>IFERROR(M278/E278,0)</f>
        <v/>
      </c>
      <c r="O278" s="124">
        <f>MAX(M278,0)</f>
        <v/>
      </c>
      <c r="P278" s="195">
        <f>IFERROR(F278/O278,0)</f>
        <v/>
      </c>
      <c r="Q278" s="196">
        <f>IF(N278&gt;=Umbral_PUSH_pct,IF(M278&gt;=Umbral_PUSH_eur,"PUSH","NEUTRAL"),IF(N278&gt;=Umbral_NEUTRAL_pct,"NEUTRAL",IF(N278&gt;=Umbral_WATCH_pct,"WATCH","NO ANUNCIAR")))</f>
        <v/>
      </c>
    </row>
    <row r="279">
      <c r="A279" s="116" t="inlineStr">
        <is>
          <t>Balliu</t>
        </is>
      </c>
      <c r="B279" s="116" t="inlineStr">
        <is>
          <t>BALLIU_FUNDA_PARASOL_1_UNIDADES_ACRIL_A1C16324</t>
        </is>
      </c>
      <c r="C279" s="116" t="inlineStr">
        <is>
          <t>Funda protectora exterior acrílico</t>
        </is>
      </c>
      <c r="D279" s="118" t="n">
        <v>19.68</v>
      </c>
      <c r="E279" s="118" t="n">
        <v>30.27</v>
      </c>
      <c r="F279" s="118">
        <f>E279*(1+IVA)</f>
        <v/>
      </c>
      <c r="G279" s="118">
        <f>E279-D279</f>
        <v/>
      </c>
      <c r="H279" s="191">
        <f>IFERROR(G279/E279,0)</f>
        <v/>
      </c>
      <c r="I279" s="118">
        <f>F279*Comision_pago_pct+Comision_pago_fija</f>
        <v/>
      </c>
      <c r="J279" s="118">
        <f>IF(A279="Hevea",IF(F279&gt;=Hevea_umbral_envio_gratis,0,Hevea_coste_envio_bajo),Balliu_coste_envio)</f>
        <v/>
      </c>
      <c r="K279" s="118">
        <f>Tasa_devolucion*Coste_devolucion</f>
        <v/>
      </c>
      <c r="L279" s="118">
        <f>Tasa_incidencia*Coste_incidencia</f>
        <v/>
      </c>
      <c r="M279" s="118">
        <f>G279-I279-J279-K279-L279</f>
        <v/>
      </c>
      <c r="N279" s="191">
        <f>IFERROR(M279/E279,0)</f>
        <v/>
      </c>
      <c r="O279" s="118">
        <f>MAX(M279,0)</f>
        <v/>
      </c>
      <c r="P279" s="192">
        <f>IFERROR(F279/O279,0)</f>
        <v/>
      </c>
      <c r="Q279" s="193">
        <f>IF(N279&gt;=Umbral_PUSH_pct,IF(M279&gt;=Umbral_PUSH_eur,"PUSH","NEUTRAL"),IF(N279&gt;=Umbral_NEUTRAL_pct,"NEUTRAL",IF(N279&gt;=Umbral_WATCH_pct,"WATCH","NO ANUNCIAR")))</f>
        <v/>
      </c>
    </row>
    <row r="280">
      <c r="A280" s="122" t="inlineStr">
        <is>
          <t>Balliu</t>
        </is>
      </c>
      <c r="B280" s="122" t="inlineStr">
        <is>
          <t>BALLIU_FUNDA_SOFA_SOFA_INDIVIDUAL_6F6D4953</t>
        </is>
      </c>
      <c r="C280" s="122" t="inlineStr">
        <is>
          <t>Funda protectora exterior</t>
        </is>
      </c>
      <c r="D280" s="124" t="n">
        <v>69.70999999999999</v>
      </c>
      <c r="E280" s="124" t="n">
        <v>107.24</v>
      </c>
      <c r="F280" s="124">
        <f>E280*(1+IVA)</f>
        <v/>
      </c>
      <c r="G280" s="124">
        <f>E280-D280</f>
        <v/>
      </c>
      <c r="H280" s="194">
        <f>IFERROR(G280/E280,0)</f>
        <v/>
      </c>
      <c r="I280" s="124">
        <f>F280*Comision_pago_pct+Comision_pago_fija</f>
        <v/>
      </c>
      <c r="J280" s="124">
        <f>IF(A280="Hevea",IF(F280&gt;=Hevea_umbral_envio_gratis,0,Hevea_coste_envio_bajo),Balliu_coste_envio)</f>
        <v/>
      </c>
      <c r="K280" s="124">
        <f>Tasa_devolucion*Coste_devolucion</f>
        <v/>
      </c>
      <c r="L280" s="124">
        <f>Tasa_incidencia*Coste_incidencia</f>
        <v/>
      </c>
      <c r="M280" s="124">
        <f>G280-I280-J280-K280-L280</f>
        <v/>
      </c>
      <c r="N280" s="194">
        <f>IFERROR(M280/E280,0)</f>
        <v/>
      </c>
      <c r="O280" s="124">
        <f>MAX(M280,0)</f>
        <v/>
      </c>
      <c r="P280" s="195">
        <f>IFERROR(F280/O280,0)</f>
        <v/>
      </c>
      <c r="Q280" s="196">
        <f>IF(N280&gt;=Umbral_PUSH_pct,IF(M280&gt;=Umbral_PUSH_eur,"PUSH","NEUTRAL"),IF(N280&gt;=Umbral_NEUTRAL_pct,"NEUTRAL",IF(N280&gt;=Umbral_WATCH_pct,"WATCH","NO ANUNCIAR")))</f>
        <v/>
      </c>
    </row>
    <row r="281">
      <c r="A281" s="116" t="inlineStr">
        <is>
          <t>Balliu</t>
        </is>
      </c>
      <c r="B281" s="116" t="inlineStr">
        <is>
          <t>BALLIU_FUNDA_SOFA_SOFA_DOBLE_0595C4C0</t>
        </is>
      </c>
      <c r="C281" s="116" t="inlineStr">
        <is>
          <t>Funda protectora exterior</t>
        </is>
      </c>
      <c r="D281" s="118" t="n">
        <v>99.95</v>
      </c>
      <c r="E281" s="118" t="n">
        <v>153.77</v>
      </c>
      <c r="F281" s="118">
        <f>E281*(1+IVA)</f>
        <v/>
      </c>
      <c r="G281" s="118">
        <f>E281-D281</f>
        <v/>
      </c>
      <c r="H281" s="191">
        <f>IFERROR(G281/E281,0)</f>
        <v/>
      </c>
      <c r="I281" s="118">
        <f>F281*Comision_pago_pct+Comision_pago_fija</f>
        <v/>
      </c>
      <c r="J281" s="118">
        <f>IF(A281="Hevea",IF(F281&gt;=Hevea_umbral_envio_gratis,0,Hevea_coste_envio_bajo),Balliu_coste_envio)</f>
        <v/>
      </c>
      <c r="K281" s="118">
        <f>Tasa_devolucion*Coste_devolucion</f>
        <v/>
      </c>
      <c r="L281" s="118">
        <f>Tasa_incidencia*Coste_incidencia</f>
        <v/>
      </c>
      <c r="M281" s="118">
        <f>G281-I281-J281-K281-L281</f>
        <v/>
      </c>
      <c r="N281" s="191">
        <f>IFERROR(M281/E281,0)</f>
        <v/>
      </c>
      <c r="O281" s="118">
        <f>MAX(M281,0)</f>
        <v/>
      </c>
      <c r="P281" s="192">
        <f>IFERROR(F281/O281,0)</f>
        <v/>
      </c>
      <c r="Q281" s="193">
        <f>IF(N281&gt;=Umbral_PUSH_pct,IF(M281&gt;=Umbral_PUSH_eur,"PUSH","NEUTRAL"),IF(N281&gt;=Umbral_NEUTRAL_pct,"NEUTRAL",IF(N281&gt;=Umbral_WATCH_pct,"WATCH","NO ANUNCIAR")))</f>
        <v/>
      </c>
    </row>
    <row r="282">
      <c r="A282" s="122" t="inlineStr">
        <is>
          <t>Balliu</t>
        </is>
      </c>
      <c r="B282" s="122" t="inlineStr">
        <is>
          <t>BALLIU_FUNDA_SOFA_SOFA_TRIPLE_852AF1C6</t>
        </is>
      </c>
      <c r="C282" s="122" t="inlineStr">
        <is>
          <t>Funda protectora exterior</t>
        </is>
      </c>
      <c r="D282" s="124" t="n">
        <v>122.35</v>
      </c>
      <c r="E282" s="124" t="n">
        <v>188.24</v>
      </c>
      <c r="F282" s="124">
        <f>E282*(1+IVA)</f>
        <v/>
      </c>
      <c r="G282" s="124">
        <f>E282-D282</f>
        <v/>
      </c>
      <c r="H282" s="194">
        <f>IFERROR(G282/E282,0)</f>
        <v/>
      </c>
      <c r="I282" s="124">
        <f>F282*Comision_pago_pct+Comision_pago_fija</f>
        <v/>
      </c>
      <c r="J282" s="124">
        <f>IF(A282="Hevea",IF(F282&gt;=Hevea_umbral_envio_gratis,0,Hevea_coste_envio_bajo),Balliu_coste_envio)</f>
        <v/>
      </c>
      <c r="K282" s="124">
        <f>Tasa_devolucion*Coste_devolucion</f>
        <v/>
      </c>
      <c r="L282" s="124">
        <f>Tasa_incidencia*Coste_incidencia</f>
        <v/>
      </c>
      <c r="M282" s="124">
        <f>G282-I282-J282-K282-L282</f>
        <v/>
      </c>
      <c r="N282" s="194">
        <f>IFERROR(M282/E282,0)</f>
        <v/>
      </c>
      <c r="O282" s="124">
        <f>MAX(M282,0)</f>
        <v/>
      </c>
      <c r="P282" s="195">
        <f>IFERROR(F282/O282,0)</f>
        <v/>
      </c>
      <c r="Q282" s="196">
        <f>IF(N282&gt;=Umbral_PUSH_pct,IF(M282&gt;=Umbral_PUSH_eur,"PUSH","NEUTRAL"),IF(N282&gt;=Umbral_NEUTRAL_pct,"NEUTRAL",IF(N282&gt;=Umbral_WATCH_pct,"WATCH","NO ANUNCIAR")))</f>
        <v/>
      </c>
    </row>
    <row r="283">
      <c r="A283" s="116" t="inlineStr">
        <is>
          <t>Balliu</t>
        </is>
      </c>
      <c r="B283" s="116" t="inlineStr">
        <is>
          <t>BALLIU_FUNDA_SILLA_6_UNIDADES_340B2844</t>
        </is>
      </c>
      <c r="C283" s="116" t="inlineStr">
        <is>
          <t>Funda protectora exterior</t>
        </is>
      </c>
      <c r="D283" s="118" t="n">
        <v>45.21</v>
      </c>
      <c r="E283" s="118" t="n">
        <v>69.55</v>
      </c>
      <c r="F283" s="118">
        <f>E283*(1+IVA)</f>
        <v/>
      </c>
      <c r="G283" s="118">
        <f>E283-D283</f>
        <v/>
      </c>
      <c r="H283" s="191">
        <f>IFERROR(G283/E283,0)</f>
        <v/>
      </c>
      <c r="I283" s="118">
        <f>F283*Comision_pago_pct+Comision_pago_fija</f>
        <v/>
      </c>
      <c r="J283" s="118">
        <f>IF(A283="Hevea",IF(F283&gt;=Hevea_umbral_envio_gratis,0,Hevea_coste_envio_bajo),Balliu_coste_envio)</f>
        <v/>
      </c>
      <c r="K283" s="118">
        <f>Tasa_devolucion*Coste_devolucion</f>
        <v/>
      </c>
      <c r="L283" s="118">
        <f>Tasa_incidencia*Coste_incidencia</f>
        <v/>
      </c>
      <c r="M283" s="118">
        <f>G283-I283-J283-K283-L283</f>
        <v/>
      </c>
      <c r="N283" s="191">
        <f>IFERROR(M283/E283,0)</f>
        <v/>
      </c>
      <c r="O283" s="118">
        <f>MAX(M283,0)</f>
        <v/>
      </c>
      <c r="P283" s="192">
        <f>IFERROR(F283/O283,0)</f>
        <v/>
      </c>
      <c r="Q283" s="193">
        <f>IF(N283&gt;=Umbral_PUSH_pct,IF(M283&gt;=Umbral_PUSH_eur,"PUSH","NEUTRAL"),IF(N283&gt;=Umbral_NEUTRAL_pct,"NEUTRAL",IF(N283&gt;=Umbral_WATCH_pct,"WATCH","NO ANUNCIAR")))</f>
        <v/>
      </c>
    </row>
    <row r="284">
      <c r="A284" s="122" t="inlineStr">
        <is>
          <t>Balliu</t>
        </is>
      </c>
      <c r="B284" s="122" t="inlineStr">
        <is>
          <t>BALLIU_COJIN_40X40_COJIN_CUADRAL_523E5AE9</t>
        </is>
      </c>
      <c r="C284" s="122" t="inlineStr">
        <is>
          <t>Cojín exterior</t>
        </is>
      </c>
      <c r="D284" s="124" t="n">
        <v>28.69</v>
      </c>
      <c r="E284" s="124" t="n">
        <v>44.14</v>
      </c>
      <c r="F284" s="124">
        <f>E284*(1+IVA)</f>
        <v/>
      </c>
      <c r="G284" s="124">
        <f>E284-D284</f>
        <v/>
      </c>
      <c r="H284" s="194">
        <f>IFERROR(G284/E284,0)</f>
        <v/>
      </c>
      <c r="I284" s="124">
        <f>F284*Comision_pago_pct+Comision_pago_fija</f>
        <v/>
      </c>
      <c r="J284" s="124">
        <f>IF(A284="Hevea",IF(F284&gt;=Hevea_umbral_envio_gratis,0,Hevea_coste_envio_bajo),Balliu_coste_envio)</f>
        <v/>
      </c>
      <c r="K284" s="124">
        <f>Tasa_devolucion*Coste_devolucion</f>
        <v/>
      </c>
      <c r="L284" s="124">
        <f>Tasa_incidencia*Coste_incidencia</f>
        <v/>
      </c>
      <c r="M284" s="124">
        <f>G284-I284-J284-K284-L284</f>
        <v/>
      </c>
      <c r="N284" s="194">
        <f>IFERROR(M284/E284,0)</f>
        <v/>
      </c>
      <c r="O284" s="124">
        <f>MAX(M284,0)</f>
        <v/>
      </c>
      <c r="P284" s="195">
        <f>IFERROR(F284/O284,0)</f>
        <v/>
      </c>
      <c r="Q284" s="196">
        <f>IF(N284&gt;=Umbral_PUSH_pct,IF(M284&gt;=Umbral_PUSH_eur,"PUSH","NEUTRAL"),IF(N284&gt;=Umbral_NEUTRAL_pct,"NEUTRAL",IF(N284&gt;=Umbral_WATCH_pct,"WATCH","NO ANUNCIAR")))</f>
        <v/>
      </c>
    </row>
    <row r="285">
      <c r="A285" s="116" t="inlineStr">
        <is>
          <t>Balliu</t>
        </is>
      </c>
      <c r="B285" s="116" t="inlineStr">
        <is>
          <t>BALLIU_PRODUCTO_LIMPIADOR_LIMPIADOR_TUMBON_D0D3FC26</t>
        </is>
      </c>
      <c r="C285" s="116" t="inlineStr">
        <is>
          <t>Limpiador para mobiliario exterior</t>
        </is>
      </c>
      <c r="D285" s="118" t="n">
        <v>12.41</v>
      </c>
      <c r="E285" s="118" t="n">
        <v>19.09</v>
      </c>
      <c r="F285" s="118">
        <f>E285*(1+IVA)</f>
        <v/>
      </c>
      <c r="G285" s="118">
        <f>E285-D285</f>
        <v/>
      </c>
      <c r="H285" s="191">
        <f>IFERROR(G285/E285,0)</f>
        <v/>
      </c>
      <c r="I285" s="118">
        <f>F285*Comision_pago_pct+Comision_pago_fija</f>
        <v/>
      </c>
      <c r="J285" s="118">
        <f>IF(A285="Hevea",IF(F285&gt;=Hevea_umbral_envio_gratis,0,Hevea_coste_envio_bajo),Balliu_coste_envio)</f>
        <v/>
      </c>
      <c r="K285" s="118">
        <f>Tasa_devolucion*Coste_devolucion</f>
        <v/>
      </c>
      <c r="L285" s="118">
        <f>Tasa_incidencia*Coste_incidencia</f>
        <v/>
      </c>
      <c r="M285" s="118">
        <f>G285-I285-J285-K285-L285</f>
        <v/>
      </c>
      <c r="N285" s="191">
        <f>IFERROR(M285/E285,0)</f>
        <v/>
      </c>
      <c r="O285" s="118">
        <f>MAX(M285,0)</f>
        <v/>
      </c>
      <c r="P285" s="192">
        <f>IFERROR(F285/O285,0)</f>
        <v/>
      </c>
      <c r="Q285" s="193">
        <f>IF(N285&gt;=Umbral_PUSH_pct,IF(M285&gt;=Umbral_PUSH_eur,"PUSH","NEUTRAL"),IF(N285&gt;=Umbral_NEUTRAL_pct,"NEUTRAL",IF(N285&gt;=Umbral_WATCH_pct,"WATCH","NO ANUNCIAR")))</f>
        <v/>
      </c>
    </row>
    <row r="286">
      <c r="C286" s="197" t="inlineStr">
        <is>
          <t>TOTAL / MEDIA</t>
        </is>
      </c>
      <c r="D286" s="198">
        <f>AVERAGE(D5:D285)</f>
        <v/>
      </c>
      <c r="E286" s="198">
        <f>AVERAGE(E5:E285)</f>
        <v/>
      </c>
      <c r="F286" s="198">
        <f>AVERAGE(F5:F285)</f>
        <v/>
      </c>
      <c r="G286" s="198">
        <f>AVERAGE(G5:G285)</f>
        <v/>
      </c>
      <c r="H286" s="199">
        <f>AVERAGE(H5:H285)</f>
        <v/>
      </c>
      <c r="M286" s="198">
        <f>AVERAGE(M5:M285)</f>
        <v/>
      </c>
      <c r="N286" s="199">
        <f>AVERAGE(N5:N285)</f>
        <v/>
      </c>
      <c r="O286" s="198">
        <f>AVERAGE(O5:O285)</f>
        <v/>
      </c>
      <c r="P286" s="200">
        <f>AVERAGE(P5:P285)</f>
        <v/>
      </c>
    </row>
  </sheetData>
  <autoFilter ref="A4:Q285"/>
  <mergeCells count="2">
    <mergeCell ref="A2:Q2"/>
    <mergeCell ref="A1:Q1"/>
  </mergeCells>
  <conditionalFormatting sqref="N5:N285">
    <cfRule type="colorScale" priority="1">
      <colorScale>
        <cfvo type="num" val="0"/>
        <cfvo type="num" val="0.2"/>
        <cfvo type="num" val="0.4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style="98" min="1" max="1"/>
    <col width="18" customWidth="1" style="98" min="2" max="2"/>
    <col width="18" customWidth="1" style="98" min="3" max="3"/>
    <col width="18" customWidth="1" style="98" min="4" max="4"/>
    <col width="18" customWidth="1" style="98" min="5" max="5"/>
    <col width="50" customWidth="1" style="98" min="6" max="6"/>
  </cols>
  <sheetData>
    <row r="1" ht="28" customHeight="1" s="98">
      <c r="A1" s="128" t="inlineStr">
        <is>
          <t>03 · ESCENARIOS DE MARKETING — cuánto invertir y qué esperar</t>
        </is>
      </c>
    </row>
    <row r="2">
      <c r="A2" s="171" t="inlineStr">
        <is>
          <t>Modo A: dado un presupuesto, qué pedidos/tráfico/AOV necesito. Modo B: dado un ROAS, cuánto puedo invertir.</t>
        </is>
      </c>
    </row>
    <row r="4">
      <c r="A4" s="172" t="inlineStr">
        <is>
          <t>MODO A — DESDE INVERSIÓN</t>
        </is>
      </c>
    </row>
    <row r="5" ht="28" customHeight="1" s="98">
      <c r="A5" s="103" t="inlineStr">
        <is>
          <t>Concepto</t>
        </is>
      </c>
      <c r="B5" s="103" t="inlineStr">
        <is>
          <t>500 € /mes</t>
        </is>
      </c>
      <c r="C5" s="103" t="inlineStr">
        <is>
          <t>1.500 € /mes</t>
        </is>
      </c>
      <c r="D5" s="103" t="inlineStr">
        <is>
          <t>3.000 € /mes</t>
        </is>
      </c>
      <c r="E5" s="103" t="inlineStr">
        <is>
          <t>6.000 € /mes</t>
        </is>
      </c>
      <c r="F5" s="103" t="inlineStr">
        <is>
          <t>Notas</t>
        </is>
      </c>
    </row>
    <row r="6">
      <c r="A6" s="174" t="inlineStr">
        <is>
          <t>Inversión marketing / mes</t>
        </is>
      </c>
      <c r="B6" s="175" t="n">
        <v>500</v>
      </c>
      <c r="C6" s="175" t="n">
        <v>1500</v>
      </c>
      <c r="D6" s="175" t="n">
        <v>3000</v>
      </c>
      <c r="E6" s="175" t="n">
        <v>6000</v>
      </c>
      <c r="F6" s="171" t="inlineStr">
        <is>
          <t>Editar para simular otros presupuestos.</t>
        </is>
      </c>
    </row>
    <row r="7">
      <c r="A7" s="174" t="inlineStr">
        <is>
          <t>ROAS objetivo (escenario BASE)</t>
        </is>
      </c>
      <c r="B7" s="186">
        <f>ROAS_base</f>
        <v/>
      </c>
      <c r="C7" s="186">
        <f>ROAS_base</f>
        <v/>
      </c>
      <c r="D7" s="186">
        <f>ROAS_base</f>
        <v/>
      </c>
      <c r="E7" s="186">
        <f>ROAS_base</f>
        <v/>
      </c>
      <c r="F7" s="171" t="inlineStr">
        <is>
          <t>Por defecto ROAS_base. Editable en 00_SUPUESTOS.</t>
        </is>
      </c>
    </row>
    <row r="8">
      <c r="A8" s="174" t="inlineStr">
        <is>
          <t>Ingresos brutos generados (con IVA)</t>
        </is>
      </c>
      <c r="B8" s="181">
        <f>B6*B7</f>
        <v/>
      </c>
      <c r="C8" s="181">
        <f>C6*C7</f>
        <v/>
      </c>
      <c r="D8" s="181">
        <f>D6*D7</f>
        <v/>
      </c>
      <c r="E8" s="181">
        <f>E6*E7</f>
        <v/>
      </c>
      <c r="F8" s="171" t="inlineStr">
        <is>
          <t>Inversión × ROAS.</t>
        </is>
      </c>
    </row>
    <row r="9">
      <c r="A9" s="174" t="inlineStr">
        <is>
          <t>Pedidos generados</t>
        </is>
      </c>
      <c r="B9" s="201">
        <f>B8/AOV</f>
        <v/>
      </c>
      <c r="C9" s="201">
        <f>C8/AOV</f>
        <v/>
      </c>
      <c r="D9" s="201">
        <f>D8/AOV</f>
        <v/>
      </c>
      <c r="E9" s="201">
        <f>E8/AOV</f>
        <v/>
      </c>
      <c r="F9" s="171" t="inlineStr">
        <is>
          <t>Ingresos / AOV.</t>
        </is>
      </c>
    </row>
    <row r="10">
      <c r="A10" s="174" t="inlineStr">
        <is>
          <t>Sesiones web necesarias</t>
        </is>
      </c>
      <c r="B10" s="190">
        <f>B9/Tasa_conversion</f>
        <v/>
      </c>
      <c r="C10" s="190">
        <f>C9/Tasa_conversion</f>
        <v/>
      </c>
      <c r="D10" s="190">
        <f>D9/Tasa_conversion</f>
        <v/>
      </c>
      <c r="E10" s="190">
        <f>E9/Tasa_conversion</f>
        <v/>
      </c>
      <c r="F10" s="171" t="inlineStr">
        <is>
          <t>Pedidos / tasa de conversión.</t>
        </is>
      </c>
    </row>
    <row r="11">
      <c r="A11" s="174" t="inlineStr">
        <is>
          <t>CPA medio</t>
        </is>
      </c>
      <c r="B11" s="184">
        <f>B6/B9</f>
        <v/>
      </c>
      <c r="C11" s="184">
        <f>C6/C9</f>
        <v/>
      </c>
      <c r="D11" s="184">
        <f>D6/D9</f>
        <v/>
      </c>
      <c r="E11" s="184">
        <f>E6/E9</f>
        <v/>
      </c>
      <c r="F11" s="171" t="inlineStr">
        <is>
          <t>Inversión / pedidos.</t>
        </is>
      </c>
    </row>
    <row r="12">
      <c r="A12" s="174" t="inlineStr">
        <is>
          <t>Margen contributivo total (antes de marketing)</t>
        </is>
      </c>
      <c r="B12" s="184">
        <f>B9*((AOV/(1+IVA))*Margen_bruto_medio-VAR_COST_PER_ORDER)</f>
        <v/>
      </c>
      <c r="C12" s="184">
        <f>C9*((AOV/(1+IVA))*Margen_bruto_medio-VAR_COST_PER_ORDER)</f>
        <v/>
      </c>
      <c r="D12" s="184">
        <f>D9*((AOV/(1+IVA))*Margen_bruto_medio-VAR_COST_PER_ORDER)</f>
        <v/>
      </c>
      <c r="E12" s="184">
        <f>E9*((AOV/(1+IVA))*Margen_bruto_medio-VAR_COST_PER_ORDER)</f>
        <v/>
      </c>
      <c r="F12" s="171" t="inlineStr">
        <is>
          <t>Pedidos × (margen bruto unitario − coste variable unitario).</t>
        </is>
      </c>
    </row>
    <row r="13">
      <c r="A13" s="174" t="inlineStr">
        <is>
          <t>(-) Inversión marketing</t>
        </is>
      </c>
      <c r="B13" s="184">
        <f>-B6</f>
        <v/>
      </c>
      <c r="C13" s="184">
        <f>-C6</f>
        <v/>
      </c>
      <c r="D13" s="184">
        <f>-D6</f>
        <v/>
      </c>
      <c r="E13" s="184">
        <f>-E6</f>
        <v/>
      </c>
    </row>
    <row r="14">
      <c r="A14" s="174" t="inlineStr">
        <is>
          <t>(-) Costes fijos mensuales</t>
        </is>
      </c>
      <c r="B14" s="184">
        <f>-TOTAL_FIJOS_MES</f>
        <v/>
      </c>
      <c r="C14" s="184">
        <f>-TOTAL_FIJOS_MES</f>
        <v/>
      </c>
      <c r="D14" s="184">
        <f>-TOTAL_FIJOS_MES</f>
        <v/>
      </c>
      <c r="E14" s="184">
        <f>-TOTAL_FIJOS_MES</f>
        <v/>
      </c>
    </row>
    <row r="15">
      <c r="A15" s="202" t="inlineStr">
        <is>
          <t>› Beneficio operativo</t>
        </is>
      </c>
      <c r="B15" s="203">
        <f>B12-B6-TOTAL_FIJOS_MES</f>
        <v/>
      </c>
      <c r="C15" s="203">
        <f>C12-C6-TOTAL_FIJOS_MES</f>
        <v/>
      </c>
      <c r="D15" s="203">
        <f>D12-D6-TOTAL_FIJOS_MES</f>
        <v/>
      </c>
      <c r="E15" s="203">
        <f>E12-E6-TOTAL_FIJOS_MES</f>
        <v/>
      </c>
    </row>
    <row r="18">
      <c r="A18" s="172" t="inlineStr">
        <is>
          <t>MODO B — DESDE ROAS OBJETIVO</t>
        </is>
      </c>
    </row>
    <row r="19" ht="28" customHeight="1" s="98">
      <c r="A19" s="103" t="inlineStr">
        <is>
          <t>Concepto</t>
        </is>
      </c>
      <c r="B19" s="103" t="inlineStr">
        <is>
          <t>ROAS 3x</t>
        </is>
      </c>
      <c r="C19" s="103" t="inlineStr">
        <is>
          <t>ROAS 4x</t>
        </is>
      </c>
      <c r="D19" s="103" t="inlineStr">
        <is>
          <t>ROAS 5x</t>
        </is>
      </c>
      <c r="E19" s="103" t="inlineStr">
        <is>
          <t>ROAS 6x</t>
        </is>
      </c>
      <c r="F19" s="103" t="inlineStr">
        <is>
          <t>Notas</t>
        </is>
      </c>
    </row>
    <row r="20">
      <c r="A20" s="174" t="inlineStr">
        <is>
          <t>ROAS objetivo</t>
        </is>
      </c>
      <c r="B20" s="179" t="n">
        <v>3</v>
      </c>
      <c r="C20" s="179" t="n">
        <v>4</v>
      </c>
      <c r="D20" s="179" t="n">
        <v>5</v>
      </c>
      <c r="E20" s="179" t="n">
        <v>6</v>
      </c>
      <c r="F20" s="171" t="inlineStr">
        <is>
          <t>Editar para evaluar otros ROAS.</t>
        </is>
      </c>
    </row>
    <row r="21">
      <c r="A21" s="174" t="inlineStr">
        <is>
          <t>Margen contributivo €/pedido (medio catálogo)</t>
        </is>
      </c>
      <c r="B21" s="184">
        <f>(AOV/(1+IVA))*Margen_bruto_medio-VAR_COST_PER_ORDER</f>
        <v/>
      </c>
      <c r="C21" s="184">
        <f>(AOV/(1+IVA))*Margen_bruto_medio-VAR_COST_PER_ORDER</f>
        <v/>
      </c>
      <c r="D21" s="184">
        <f>(AOV/(1+IVA))*Margen_bruto_medio-VAR_COST_PER_ORDER</f>
        <v/>
      </c>
      <c r="E21" s="184">
        <f>(AOV/(1+IVA))*Margen_bruto_medio-VAR_COST_PER_ORDER</f>
        <v/>
      </c>
      <c r="F21" s="171" t="inlineStr">
        <is>
          <t>Margen bruto unitario − coste variable unitario.</t>
        </is>
      </c>
    </row>
    <row r="22">
      <c r="A22" s="174" t="inlineStr">
        <is>
          <t>CAC máximo aceptable / pedido</t>
        </is>
      </c>
      <c r="B22" s="184">
        <f>AOV/B20</f>
        <v/>
      </c>
      <c r="C22" s="184">
        <f>AOV/C20</f>
        <v/>
      </c>
      <c r="D22" s="184">
        <f>AOV/D20</f>
        <v/>
      </c>
      <c r="E22" s="184">
        <f>AOV/E20</f>
        <v/>
      </c>
      <c r="F22" s="171" t="inlineStr">
        <is>
          <t>AOV / ROAS objetivo.</t>
        </is>
      </c>
    </row>
    <row r="23">
      <c r="A23" s="174" t="inlineStr">
        <is>
          <t>¿Es rentable a este ROAS?</t>
        </is>
      </c>
      <c r="B23" s="204">
        <f>IF(B21&gt;B22,"SI","NO")</f>
        <v/>
      </c>
      <c r="C23" s="204">
        <f>IF(C21&gt;C22,"SI","NO")</f>
        <v/>
      </c>
      <c r="D23" s="204">
        <f>IF(D21&gt;D22,"SI","NO")</f>
        <v/>
      </c>
      <c r="E23" s="204">
        <f>IF(E21&gt;E22,"SI","NO")</f>
        <v/>
      </c>
      <c r="F23" s="171" t="inlineStr">
        <is>
          <t>MC/pedido &gt; CAC máximo → invertir.</t>
        </is>
      </c>
    </row>
    <row r="24">
      <c r="A24" s="174" t="inlineStr">
        <is>
          <t>Inversión sostenible / mes (con beneficio ≥ 0)</t>
        </is>
      </c>
      <c r="B24" s="184">
        <f>IF(B21&gt;B22,TOTAL_FIJOS_MES/(B21-B22)*B22,0)</f>
        <v/>
      </c>
      <c r="C24" s="184">
        <f>IF(C21&gt;C22,TOTAL_FIJOS_MES/(C21-C22)*C22,0)</f>
        <v/>
      </c>
      <c r="D24" s="184">
        <f>IF(D21&gt;D22,TOTAL_FIJOS_MES/(D21-D22)*D22,0)</f>
        <v/>
      </c>
      <c r="E24" s="184">
        <f>IF(E21&gt;E22,TOTAL_FIJOS_MES/(E21-E22)*E22,0)</f>
        <v/>
      </c>
      <c r="F24" s="171" t="inlineStr">
        <is>
          <t>Inversión a partir de la cual cubrimos costes fijos. 0 = no rentable.</t>
        </is>
      </c>
    </row>
    <row r="25">
      <c r="A25" s="174" t="inlineStr">
        <is>
          <t>Pedidos break-even</t>
        </is>
      </c>
      <c r="B25" s="201">
        <f>IF(B21&gt;B22,TOTAL_FIJOS_MES/(B21-B22),0)</f>
        <v/>
      </c>
      <c r="C25" s="201">
        <f>IF(C21&gt;C22,TOTAL_FIJOS_MES/(C21-C22),0)</f>
        <v/>
      </c>
      <c r="D25" s="201">
        <f>IF(D21&gt;D22,TOTAL_FIJOS_MES/(D21-D22),0)</f>
        <v/>
      </c>
      <c r="E25" s="201">
        <f>IF(E21&gt;E22,TOTAL_FIJOS_MES/(E21-E22),0)</f>
        <v/>
      </c>
    </row>
    <row r="26">
      <c r="A26" s="174" t="inlineStr">
        <is>
          <t>Ingresos brutos break-even</t>
        </is>
      </c>
      <c r="B26" s="184">
        <f>IF(B21&gt;B22,TOTAL_FIJOS_MES/(B21-B22)*AOV,0)</f>
        <v/>
      </c>
      <c r="C26" s="184">
        <f>IF(C21&gt;C22,TOTAL_FIJOS_MES/(C21-C22)*AOV,0)</f>
        <v/>
      </c>
      <c r="D26" s="184">
        <f>IF(D21&gt;D22,TOTAL_FIJOS_MES/(D21-D22)*AOV,0)</f>
        <v/>
      </c>
      <c r="E26" s="184">
        <f>IF(E21&gt;E22,TOTAL_FIJOS_MES/(E21-E22)*AOV,0)</f>
        <v/>
      </c>
    </row>
  </sheetData>
  <mergeCells count="4">
    <mergeCell ref="A2:F2"/>
    <mergeCell ref="A1:F1"/>
    <mergeCell ref="A18:F18"/>
    <mergeCell ref="A4:F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style="98" min="1" max="1"/>
    <col width="10" customWidth="1" style="98" min="2" max="2"/>
    <col width="14" customWidth="1" style="98" min="3" max="3"/>
    <col width="38" customWidth="1" style="98" min="4" max="4"/>
    <col width="14" customWidth="1" style="98" min="5" max="5"/>
    <col width="16" customWidth="1" style="98" min="6" max="6"/>
    <col width="16" customWidth="1" style="98" min="7" max="7"/>
    <col width="14" customWidth="1" style="98" min="8" max="8"/>
  </cols>
  <sheetData>
    <row r="1" ht="28" customHeight="1" s="98">
      <c r="A1" s="128" t="inlineStr">
        <is>
          <t>04 · PRODUCTOS PRIORIDAD — top 30 por margen contributivo €</t>
        </is>
      </c>
    </row>
    <row r="2">
      <c r="A2" s="171" t="inlineStr">
        <is>
          <t>Vista filtrable de la hoja 02_UNIT_ECONOMICS_SKU. Útil para decidir qué empujar en ads y SEO.</t>
        </is>
      </c>
    </row>
    <row r="4" ht="28" customHeight="1" s="98">
      <c r="A4" s="103" t="inlineStr">
        <is>
          <t>#</t>
        </is>
      </c>
      <c r="B4" s="103" t="inlineStr">
        <is>
          <t>Proveedor</t>
        </is>
      </c>
      <c r="C4" s="103" t="inlineStr">
        <is>
          <t>SKU</t>
        </is>
      </c>
      <c r="D4" s="103" t="inlineStr">
        <is>
          <t>Producto</t>
        </is>
      </c>
      <c r="E4" s="103" t="inlineStr">
        <is>
          <t>PVP con IVA €</t>
        </is>
      </c>
      <c r="F4" s="103" t="inlineStr">
        <is>
          <t>Margen contrib. €</t>
        </is>
      </c>
      <c r="G4" s="103" t="inlineStr">
        <is>
          <t>Margen contrib. %</t>
        </is>
      </c>
      <c r="H4" s="103" t="inlineStr">
        <is>
          <t>Categoría</t>
        </is>
      </c>
    </row>
    <row r="5">
      <c r="A5" s="205" t="n">
        <v>1</v>
      </c>
      <c r="B5" s="116">
        <f>INDEX(02_UNIT_ECONOMICS_SKU!$A:$A,MATCH(LARGE(02_UNIT_ECONOMICS_SKU!$M$5:$M$1000,1),02_UNIT_ECONOMICS_SKU!$M$5:$M$1000,0)+4)</f>
        <v/>
      </c>
      <c r="C5" s="116">
        <f>INDEX(02_UNIT_ECONOMICS_SKU!$B:$B,MATCH(LARGE(02_UNIT_ECONOMICS_SKU!$M$5:$M$1000,1),02_UNIT_ECONOMICS_SKU!$M$5:$M$1000,0)+4)</f>
        <v/>
      </c>
      <c r="D5" s="116">
        <f>INDEX(02_UNIT_ECONOMICS_SKU!$C:$C,MATCH(LARGE(02_UNIT_ECONOMICS_SKU!$M$5:$M$1000,1),02_UNIT_ECONOMICS_SKU!$M$5:$M$1000,0)+4)</f>
        <v/>
      </c>
      <c r="E5" s="118">
        <f>INDEX(02_UNIT_ECONOMICS_SKU!$F:$F,MATCH(LARGE(02_UNIT_ECONOMICS_SKU!$M$5:$M$1000,1),02_UNIT_ECONOMICS_SKU!$M$5:$M$1000,0)+4)</f>
        <v/>
      </c>
      <c r="F5" s="118">
        <f>LARGE(02_UNIT_ECONOMICS_SKU!$M$5:$M$1000,1)</f>
        <v/>
      </c>
      <c r="G5" s="191">
        <f>INDEX(02_UNIT_ECONOMICS_SKU!$N:$N,MATCH(LARGE(02_UNIT_ECONOMICS_SKU!$M$5:$M$1000,1),02_UNIT_ECONOMICS_SKU!$M$5:$M$1000,0)+4)</f>
        <v/>
      </c>
      <c r="H5" s="116">
        <f>INDEX(02_UNIT_ECONOMICS_SKU!$Q:$Q,MATCH(LARGE(02_UNIT_ECONOMICS_SKU!$M$5:$M$1000,1),02_UNIT_ECONOMICS_SKU!$M$5:$M$1000,0)+4)</f>
        <v/>
      </c>
    </row>
    <row r="6">
      <c r="A6" s="206" t="n">
        <v>2</v>
      </c>
      <c r="B6" s="122">
        <f>INDEX(02_UNIT_ECONOMICS_SKU!$A:$A,MATCH(LARGE(02_UNIT_ECONOMICS_SKU!$M$5:$M$1000,2),02_UNIT_ECONOMICS_SKU!$M$5:$M$1000,0)+4)</f>
        <v/>
      </c>
      <c r="C6" s="122">
        <f>INDEX(02_UNIT_ECONOMICS_SKU!$B:$B,MATCH(LARGE(02_UNIT_ECONOMICS_SKU!$M$5:$M$1000,2),02_UNIT_ECONOMICS_SKU!$M$5:$M$1000,0)+4)</f>
        <v/>
      </c>
      <c r="D6" s="122">
        <f>INDEX(02_UNIT_ECONOMICS_SKU!$C:$C,MATCH(LARGE(02_UNIT_ECONOMICS_SKU!$M$5:$M$1000,2),02_UNIT_ECONOMICS_SKU!$M$5:$M$1000,0)+4)</f>
        <v/>
      </c>
      <c r="E6" s="124">
        <f>INDEX(02_UNIT_ECONOMICS_SKU!$F:$F,MATCH(LARGE(02_UNIT_ECONOMICS_SKU!$M$5:$M$1000,2),02_UNIT_ECONOMICS_SKU!$M$5:$M$1000,0)+4)</f>
        <v/>
      </c>
      <c r="F6" s="124">
        <f>LARGE(02_UNIT_ECONOMICS_SKU!$M$5:$M$1000,2)</f>
        <v/>
      </c>
      <c r="G6" s="194">
        <f>INDEX(02_UNIT_ECONOMICS_SKU!$N:$N,MATCH(LARGE(02_UNIT_ECONOMICS_SKU!$M$5:$M$1000,2),02_UNIT_ECONOMICS_SKU!$M$5:$M$1000,0)+4)</f>
        <v/>
      </c>
      <c r="H6" s="122">
        <f>INDEX(02_UNIT_ECONOMICS_SKU!$Q:$Q,MATCH(LARGE(02_UNIT_ECONOMICS_SKU!$M$5:$M$1000,2),02_UNIT_ECONOMICS_SKU!$M$5:$M$1000,0)+4)</f>
        <v/>
      </c>
    </row>
    <row r="7">
      <c r="A7" s="205" t="n">
        <v>3</v>
      </c>
      <c r="B7" s="116">
        <f>INDEX(02_UNIT_ECONOMICS_SKU!$A:$A,MATCH(LARGE(02_UNIT_ECONOMICS_SKU!$M$5:$M$1000,3),02_UNIT_ECONOMICS_SKU!$M$5:$M$1000,0)+4)</f>
        <v/>
      </c>
      <c r="C7" s="116">
        <f>INDEX(02_UNIT_ECONOMICS_SKU!$B:$B,MATCH(LARGE(02_UNIT_ECONOMICS_SKU!$M$5:$M$1000,3),02_UNIT_ECONOMICS_SKU!$M$5:$M$1000,0)+4)</f>
        <v/>
      </c>
      <c r="D7" s="116">
        <f>INDEX(02_UNIT_ECONOMICS_SKU!$C:$C,MATCH(LARGE(02_UNIT_ECONOMICS_SKU!$M$5:$M$1000,3),02_UNIT_ECONOMICS_SKU!$M$5:$M$1000,0)+4)</f>
        <v/>
      </c>
      <c r="E7" s="118">
        <f>INDEX(02_UNIT_ECONOMICS_SKU!$F:$F,MATCH(LARGE(02_UNIT_ECONOMICS_SKU!$M$5:$M$1000,3),02_UNIT_ECONOMICS_SKU!$M$5:$M$1000,0)+4)</f>
        <v/>
      </c>
      <c r="F7" s="118">
        <f>LARGE(02_UNIT_ECONOMICS_SKU!$M$5:$M$1000,3)</f>
        <v/>
      </c>
      <c r="G7" s="191">
        <f>INDEX(02_UNIT_ECONOMICS_SKU!$N:$N,MATCH(LARGE(02_UNIT_ECONOMICS_SKU!$M$5:$M$1000,3),02_UNIT_ECONOMICS_SKU!$M$5:$M$1000,0)+4)</f>
        <v/>
      </c>
      <c r="H7" s="116">
        <f>INDEX(02_UNIT_ECONOMICS_SKU!$Q:$Q,MATCH(LARGE(02_UNIT_ECONOMICS_SKU!$M$5:$M$1000,3),02_UNIT_ECONOMICS_SKU!$M$5:$M$1000,0)+4)</f>
        <v/>
      </c>
    </row>
    <row r="8">
      <c r="A8" s="206" t="n">
        <v>4</v>
      </c>
      <c r="B8" s="122">
        <f>INDEX(02_UNIT_ECONOMICS_SKU!$A:$A,MATCH(LARGE(02_UNIT_ECONOMICS_SKU!$M$5:$M$1000,4),02_UNIT_ECONOMICS_SKU!$M$5:$M$1000,0)+4)</f>
        <v/>
      </c>
      <c r="C8" s="122">
        <f>INDEX(02_UNIT_ECONOMICS_SKU!$B:$B,MATCH(LARGE(02_UNIT_ECONOMICS_SKU!$M$5:$M$1000,4),02_UNIT_ECONOMICS_SKU!$M$5:$M$1000,0)+4)</f>
        <v/>
      </c>
      <c r="D8" s="122">
        <f>INDEX(02_UNIT_ECONOMICS_SKU!$C:$C,MATCH(LARGE(02_UNIT_ECONOMICS_SKU!$M$5:$M$1000,4),02_UNIT_ECONOMICS_SKU!$M$5:$M$1000,0)+4)</f>
        <v/>
      </c>
      <c r="E8" s="124">
        <f>INDEX(02_UNIT_ECONOMICS_SKU!$F:$F,MATCH(LARGE(02_UNIT_ECONOMICS_SKU!$M$5:$M$1000,4),02_UNIT_ECONOMICS_SKU!$M$5:$M$1000,0)+4)</f>
        <v/>
      </c>
      <c r="F8" s="124">
        <f>LARGE(02_UNIT_ECONOMICS_SKU!$M$5:$M$1000,4)</f>
        <v/>
      </c>
      <c r="G8" s="194">
        <f>INDEX(02_UNIT_ECONOMICS_SKU!$N:$N,MATCH(LARGE(02_UNIT_ECONOMICS_SKU!$M$5:$M$1000,4),02_UNIT_ECONOMICS_SKU!$M$5:$M$1000,0)+4)</f>
        <v/>
      </c>
      <c r="H8" s="122">
        <f>INDEX(02_UNIT_ECONOMICS_SKU!$Q:$Q,MATCH(LARGE(02_UNIT_ECONOMICS_SKU!$M$5:$M$1000,4),02_UNIT_ECONOMICS_SKU!$M$5:$M$1000,0)+4)</f>
        <v/>
      </c>
    </row>
    <row r="9">
      <c r="A9" s="205" t="n">
        <v>5</v>
      </c>
      <c r="B9" s="116">
        <f>INDEX(02_UNIT_ECONOMICS_SKU!$A:$A,MATCH(LARGE(02_UNIT_ECONOMICS_SKU!$M$5:$M$1000,5),02_UNIT_ECONOMICS_SKU!$M$5:$M$1000,0)+4)</f>
        <v/>
      </c>
      <c r="C9" s="116">
        <f>INDEX(02_UNIT_ECONOMICS_SKU!$B:$B,MATCH(LARGE(02_UNIT_ECONOMICS_SKU!$M$5:$M$1000,5),02_UNIT_ECONOMICS_SKU!$M$5:$M$1000,0)+4)</f>
        <v/>
      </c>
      <c r="D9" s="116">
        <f>INDEX(02_UNIT_ECONOMICS_SKU!$C:$C,MATCH(LARGE(02_UNIT_ECONOMICS_SKU!$M$5:$M$1000,5),02_UNIT_ECONOMICS_SKU!$M$5:$M$1000,0)+4)</f>
        <v/>
      </c>
      <c r="E9" s="118">
        <f>INDEX(02_UNIT_ECONOMICS_SKU!$F:$F,MATCH(LARGE(02_UNIT_ECONOMICS_SKU!$M$5:$M$1000,5),02_UNIT_ECONOMICS_SKU!$M$5:$M$1000,0)+4)</f>
        <v/>
      </c>
      <c r="F9" s="118">
        <f>LARGE(02_UNIT_ECONOMICS_SKU!$M$5:$M$1000,5)</f>
        <v/>
      </c>
      <c r="G9" s="191">
        <f>INDEX(02_UNIT_ECONOMICS_SKU!$N:$N,MATCH(LARGE(02_UNIT_ECONOMICS_SKU!$M$5:$M$1000,5),02_UNIT_ECONOMICS_SKU!$M$5:$M$1000,0)+4)</f>
        <v/>
      </c>
      <c r="H9" s="116">
        <f>INDEX(02_UNIT_ECONOMICS_SKU!$Q:$Q,MATCH(LARGE(02_UNIT_ECONOMICS_SKU!$M$5:$M$1000,5),02_UNIT_ECONOMICS_SKU!$M$5:$M$1000,0)+4)</f>
        <v/>
      </c>
    </row>
    <row r="10">
      <c r="A10" s="206" t="n">
        <v>6</v>
      </c>
      <c r="B10" s="122">
        <f>INDEX(02_UNIT_ECONOMICS_SKU!$A:$A,MATCH(LARGE(02_UNIT_ECONOMICS_SKU!$M$5:$M$1000,6),02_UNIT_ECONOMICS_SKU!$M$5:$M$1000,0)+4)</f>
        <v/>
      </c>
      <c r="C10" s="122">
        <f>INDEX(02_UNIT_ECONOMICS_SKU!$B:$B,MATCH(LARGE(02_UNIT_ECONOMICS_SKU!$M$5:$M$1000,6),02_UNIT_ECONOMICS_SKU!$M$5:$M$1000,0)+4)</f>
        <v/>
      </c>
      <c r="D10" s="122">
        <f>INDEX(02_UNIT_ECONOMICS_SKU!$C:$C,MATCH(LARGE(02_UNIT_ECONOMICS_SKU!$M$5:$M$1000,6),02_UNIT_ECONOMICS_SKU!$M$5:$M$1000,0)+4)</f>
        <v/>
      </c>
      <c r="E10" s="124">
        <f>INDEX(02_UNIT_ECONOMICS_SKU!$F:$F,MATCH(LARGE(02_UNIT_ECONOMICS_SKU!$M$5:$M$1000,6),02_UNIT_ECONOMICS_SKU!$M$5:$M$1000,0)+4)</f>
        <v/>
      </c>
      <c r="F10" s="124">
        <f>LARGE(02_UNIT_ECONOMICS_SKU!$M$5:$M$1000,6)</f>
        <v/>
      </c>
      <c r="G10" s="194">
        <f>INDEX(02_UNIT_ECONOMICS_SKU!$N:$N,MATCH(LARGE(02_UNIT_ECONOMICS_SKU!$M$5:$M$1000,6),02_UNIT_ECONOMICS_SKU!$M$5:$M$1000,0)+4)</f>
        <v/>
      </c>
      <c r="H10" s="122">
        <f>INDEX(02_UNIT_ECONOMICS_SKU!$Q:$Q,MATCH(LARGE(02_UNIT_ECONOMICS_SKU!$M$5:$M$1000,6),02_UNIT_ECONOMICS_SKU!$M$5:$M$1000,0)+4)</f>
        <v/>
      </c>
    </row>
    <row r="11">
      <c r="A11" s="205" t="n">
        <v>7</v>
      </c>
      <c r="B11" s="116">
        <f>INDEX(02_UNIT_ECONOMICS_SKU!$A:$A,MATCH(LARGE(02_UNIT_ECONOMICS_SKU!$M$5:$M$1000,7),02_UNIT_ECONOMICS_SKU!$M$5:$M$1000,0)+4)</f>
        <v/>
      </c>
      <c r="C11" s="116">
        <f>INDEX(02_UNIT_ECONOMICS_SKU!$B:$B,MATCH(LARGE(02_UNIT_ECONOMICS_SKU!$M$5:$M$1000,7),02_UNIT_ECONOMICS_SKU!$M$5:$M$1000,0)+4)</f>
        <v/>
      </c>
      <c r="D11" s="116">
        <f>INDEX(02_UNIT_ECONOMICS_SKU!$C:$C,MATCH(LARGE(02_UNIT_ECONOMICS_SKU!$M$5:$M$1000,7),02_UNIT_ECONOMICS_SKU!$M$5:$M$1000,0)+4)</f>
        <v/>
      </c>
      <c r="E11" s="118">
        <f>INDEX(02_UNIT_ECONOMICS_SKU!$F:$F,MATCH(LARGE(02_UNIT_ECONOMICS_SKU!$M$5:$M$1000,7),02_UNIT_ECONOMICS_SKU!$M$5:$M$1000,0)+4)</f>
        <v/>
      </c>
      <c r="F11" s="118">
        <f>LARGE(02_UNIT_ECONOMICS_SKU!$M$5:$M$1000,7)</f>
        <v/>
      </c>
      <c r="G11" s="191">
        <f>INDEX(02_UNIT_ECONOMICS_SKU!$N:$N,MATCH(LARGE(02_UNIT_ECONOMICS_SKU!$M$5:$M$1000,7),02_UNIT_ECONOMICS_SKU!$M$5:$M$1000,0)+4)</f>
        <v/>
      </c>
      <c r="H11" s="116">
        <f>INDEX(02_UNIT_ECONOMICS_SKU!$Q:$Q,MATCH(LARGE(02_UNIT_ECONOMICS_SKU!$M$5:$M$1000,7),02_UNIT_ECONOMICS_SKU!$M$5:$M$1000,0)+4)</f>
        <v/>
      </c>
    </row>
    <row r="12">
      <c r="A12" s="206" t="n">
        <v>8</v>
      </c>
      <c r="B12" s="122">
        <f>INDEX(02_UNIT_ECONOMICS_SKU!$A:$A,MATCH(LARGE(02_UNIT_ECONOMICS_SKU!$M$5:$M$1000,8),02_UNIT_ECONOMICS_SKU!$M$5:$M$1000,0)+4)</f>
        <v/>
      </c>
      <c r="C12" s="122">
        <f>INDEX(02_UNIT_ECONOMICS_SKU!$B:$B,MATCH(LARGE(02_UNIT_ECONOMICS_SKU!$M$5:$M$1000,8),02_UNIT_ECONOMICS_SKU!$M$5:$M$1000,0)+4)</f>
        <v/>
      </c>
      <c r="D12" s="122">
        <f>INDEX(02_UNIT_ECONOMICS_SKU!$C:$C,MATCH(LARGE(02_UNIT_ECONOMICS_SKU!$M$5:$M$1000,8),02_UNIT_ECONOMICS_SKU!$M$5:$M$1000,0)+4)</f>
        <v/>
      </c>
      <c r="E12" s="124">
        <f>INDEX(02_UNIT_ECONOMICS_SKU!$F:$F,MATCH(LARGE(02_UNIT_ECONOMICS_SKU!$M$5:$M$1000,8),02_UNIT_ECONOMICS_SKU!$M$5:$M$1000,0)+4)</f>
        <v/>
      </c>
      <c r="F12" s="124">
        <f>LARGE(02_UNIT_ECONOMICS_SKU!$M$5:$M$1000,8)</f>
        <v/>
      </c>
      <c r="G12" s="194">
        <f>INDEX(02_UNIT_ECONOMICS_SKU!$N:$N,MATCH(LARGE(02_UNIT_ECONOMICS_SKU!$M$5:$M$1000,8),02_UNIT_ECONOMICS_SKU!$M$5:$M$1000,0)+4)</f>
        <v/>
      </c>
      <c r="H12" s="122">
        <f>INDEX(02_UNIT_ECONOMICS_SKU!$Q:$Q,MATCH(LARGE(02_UNIT_ECONOMICS_SKU!$M$5:$M$1000,8),02_UNIT_ECONOMICS_SKU!$M$5:$M$1000,0)+4)</f>
        <v/>
      </c>
    </row>
    <row r="13">
      <c r="A13" s="205" t="n">
        <v>9</v>
      </c>
      <c r="B13" s="116">
        <f>INDEX(02_UNIT_ECONOMICS_SKU!$A:$A,MATCH(LARGE(02_UNIT_ECONOMICS_SKU!$M$5:$M$1000,9),02_UNIT_ECONOMICS_SKU!$M$5:$M$1000,0)+4)</f>
        <v/>
      </c>
      <c r="C13" s="116">
        <f>INDEX(02_UNIT_ECONOMICS_SKU!$B:$B,MATCH(LARGE(02_UNIT_ECONOMICS_SKU!$M$5:$M$1000,9),02_UNIT_ECONOMICS_SKU!$M$5:$M$1000,0)+4)</f>
        <v/>
      </c>
      <c r="D13" s="116">
        <f>INDEX(02_UNIT_ECONOMICS_SKU!$C:$C,MATCH(LARGE(02_UNIT_ECONOMICS_SKU!$M$5:$M$1000,9),02_UNIT_ECONOMICS_SKU!$M$5:$M$1000,0)+4)</f>
        <v/>
      </c>
      <c r="E13" s="118">
        <f>INDEX(02_UNIT_ECONOMICS_SKU!$F:$F,MATCH(LARGE(02_UNIT_ECONOMICS_SKU!$M$5:$M$1000,9),02_UNIT_ECONOMICS_SKU!$M$5:$M$1000,0)+4)</f>
        <v/>
      </c>
      <c r="F13" s="118">
        <f>LARGE(02_UNIT_ECONOMICS_SKU!$M$5:$M$1000,9)</f>
        <v/>
      </c>
      <c r="G13" s="191">
        <f>INDEX(02_UNIT_ECONOMICS_SKU!$N:$N,MATCH(LARGE(02_UNIT_ECONOMICS_SKU!$M$5:$M$1000,9),02_UNIT_ECONOMICS_SKU!$M$5:$M$1000,0)+4)</f>
        <v/>
      </c>
      <c r="H13" s="116">
        <f>INDEX(02_UNIT_ECONOMICS_SKU!$Q:$Q,MATCH(LARGE(02_UNIT_ECONOMICS_SKU!$M$5:$M$1000,9),02_UNIT_ECONOMICS_SKU!$M$5:$M$1000,0)+4)</f>
        <v/>
      </c>
    </row>
    <row r="14">
      <c r="A14" s="206" t="n">
        <v>10</v>
      </c>
      <c r="B14" s="122">
        <f>INDEX(02_UNIT_ECONOMICS_SKU!$A:$A,MATCH(LARGE(02_UNIT_ECONOMICS_SKU!$M$5:$M$1000,10),02_UNIT_ECONOMICS_SKU!$M$5:$M$1000,0)+4)</f>
        <v/>
      </c>
      <c r="C14" s="122">
        <f>INDEX(02_UNIT_ECONOMICS_SKU!$B:$B,MATCH(LARGE(02_UNIT_ECONOMICS_SKU!$M$5:$M$1000,10),02_UNIT_ECONOMICS_SKU!$M$5:$M$1000,0)+4)</f>
        <v/>
      </c>
      <c r="D14" s="122">
        <f>INDEX(02_UNIT_ECONOMICS_SKU!$C:$C,MATCH(LARGE(02_UNIT_ECONOMICS_SKU!$M$5:$M$1000,10),02_UNIT_ECONOMICS_SKU!$M$5:$M$1000,0)+4)</f>
        <v/>
      </c>
      <c r="E14" s="124">
        <f>INDEX(02_UNIT_ECONOMICS_SKU!$F:$F,MATCH(LARGE(02_UNIT_ECONOMICS_SKU!$M$5:$M$1000,10),02_UNIT_ECONOMICS_SKU!$M$5:$M$1000,0)+4)</f>
        <v/>
      </c>
      <c r="F14" s="124">
        <f>LARGE(02_UNIT_ECONOMICS_SKU!$M$5:$M$1000,10)</f>
        <v/>
      </c>
      <c r="G14" s="194">
        <f>INDEX(02_UNIT_ECONOMICS_SKU!$N:$N,MATCH(LARGE(02_UNIT_ECONOMICS_SKU!$M$5:$M$1000,10),02_UNIT_ECONOMICS_SKU!$M$5:$M$1000,0)+4)</f>
        <v/>
      </c>
      <c r="H14" s="122">
        <f>INDEX(02_UNIT_ECONOMICS_SKU!$Q:$Q,MATCH(LARGE(02_UNIT_ECONOMICS_SKU!$M$5:$M$1000,10),02_UNIT_ECONOMICS_SKU!$M$5:$M$1000,0)+4)</f>
        <v/>
      </c>
    </row>
    <row r="15">
      <c r="A15" s="205" t="n">
        <v>11</v>
      </c>
      <c r="B15" s="116">
        <f>INDEX(02_UNIT_ECONOMICS_SKU!$A:$A,MATCH(LARGE(02_UNIT_ECONOMICS_SKU!$M$5:$M$1000,11),02_UNIT_ECONOMICS_SKU!$M$5:$M$1000,0)+4)</f>
        <v/>
      </c>
      <c r="C15" s="116">
        <f>INDEX(02_UNIT_ECONOMICS_SKU!$B:$B,MATCH(LARGE(02_UNIT_ECONOMICS_SKU!$M$5:$M$1000,11),02_UNIT_ECONOMICS_SKU!$M$5:$M$1000,0)+4)</f>
        <v/>
      </c>
      <c r="D15" s="116">
        <f>INDEX(02_UNIT_ECONOMICS_SKU!$C:$C,MATCH(LARGE(02_UNIT_ECONOMICS_SKU!$M$5:$M$1000,11),02_UNIT_ECONOMICS_SKU!$M$5:$M$1000,0)+4)</f>
        <v/>
      </c>
      <c r="E15" s="118">
        <f>INDEX(02_UNIT_ECONOMICS_SKU!$F:$F,MATCH(LARGE(02_UNIT_ECONOMICS_SKU!$M$5:$M$1000,11),02_UNIT_ECONOMICS_SKU!$M$5:$M$1000,0)+4)</f>
        <v/>
      </c>
      <c r="F15" s="118">
        <f>LARGE(02_UNIT_ECONOMICS_SKU!$M$5:$M$1000,11)</f>
        <v/>
      </c>
      <c r="G15" s="191">
        <f>INDEX(02_UNIT_ECONOMICS_SKU!$N:$N,MATCH(LARGE(02_UNIT_ECONOMICS_SKU!$M$5:$M$1000,11),02_UNIT_ECONOMICS_SKU!$M$5:$M$1000,0)+4)</f>
        <v/>
      </c>
      <c r="H15" s="116">
        <f>INDEX(02_UNIT_ECONOMICS_SKU!$Q:$Q,MATCH(LARGE(02_UNIT_ECONOMICS_SKU!$M$5:$M$1000,11),02_UNIT_ECONOMICS_SKU!$M$5:$M$1000,0)+4)</f>
        <v/>
      </c>
    </row>
    <row r="16">
      <c r="A16" s="206" t="n">
        <v>12</v>
      </c>
      <c r="B16" s="122">
        <f>INDEX(02_UNIT_ECONOMICS_SKU!$A:$A,MATCH(LARGE(02_UNIT_ECONOMICS_SKU!$M$5:$M$1000,12),02_UNIT_ECONOMICS_SKU!$M$5:$M$1000,0)+4)</f>
        <v/>
      </c>
      <c r="C16" s="122">
        <f>INDEX(02_UNIT_ECONOMICS_SKU!$B:$B,MATCH(LARGE(02_UNIT_ECONOMICS_SKU!$M$5:$M$1000,12),02_UNIT_ECONOMICS_SKU!$M$5:$M$1000,0)+4)</f>
        <v/>
      </c>
      <c r="D16" s="122">
        <f>INDEX(02_UNIT_ECONOMICS_SKU!$C:$C,MATCH(LARGE(02_UNIT_ECONOMICS_SKU!$M$5:$M$1000,12),02_UNIT_ECONOMICS_SKU!$M$5:$M$1000,0)+4)</f>
        <v/>
      </c>
      <c r="E16" s="124">
        <f>INDEX(02_UNIT_ECONOMICS_SKU!$F:$F,MATCH(LARGE(02_UNIT_ECONOMICS_SKU!$M$5:$M$1000,12),02_UNIT_ECONOMICS_SKU!$M$5:$M$1000,0)+4)</f>
        <v/>
      </c>
      <c r="F16" s="124">
        <f>LARGE(02_UNIT_ECONOMICS_SKU!$M$5:$M$1000,12)</f>
        <v/>
      </c>
      <c r="G16" s="194">
        <f>INDEX(02_UNIT_ECONOMICS_SKU!$N:$N,MATCH(LARGE(02_UNIT_ECONOMICS_SKU!$M$5:$M$1000,12),02_UNIT_ECONOMICS_SKU!$M$5:$M$1000,0)+4)</f>
        <v/>
      </c>
      <c r="H16" s="122">
        <f>INDEX(02_UNIT_ECONOMICS_SKU!$Q:$Q,MATCH(LARGE(02_UNIT_ECONOMICS_SKU!$M$5:$M$1000,12),02_UNIT_ECONOMICS_SKU!$M$5:$M$1000,0)+4)</f>
        <v/>
      </c>
    </row>
    <row r="17">
      <c r="A17" s="205" t="n">
        <v>13</v>
      </c>
      <c r="B17" s="116">
        <f>INDEX(02_UNIT_ECONOMICS_SKU!$A:$A,MATCH(LARGE(02_UNIT_ECONOMICS_SKU!$M$5:$M$1000,13),02_UNIT_ECONOMICS_SKU!$M$5:$M$1000,0)+4)</f>
        <v/>
      </c>
      <c r="C17" s="116">
        <f>INDEX(02_UNIT_ECONOMICS_SKU!$B:$B,MATCH(LARGE(02_UNIT_ECONOMICS_SKU!$M$5:$M$1000,13),02_UNIT_ECONOMICS_SKU!$M$5:$M$1000,0)+4)</f>
        <v/>
      </c>
      <c r="D17" s="116">
        <f>INDEX(02_UNIT_ECONOMICS_SKU!$C:$C,MATCH(LARGE(02_UNIT_ECONOMICS_SKU!$M$5:$M$1000,13),02_UNIT_ECONOMICS_SKU!$M$5:$M$1000,0)+4)</f>
        <v/>
      </c>
      <c r="E17" s="118">
        <f>INDEX(02_UNIT_ECONOMICS_SKU!$F:$F,MATCH(LARGE(02_UNIT_ECONOMICS_SKU!$M$5:$M$1000,13),02_UNIT_ECONOMICS_SKU!$M$5:$M$1000,0)+4)</f>
        <v/>
      </c>
      <c r="F17" s="118">
        <f>LARGE(02_UNIT_ECONOMICS_SKU!$M$5:$M$1000,13)</f>
        <v/>
      </c>
      <c r="G17" s="191">
        <f>INDEX(02_UNIT_ECONOMICS_SKU!$N:$N,MATCH(LARGE(02_UNIT_ECONOMICS_SKU!$M$5:$M$1000,13),02_UNIT_ECONOMICS_SKU!$M$5:$M$1000,0)+4)</f>
        <v/>
      </c>
      <c r="H17" s="116">
        <f>INDEX(02_UNIT_ECONOMICS_SKU!$Q:$Q,MATCH(LARGE(02_UNIT_ECONOMICS_SKU!$M$5:$M$1000,13),02_UNIT_ECONOMICS_SKU!$M$5:$M$1000,0)+4)</f>
        <v/>
      </c>
    </row>
    <row r="18">
      <c r="A18" s="206" t="n">
        <v>14</v>
      </c>
      <c r="B18" s="122">
        <f>INDEX(02_UNIT_ECONOMICS_SKU!$A:$A,MATCH(LARGE(02_UNIT_ECONOMICS_SKU!$M$5:$M$1000,14),02_UNIT_ECONOMICS_SKU!$M$5:$M$1000,0)+4)</f>
        <v/>
      </c>
      <c r="C18" s="122">
        <f>INDEX(02_UNIT_ECONOMICS_SKU!$B:$B,MATCH(LARGE(02_UNIT_ECONOMICS_SKU!$M$5:$M$1000,14),02_UNIT_ECONOMICS_SKU!$M$5:$M$1000,0)+4)</f>
        <v/>
      </c>
      <c r="D18" s="122">
        <f>INDEX(02_UNIT_ECONOMICS_SKU!$C:$C,MATCH(LARGE(02_UNIT_ECONOMICS_SKU!$M$5:$M$1000,14),02_UNIT_ECONOMICS_SKU!$M$5:$M$1000,0)+4)</f>
        <v/>
      </c>
      <c r="E18" s="124">
        <f>INDEX(02_UNIT_ECONOMICS_SKU!$F:$F,MATCH(LARGE(02_UNIT_ECONOMICS_SKU!$M$5:$M$1000,14),02_UNIT_ECONOMICS_SKU!$M$5:$M$1000,0)+4)</f>
        <v/>
      </c>
      <c r="F18" s="124">
        <f>LARGE(02_UNIT_ECONOMICS_SKU!$M$5:$M$1000,14)</f>
        <v/>
      </c>
      <c r="G18" s="194">
        <f>INDEX(02_UNIT_ECONOMICS_SKU!$N:$N,MATCH(LARGE(02_UNIT_ECONOMICS_SKU!$M$5:$M$1000,14),02_UNIT_ECONOMICS_SKU!$M$5:$M$1000,0)+4)</f>
        <v/>
      </c>
      <c r="H18" s="122">
        <f>INDEX(02_UNIT_ECONOMICS_SKU!$Q:$Q,MATCH(LARGE(02_UNIT_ECONOMICS_SKU!$M$5:$M$1000,14),02_UNIT_ECONOMICS_SKU!$M$5:$M$1000,0)+4)</f>
        <v/>
      </c>
    </row>
    <row r="19">
      <c r="A19" s="205" t="n">
        <v>15</v>
      </c>
      <c r="B19" s="116">
        <f>INDEX(02_UNIT_ECONOMICS_SKU!$A:$A,MATCH(LARGE(02_UNIT_ECONOMICS_SKU!$M$5:$M$1000,15),02_UNIT_ECONOMICS_SKU!$M$5:$M$1000,0)+4)</f>
        <v/>
      </c>
      <c r="C19" s="116">
        <f>INDEX(02_UNIT_ECONOMICS_SKU!$B:$B,MATCH(LARGE(02_UNIT_ECONOMICS_SKU!$M$5:$M$1000,15),02_UNIT_ECONOMICS_SKU!$M$5:$M$1000,0)+4)</f>
        <v/>
      </c>
      <c r="D19" s="116">
        <f>INDEX(02_UNIT_ECONOMICS_SKU!$C:$C,MATCH(LARGE(02_UNIT_ECONOMICS_SKU!$M$5:$M$1000,15),02_UNIT_ECONOMICS_SKU!$M$5:$M$1000,0)+4)</f>
        <v/>
      </c>
      <c r="E19" s="118">
        <f>INDEX(02_UNIT_ECONOMICS_SKU!$F:$F,MATCH(LARGE(02_UNIT_ECONOMICS_SKU!$M$5:$M$1000,15),02_UNIT_ECONOMICS_SKU!$M$5:$M$1000,0)+4)</f>
        <v/>
      </c>
      <c r="F19" s="118">
        <f>LARGE(02_UNIT_ECONOMICS_SKU!$M$5:$M$1000,15)</f>
        <v/>
      </c>
      <c r="G19" s="191">
        <f>INDEX(02_UNIT_ECONOMICS_SKU!$N:$N,MATCH(LARGE(02_UNIT_ECONOMICS_SKU!$M$5:$M$1000,15),02_UNIT_ECONOMICS_SKU!$M$5:$M$1000,0)+4)</f>
        <v/>
      </c>
      <c r="H19" s="116">
        <f>INDEX(02_UNIT_ECONOMICS_SKU!$Q:$Q,MATCH(LARGE(02_UNIT_ECONOMICS_SKU!$M$5:$M$1000,15),02_UNIT_ECONOMICS_SKU!$M$5:$M$1000,0)+4)</f>
        <v/>
      </c>
    </row>
    <row r="20">
      <c r="A20" s="206" t="n">
        <v>16</v>
      </c>
      <c r="B20" s="122">
        <f>INDEX(02_UNIT_ECONOMICS_SKU!$A:$A,MATCH(LARGE(02_UNIT_ECONOMICS_SKU!$M$5:$M$1000,16),02_UNIT_ECONOMICS_SKU!$M$5:$M$1000,0)+4)</f>
        <v/>
      </c>
      <c r="C20" s="122">
        <f>INDEX(02_UNIT_ECONOMICS_SKU!$B:$B,MATCH(LARGE(02_UNIT_ECONOMICS_SKU!$M$5:$M$1000,16),02_UNIT_ECONOMICS_SKU!$M$5:$M$1000,0)+4)</f>
        <v/>
      </c>
      <c r="D20" s="122">
        <f>INDEX(02_UNIT_ECONOMICS_SKU!$C:$C,MATCH(LARGE(02_UNIT_ECONOMICS_SKU!$M$5:$M$1000,16),02_UNIT_ECONOMICS_SKU!$M$5:$M$1000,0)+4)</f>
        <v/>
      </c>
      <c r="E20" s="124">
        <f>INDEX(02_UNIT_ECONOMICS_SKU!$F:$F,MATCH(LARGE(02_UNIT_ECONOMICS_SKU!$M$5:$M$1000,16),02_UNIT_ECONOMICS_SKU!$M$5:$M$1000,0)+4)</f>
        <v/>
      </c>
      <c r="F20" s="124">
        <f>LARGE(02_UNIT_ECONOMICS_SKU!$M$5:$M$1000,16)</f>
        <v/>
      </c>
      <c r="G20" s="194">
        <f>INDEX(02_UNIT_ECONOMICS_SKU!$N:$N,MATCH(LARGE(02_UNIT_ECONOMICS_SKU!$M$5:$M$1000,16),02_UNIT_ECONOMICS_SKU!$M$5:$M$1000,0)+4)</f>
        <v/>
      </c>
      <c r="H20" s="122">
        <f>INDEX(02_UNIT_ECONOMICS_SKU!$Q:$Q,MATCH(LARGE(02_UNIT_ECONOMICS_SKU!$M$5:$M$1000,16),02_UNIT_ECONOMICS_SKU!$M$5:$M$1000,0)+4)</f>
        <v/>
      </c>
    </row>
    <row r="21">
      <c r="A21" s="205" t="n">
        <v>17</v>
      </c>
      <c r="B21" s="116">
        <f>INDEX(02_UNIT_ECONOMICS_SKU!$A:$A,MATCH(LARGE(02_UNIT_ECONOMICS_SKU!$M$5:$M$1000,17),02_UNIT_ECONOMICS_SKU!$M$5:$M$1000,0)+4)</f>
        <v/>
      </c>
      <c r="C21" s="116">
        <f>INDEX(02_UNIT_ECONOMICS_SKU!$B:$B,MATCH(LARGE(02_UNIT_ECONOMICS_SKU!$M$5:$M$1000,17),02_UNIT_ECONOMICS_SKU!$M$5:$M$1000,0)+4)</f>
        <v/>
      </c>
      <c r="D21" s="116">
        <f>INDEX(02_UNIT_ECONOMICS_SKU!$C:$C,MATCH(LARGE(02_UNIT_ECONOMICS_SKU!$M$5:$M$1000,17),02_UNIT_ECONOMICS_SKU!$M$5:$M$1000,0)+4)</f>
        <v/>
      </c>
      <c r="E21" s="118">
        <f>INDEX(02_UNIT_ECONOMICS_SKU!$F:$F,MATCH(LARGE(02_UNIT_ECONOMICS_SKU!$M$5:$M$1000,17),02_UNIT_ECONOMICS_SKU!$M$5:$M$1000,0)+4)</f>
        <v/>
      </c>
      <c r="F21" s="118">
        <f>LARGE(02_UNIT_ECONOMICS_SKU!$M$5:$M$1000,17)</f>
        <v/>
      </c>
      <c r="G21" s="191">
        <f>INDEX(02_UNIT_ECONOMICS_SKU!$N:$N,MATCH(LARGE(02_UNIT_ECONOMICS_SKU!$M$5:$M$1000,17),02_UNIT_ECONOMICS_SKU!$M$5:$M$1000,0)+4)</f>
        <v/>
      </c>
      <c r="H21" s="116">
        <f>INDEX(02_UNIT_ECONOMICS_SKU!$Q:$Q,MATCH(LARGE(02_UNIT_ECONOMICS_SKU!$M$5:$M$1000,17),02_UNIT_ECONOMICS_SKU!$M$5:$M$1000,0)+4)</f>
        <v/>
      </c>
    </row>
    <row r="22">
      <c r="A22" s="206" t="n">
        <v>18</v>
      </c>
      <c r="B22" s="122">
        <f>INDEX(02_UNIT_ECONOMICS_SKU!$A:$A,MATCH(LARGE(02_UNIT_ECONOMICS_SKU!$M$5:$M$1000,18),02_UNIT_ECONOMICS_SKU!$M$5:$M$1000,0)+4)</f>
        <v/>
      </c>
      <c r="C22" s="122">
        <f>INDEX(02_UNIT_ECONOMICS_SKU!$B:$B,MATCH(LARGE(02_UNIT_ECONOMICS_SKU!$M$5:$M$1000,18),02_UNIT_ECONOMICS_SKU!$M$5:$M$1000,0)+4)</f>
        <v/>
      </c>
      <c r="D22" s="122">
        <f>INDEX(02_UNIT_ECONOMICS_SKU!$C:$C,MATCH(LARGE(02_UNIT_ECONOMICS_SKU!$M$5:$M$1000,18),02_UNIT_ECONOMICS_SKU!$M$5:$M$1000,0)+4)</f>
        <v/>
      </c>
      <c r="E22" s="124">
        <f>INDEX(02_UNIT_ECONOMICS_SKU!$F:$F,MATCH(LARGE(02_UNIT_ECONOMICS_SKU!$M$5:$M$1000,18),02_UNIT_ECONOMICS_SKU!$M$5:$M$1000,0)+4)</f>
        <v/>
      </c>
      <c r="F22" s="124">
        <f>LARGE(02_UNIT_ECONOMICS_SKU!$M$5:$M$1000,18)</f>
        <v/>
      </c>
      <c r="G22" s="194">
        <f>INDEX(02_UNIT_ECONOMICS_SKU!$N:$N,MATCH(LARGE(02_UNIT_ECONOMICS_SKU!$M$5:$M$1000,18),02_UNIT_ECONOMICS_SKU!$M$5:$M$1000,0)+4)</f>
        <v/>
      </c>
      <c r="H22" s="122">
        <f>INDEX(02_UNIT_ECONOMICS_SKU!$Q:$Q,MATCH(LARGE(02_UNIT_ECONOMICS_SKU!$M$5:$M$1000,18),02_UNIT_ECONOMICS_SKU!$M$5:$M$1000,0)+4)</f>
        <v/>
      </c>
    </row>
    <row r="23">
      <c r="A23" s="205" t="n">
        <v>19</v>
      </c>
      <c r="B23" s="116">
        <f>INDEX(02_UNIT_ECONOMICS_SKU!$A:$A,MATCH(LARGE(02_UNIT_ECONOMICS_SKU!$M$5:$M$1000,19),02_UNIT_ECONOMICS_SKU!$M$5:$M$1000,0)+4)</f>
        <v/>
      </c>
      <c r="C23" s="116">
        <f>INDEX(02_UNIT_ECONOMICS_SKU!$B:$B,MATCH(LARGE(02_UNIT_ECONOMICS_SKU!$M$5:$M$1000,19),02_UNIT_ECONOMICS_SKU!$M$5:$M$1000,0)+4)</f>
        <v/>
      </c>
      <c r="D23" s="116">
        <f>INDEX(02_UNIT_ECONOMICS_SKU!$C:$C,MATCH(LARGE(02_UNIT_ECONOMICS_SKU!$M$5:$M$1000,19),02_UNIT_ECONOMICS_SKU!$M$5:$M$1000,0)+4)</f>
        <v/>
      </c>
      <c r="E23" s="118">
        <f>INDEX(02_UNIT_ECONOMICS_SKU!$F:$F,MATCH(LARGE(02_UNIT_ECONOMICS_SKU!$M$5:$M$1000,19),02_UNIT_ECONOMICS_SKU!$M$5:$M$1000,0)+4)</f>
        <v/>
      </c>
      <c r="F23" s="118">
        <f>LARGE(02_UNIT_ECONOMICS_SKU!$M$5:$M$1000,19)</f>
        <v/>
      </c>
      <c r="G23" s="191">
        <f>INDEX(02_UNIT_ECONOMICS_SKU!$N:$N,MATCH(LARGE(02_UNIT_ECONOMICS_SKU!$M$5:$M$1000,19),02_UNIT_ECONOMICS_SKU!$M$5:$M$1000,0)+4)</f>
        <v/>
      </c>
      <c r="H23" s="116">
        <f>INDEX(02_UNIT_ECONOMICS_SKU!$Q:$Q,MATCH(LARGE(02_UNIT_ECONOMICS_SKU!$M$5:$M$1000,19),02_UNIT_ECONOMICS_SKU!$M$5:$M$1000,0)+4)</f>
        <v/>
      </c>
    </row>
    <row r="24">
      <c r="A24" s="206" t="n">
        <v>20</v>
      </c>
      <c r="B24" s="122">
        <f>INDEX(02_UNIT_ECONOMICS_SKU!$A:$A,MATCH(LARGE(02_UNIT_ECONOMICS_SKU!$M$5:$M$1000,20),02_UNIT_ECONOMICS_SKU!$M$5:$M$1000,0)+4)</f>
        <v/>
      </c>
      <c r="C24" s="122">
        <f>INDEX(02_UNIT_ECONOMICS_SKU!$B:$B,MATCH(LARGE(02_UNIT_ECONOMICS_SKU!$M$5:$M$1000,20),02_UNIT_ECONOMICS_SKU!$M$5:$M$1000,0)+4)</f>
        <v/>
      </c>
      <c r="D24" s="122">
        <f>INDEX(02_UNIT_ECONOMICS_SKU!$C:$C,MATCH(LARGE(02_UNIT_ECONOMICS_SKU!$M$5:$M$1000,20),02_UNIT_ECONOMICS_SKU!$M$5:$M$1000,0)+4)</f>
        <v/>
      </c>
      <c r="E24" s="124">
        <f>INDEX(02_UNIT_ECONOMICS_SKU!$F:$F,MATCH(LARGE(02_UNIT_ECONOMICS_SKU!$M$5:$M$1000,20),02_UNIT_ECONOMICS_SKU!$M$5:$M$1000,0)+4)</f>
        <v/>
      </c>
      <c r="F24" s="124">
        <f>LARGE(02_UNIT_ECONOMICS_SKU!$M$5:$M$1000,20)</f>
        <v/>
      </c>
      <c r="G24" s="194">
        <f>INDEX(02_UNIT_ECONOMICS_SKU!$N:$N,MATCH(LARGE(02_UNIT_ECONOMICS_SKU!$M$5:$M$1000,20),02_UNIT_ECONOMICS_SKU!$M$5:$M$1000,0)+4)</f>
        <v/>
      </c>
      <c r="H24" s="122">
        <f>INDEX(02_UNIT_ECONOMICS_SKU!$Q:$Q,MATCH(LARGE(02_UNIT_ECONOMICS_SKU!$M$5:$M$1000,20),02_UNIT_ECONOMICS_SKU!$M$5:$M$1000,0)+4)</f>
        <v/>
      </c>
    </row>
    <row r="25">
      <c r="A25" s="205" t="n">
        <v>21</v>
      </c>
      <c r="B25" s="116">
        <f>INDEX(02_UNIT_ECONOMICS_SKU!$A:$A,MATCH(LARGE(02_UNIT_ECONOMICS_SKU!$M$5:$M$1000,21),02_UNIT_ECONOMICS_SKU!$M$5:$M$1000,0)+4)</f>
        <v/>
      </c>
      <c r="C25" s="116">
        <f>INDEX(02_UNIT_ECONOMICS_SKU!$B:$B,MATCH(LARGE(02_UNIT_ECONOMICS_SKU!$M$5:$M$1000,21),02_UNIT_ECONOMICS_SKU!$M$5:$M$1000,0)+4)</f>
        <v/>
      </c>
      <c r="D25" s="116">
        <f>INDEX(02_UNIT_ECONOMICS_SKU!$C:$C,MATCH(LARGE(02_UNIT_ECONOMICS_SKU!$M$5:$M$1000,21),02_UNIT_ECONOMICS_SKU!$M$5:$M$1000,0)+4)</f>
        <v/>
      </c>
      <c r="E25" s="118">
        <f>INDEX(02_UNIT_ECONOMICS_SKU!$F:$F,MATCH(LARGE(02_UNIT_ECONOMICS_SKU!$M$5:$M$1000,21),02_UNIT_ECONOMICS_SKU!$M$5:$M$1000,0)+4)</f>
        <v/>
      </c>
      <c r="F25" s="118">
        <f>LARGE(02_UNIT_ECONOMICS_SKU!$M$5:$M$1000,21)</f>
        <v/>
      </c>
      <c r="G25" s="191">
        <f>INDEX(02_UNIT_ECONOMICS_SKU!$N:$N,MATCH(LARGE(02_UNIT_ECONOMICS_SKU!$M$5:$M$1000,21),02_UNIT_ECONOMICS_SKU!$M$5:$M$1000,0)+4)</f>
        <v/>
      </c>
      <c r="H25" s="116">
        <f>INDEX(02_UNIT_ECONOMICS_SKU!$Q:$Q,MATCH(LARGE(02_UNIT_ECONOMICS_SKU!$M$5:$M$1000,21),02_UNIT_ECONOMICS_SKU!$M$5:$M$1000,0)+4)</f>
        <v/>
      </c>
    </row>
    <row r="26">
      <c r="A26" s="206" t="n">
        <v>22</v>
      </c>
      <c r="B26" s="122">
        <f>INDEX(02_UNIT_ECONOMICS_SKU!$A:$A,MATCH(LARGE(02_UNIT_ECONOMICS_SKU!$M$5:$M$1000,22),02_UNIT_ECONOMICS_SKU!$M$5:$M$1000,0)+4)</f>
        <v/>
      </c>
      <c r="C26" s="122">
        <f>INDEX(02_UNIT_ECONOMICS_SKU!$B:$B,MATCH(LARGE(02_UNIT_ECONOMICS_SKU!$M$5:$M$1000,22),02_UNIT_ECONOMICS_SKU!$M$5:$M$1000,0)+4)</f>
        <v/>
      </c>
      <c r="D26" s="122">
        <f>INDEX(02_UNIT_ECONOMICS_SKU!$C:$C,MATCH(LARGE(02_UNIT_ECONOMICS_SKU!$M$5:$M$1000,22),02_UNIT_ECONOMICS_SKU!$M$5:$M$1000,0)+4)</f>
        <v/>
      </c>
      <c r="E26" s="124">
        <f>INDEX(02_UNIT_ECONOMICS_SKU!$F:$F,MATCH(LARGE(02_UNIT_ECONOMICS_SKU!$M$5:$M$1000,22),02_UNIT_ECONOMICS_SKU!$M$5:$M$1000,0)+4)</f>
        <v/>
      </c>
      <c r="F26" s="124">
        <f>LARGE(02_UNIT_ECONOMICS_SKU!$M$5:$M$1000,22)</f>
        <v/>
      </c>
      <c r="G26" s="194">
        <f>INDEX(02_UNIT_ECONOMICS_SKU!$N:$N,MATCH(LARGE(02_UNIT_ECONOMICS_SKU!$M$5:$M$1000,22),02_UNIT_ECONOMICS_SKU!$M$5:$M$1000,0)+4)</f>
        <v/>
      </c>
      <c r="H26" s="122">
        <f>INDEX(02_UNIT_ECONOMICS_SKU!$Q:$Q,MATCH(LARGE(02_UNIT_ECONOMICS_SKU!$M$5:$M$1000,22),02_UNIT_ECONOMICS_SKU!$M$5:$M$1000,0)+4)</f>
        <v/>
      </c>
    </row>
    <row r="27">
      <c r="A27" s="205" t="n">
        <v>23</v>
      </c>
      <c r="B27" s="116">
        <f>INDEX(02_UNIT_ECONOMICS_SKU!$A:$A,MATCH(LARGE(02_UNIT_ECONOMICS_SKU!$M$5:$M$1000,23),02_UNIT_ECONOMICS_SKU!$M$5:$M$1000,0)+4)</f>
        <v/>
      </c>
      <c r="C27" s="116">
        <f>INDEX(02_UNIT_ECONOMICS_SKU!$B:$B,MATCH(LARGE(02_UNIT_ECONOMICS_SKU!$M$5:$M$1000,23),02_UNIT_ECONOMICS_SKU!$M$5:$M$1000,0)+4)</f>
        <v/>
      </c>
      <c r="D27" s="116">
        <f>INDEX(02_UNIT_ECONOMICS_SKU!$C:$C,MATCH(LARGE(02_UNIT_ECONOMICS_SKU!$M$5:$M$1000,23),02_UNIT_ECONOMICS_SKU!$M$5:$M$1000,0)+4)</f>
        <v/>
      </c>
      <c r="E27" s="118">
        <f>INDEX(02_UNIT_ECONOMICS_SKU!$F:$F,MATCH(LARGE(02_UNIT_ECONOMICS_SKU!$M$5:$M$1000,23),02_UNIT_ECONOMICS_SKU!$M$5:$M$1000,0)+4)</f>
        <v/>
      </c>
      <c r="F27" s="118">
        <f>LARGE(02_UNIT_ECONOMICS_SKU!$M$5:$M$1000,23)</f>
        <v/>
      </c>
      <c r="G27" s="191">
        <f>INDEX(02_UNIT_ECONOMICS_SKU!$N:$N,MATCH(LARGE(02_UNIT_ECONOMICS_SKU!$M$5:$M$1000,23),02_UNIT_ECONOMICS_SKU!$M$5:$M$1000,0)+4)</f>
        <v/>
      </c>
      <c r="H27" s="116">
        <f>INDEX(02_UNIT_ECONOMICS_SKU!$Q:$Q,MATCH(LARGE(02_UNIT_ECONOMICS_SKU!$M$5:$M$1000,23),02_UNIT_ECONOMICS_SKU!$M$5:$M$1000,0)+4)</f>
        <v/>
      </c>
    </row>
    <row r="28">
      <c r="A28" s="206" t="n">
        <v>24</v>
      </c>
      <c r="B28" s="122">
        <f>INDEX(02_UNIT_ECONOMICS_SKU!$A:$A,MATCH(LARGE(02_UNIT_ECONOMICS_SKU!$M$5:$M$1000,24),02_UNIT_ECONOMICS_SKU!$M$5:$M$1000,0)+4)</f>
        <v/>
      </c>
      <c r="C28" s="122">
        <f>INDEX(02_UNIT_ECONOMICS_SKU!$B:$B,MATCH(LARGE(02_UNIT_ECONOMICS_SKU!$M$5:$M$1000,24),02_UNIT_ECONOMICS_SKU!$M$5:$M$1000,0)+4)</f>
        <v/>
      </c>
      <c r="D28" s="122">
        <f>INDEX(02_UNIT_ECONOMICS_SKU!$C:$C,MATCH(LARGE(02_UNIT_ECONOMICS_SKU!$M$5:$M$1000,24),02_UNIT_ECONOMICS_SKU!$M$5:$M$1000,0)+4)</f>
        <v/>
      </c>
      <c r="E28" s="124">
        <f>INDEX(02_UNIT_ECONOMICS_SKU!$F:$F,MATCH(LARGE(02_UNIT_ECONOMICS_SKU!$M$5:$M$1000,24),02_UNIT_ECONOMICS_SKU!$M$5:$M$1000,0)+4)</f>
        <v/>
      </c>
      <c r="F28" s="124">
        <f>LARGE(02_UNIT_ECONOMICS_SKU!$M$5:$M$1000,24)</f>
        <v/>
      </c>
      <c r="G28" s="194">
        <f>INDEX(02_UNIT_ECONOMICS_SKU!$N:$N,MATCH(LARGE(02_UNIT_ECONOMICS_SKU!$M$5:$M$1000,24),02_UNIT_ECONOMICS_SKU!$M$5:$M$1000,0)+4)</f>
        <v/>
      </c>
      <c r="H28" s="122">
        <f>INDEX(02_UNIT_ECONOMICS_SKU!$Q:$Q,MATCH(LARGE(02_UNIT_ECONOMICS_SKU!$M$5:$M$1000,24),02_UNIT_ECONOMICS_SKU!$M$5:$M$1000,0)+4)</f>
        <v/>
      </c>
    </row>
    <row r="29">
      <c r="A29" s="205" t="n">
        <v>25</v>
      </c>
      <c r="B29" s="116">
        <f>INDEX(02_UNIT_ECONOMICS_SKU!$A:$A,MATCH(LARGE(02_UNIT_ECONOMICS_SKU!$M$5:$M$1000,25),02_UNIT_ECONOMICS_SKU!$M$5:$M$1000,0)+4)</f>
        <v/>
      </c>
      <c r="C29" s="116">
        <f>INDEX(02_UNIT_ECONOMICS_SKU!$B:$B,MATCH(LARGE(02_UNIT_ECONOMICS_SKU!$M$5:$M$1000,25),02_UNIT_ECONOMICS_SKU!$M$5:$M$1000,0)+4)</f>
        <v/>
      </c>
      <c r="D29" s="116">
        <f>INDEX(02_UNIT_ECONOMICS_SKU!$C:$C,MATCH(LARGE(02_UNIT_ECONOMICS_SKU!$M$5:$M$1000,25),02_UNIT_ECONOMICS_SKU!$M$5:$M$1000,0)+4)</f>
        <v/>
      </c>
      <c r="E29" s="118">
        <f>INDEX(02_UNIT_ECONOMICS_SKU!$F:$F,MATCH(LARGE(02_UNIT_ECONOMICS_SKU!$M$5:$M$1000,25),02_UNIT_ECONOMICS_SKU!$M$5:$M$1000,0)+4)</f>
        <v/>
      </c>
      <c r="F29" s="118">
        <f>LARGE(02_UNIT_ECONOMICS_SKU!$M$5:$M$1000,25)</f>
        <v/>
      </c>
      <c r="G29" s="191">
        <f>INDEX(02_UNIT_ECONOMICS_SKU!$N:$N,MATCH(LARGE(02_UNIT_ECONOMICS_SKU!$M$5:$M$1000,25),02_UNIT_ECONOMICS_SKU!$M$5:$M$1000,0)+4)</f>
        <v/>
      </c>
      <c r="H29" s="116">
        <f>INDEX(02_UNIT_ECONOMICS_SKU!$Q:$Q,MATCH(LARGE(02_UNIT_ECONOMICS_SKU!$M$5:$M$1000,25),02_UNIT_ECONOMICS_SKU!$M$5:$M$1000,0)+4)</f>
        <v/>
      </c>
    </row>
    <row r="30">
      <c r="A30" s="206" t="n">
        <v>26</v>
      </c>
      <c r="B30" s="122">
        <f>INDEX(02_UNIT_ECONOMICS_SKU!$A:$A,MATCH(LARGE(02_UNIT_ECONOMICS_SKU!$M$5:$M$1000,26),02_UNIT_ECONOMICS_SKU!$M$5:$M$1000,0)+4)</f>
        <v/>
      </c>
      <c r="C30" s="122">
        <f>INDEX(02_UNIT_ECONOMICS_SKU!$B:$B,MATCH(LARGE(02_UNIT_ECONOMICS_SKU!$M$5:$M$1000,26),02_UNIT_ECONOMICS_SKU!$M$5:$M$1000,0)+4)</f>
        <v/>
      </c>
      <c r="D30" s="122">
        <f>INDEX(02_UNIT_ECONOMICS_SKU!$C:$C,MATCH(LARGE(02_UNIT_ECONOMICS_SKU!$M$5:$M$1000,26),02_UNIT_ECONOMICS_SKU!$M$5:$M$1000,0)+4)</f>
        <v/>
      </c>
      <c r="E30" s="124">
        <f>INDEX(02_UNIT_ECONOMICS_SKU!$F:$F,MATCH(LARGE(02_UNIT_ECONOMICS_SKU!$M$5:$M$1000,26),02_UNIT_ECONOMICS_SKU!$M$5:$M$1000,0)+4)</f>
        <v/>
      </c>
      <c r="F30" s="124">
        <f>LARGE(02_UNIT_ECONOMICS_SKU!$M$5:$M$1000,26)</f>
        <v/>
      </c>
      <c r="G30" s="194">
        <f>INDEX(02_UNIT_ECONOMICS_SKU!$N:$N,MATCH(LARGE(02_UNIT_ECONOMICS_SKU!$M$5:$M$1000,26),02_UNIT_ECONOMICS_SKU!$M$5:$M$1000,0)+4)</f>
        <v/>
      </c>
      <c r="H30" s="122">
        <f>INDEX(02_UNIT_ECONOMICS_SKU!$Q:$Q,MATCH(LARGE(02_UNIT_ECONOMICS_SKU!$M$5:$M$1000,26),02_UNIT_ECONOMICS_SKU!$M$5:$M$1000,0)+4)</f>
        <v/>
      </c>
    </row>
    <row r="31">
      <c r="A31" s="205" t="n">
        <v>27</v>
      </c>
      <c r="B31" s="116">
        <f>INDEX(02_UNIT_ECONOMICS_SKU!$A:$A,MATCH(LARGE(02_UNIT_ECONOMICS_SKU!$M$5:$M$1000,27),02_UNIT_ECONOMICS_SKU!$M$5:$M$1000,0)+4)</f>
        <v/>
      </c>
      <c r="C31" s="116">
        <f>INDEX(02_UNIT_ECONOMICS_SKU!$B:$B,MATCH(LARGE(02_UNIT_ECONOMICS_SKU!$M$5:$M$1000,27),02_UNIT_ECONOMICS_SKU!$M$5:$M$1000,0)+4)</f>
        <v/>
      </c>
      <c r="D31" s="116">
        <f>INDEX(02_UNIT_ECONOMICS_SKU!$C:$C,MATCH(LARGE(02_UNIT_ECONOMICS_SKU!$M$5:$M$1000,27),02_UNIT_ECONOMICS_SKU!$M$5:$M$1000,0)+4)</f>
        <v/>
      </c>
      <c r="E31" s="118">
        <f>INDEX(02_UNIT_ECONOMICS_SKU!$F:$F,MATCH(LARGE(02_UNIT_ECONOMICS_SKU!$M$5:$M$1000,27),02_UNIT_ECONOMICS_SKU!$M$5:$M$1000,0)+4)</f>
        <v/>
      </c>
      <c r="F31" s="118">
        <f>LARGE(02_UNIT_ECONOMICS_SKU!$M$5:$M$1000,27)</f>
        <v/>
      </c>
      <c r="G31" s="191">
        <f>INDEX(02_UNIT_ECONOMICS_SKU!$N:$N,MATCH(LARGE(02_UNIT_ECONOMICS_SKU!$M$5:$M$1000,27),02_UNIT_ECONOMICS_SKU!$M$5:$M$1000,0)+4)</f>
        <v/>
      </c>
      <c r="H31" s="116">
        <f>INDEX(02_UNIT_ECONOMICS_SKU!$Q:$Q,MATCH(LARGE(02_UNIT_ECONOMICS_SKU!$M$5:$M$1000,27),02_UNIT_ECONOMICS_SKU!$M$5:$M$1000,0)+4)</f>
        <v/>
      </c>
    </row>
    <row r="32">
      <c r="A32" s="206" t="n">
        <v>28</v>
      </c>
      <c r="B32" s="122">
        <f>INDEX(02_UNIT_ECONOMICS_SKU!$A:$A,MATCH(LARGE(02_UNIT_ECONOMICS_SKU!$M$5:$M$1000,28),02_UNIT_ECONOMICS_SKU!$M$5:$M$1000,0)+4)</f>
        <v/>
      </c>
      <c r="C32" s="122">
        <f>INDEX(02_UNIT_ECONOMICS_SKU!$B:$B,MATCH(LARGE(02_UNIT_ECONOMICS_SKU!$M$5:$M$1000,28),02_UNIT_ECONOMICS_SKU!$M$5:$M$1000,0)+4)</f>
        <v/>
      </c>
      <c r="D32" s="122">
        <f>INDEX(02_UNIT_ECONOMICS_SKU!$C:$C,MATCH(LARGE(02_UNIT_ECONOMICS_SKU!$M$5:$M$1000,28),02_UNIT_ECONOMICS_SKU!$M$5:$M$1000,0)+4)</f>
        <v/>
      </c>
      <c r="E32" s="124">
        <f>INDEX(02_UNIT_ECONOMICS_SKU!$F:$F,MATCH(LARGE(02_UNIT_ECONOMICS_SKU!$M$5:$M$1000,28),02_UNIT_ECONOMICS_SKU!$M$5:$M$1000,0)+4)</f>
        <v/>
      </c>
      <c r="F32" s="124">
        <f>LARGE(02_UNIT_ECONOMICS_SKU!$M$5:$M$1000,28)</f>
        <v/>
      </c>
      <c r="G32" s="194">
        <f>INDEX(02_UNIT_ECONOMICS_SKU!$N:$N,MATCH(LARGE(02_UNIT_ECONOMICS_SKU!$M$5:$M$1000,28),02_UNIT_ECONOMICS_SKU!$M$5:$M$1000,0)+4)</f>
        <v/>
      </c>
      <c r="H32" s="122">
        <f>INDEX(02_UNIT_ECONOMICS_SKU!$Q:$Q,MATCH(LARGE(02_UNIT_ECONOMICS_SKU!$M$5:$M$1000,28),02_UNIT_ECONOMICS_SKU!$M$5:$M$1000,0)+4)</f>
        <v/>
      </c>
    </row>
    <row r="33">
      <c r="A33" s="205" t="n">
        <v>29</v>
      </c>
      <c r="B33" s="116">
        <f>INDEX(02_UNIT_ECONOMICS_SKU!$A:$A,MATCH(LARGE(02_UNIT_ECONOMICS_SKU!$M$5:$M$1000,29),02_UNIT_ECONOMICS_SKU!$M$5:$M$1000,0)+4)</f>
        <v/>
      </c>
      <c r="C33" s="116">
        <f>INDEX(02_UNIT_ECONOMICS_SKU!$B:$B,MATCH(LARGE(02_UNIT_ECONOMICS_SKU!$M$5:$M$1000,29),02_UNIT_ECONOMICS_SKU!$M$5:$M$1000,0)+4)</f>
        <v/>
      </c>
      <c r="D33" s="116">
        <f>INDEX(02_UNIT_ECONOMICS_SKU!$C:$C,MATCH(LARGE(02_UNIT_ECONOMICS_SKU!$M$5:$M$1000,29),02_UNIT_ECONOMICS_SKU!$M$5:$M$1000,0)+4)</f>
        <v/>
      </c>
      <c r="E33" s="118">
        <f>INDEX(02_UNIT_ECONOMICS_SKU!$F:$F,MATCH(LARGE(02_UNIT_ECONOMICS_SKU!$M$5:$M$1000,29),02_UNIT_ECONOMICS_SKU!$M$5:$M$1000,0)+4)</f>
        <v/>
      </c>
      <c r="F33" s="118">
        <f>LARGE(02_UNIT_ECONOMICS_SKU!$M$5:$M$1000,29)</f>
        <v/>
      </c>
      <c r="G33" s="191">
        <f>INDEX(02_UNIT_ECONOMICS_SKU!$N:$N,MATCH(LARGE(02_UNIT_ECONOMICS_SKU!$M$5:$M$1000,29),02_UNIT_ECONOMICS_SKU!$M$5:$M$1000,0)+4)</f>
        <v/>
      </c>
      <c r="H33" s="116">
        <f>INDEX(02_UNIT_ECONOMICS_SKU!$Q:$Q,MATCH(LARGE(02_UNIT_ECONOMICS_SKU!$M$5:$M$1000,29),02_UNIT_ECONOMICS_SKU!$M$5:$M$1000,0)+4)</f>
        <v/>
      </c>
    </row>
    <row r="34">
      <c r="A34" s="206" t="n">
        <v>30</v>
      </c>
      <c r="B34" s="122">
        <f>INDEX(02_UNIT_ECONOMICS_SKU!$A:$A,MATCH(LARGE(02_UNIT_ECONOMICS_SKU!$M$5:$M$1000,30),02_UNIT_ECONOMICS_SKU!$M$5:$M$1000,0)+4)</f>
        <v/>
      </c>
      <c r="C34" s="122">
        <f>INDEX(02_UNIT_ECONOMICS_SKU!$B:$B,MATCH(LARGE(02_UNIT_ECONOMICS_SKU!$M$5:$M$1000,30),02_UNIT_ECONOMICS_SKU!$M$5:$M$1000,0)+4)</f>
        <v/>
      </c>
      <c r="D34" s="122">
        <f>INDEX(02_UNIT_ECONOMICS_SKU!$C:$C,MATCH(LARGE(02_UNIT_ECONOMICS_SKU!$M$5:$M$1000,30),02_UNIT_ECONOMICS_SKU!$M$5:$M$1000,0)+4)</f>
        <v/>
      </c>
      <c r="E34" s="124">
        <f>INDEX(02_UNIT_ECONOMICS_SKU!$F:$F,MATCH(LARGE(02_UNIT_ECONOMICS_SKU!$M$5:$M$1000,30),02_UNIT_ECONOMICS_SKU!$M$5:$M$1000,0)+4)</f>
        <v/>
      </c>
      <c r="F34" s="124">
        <f>LARGE(02_UNIT_ECONOMICS_SKU!$M$5:$M$1000,30)</f>
        <v/>
      </c>
      <c r="G34" s="194">
        <f>INDEX(02_UNIT_ECONOMICS_SKU!$N:$N,MATCH(LARGE(02_UNIT_ECONOMICS_SKU!$M$5:$M$1000,30),02_UNIT_ECONOMICS_SKU!$M$5:$M$1000,0)+4)</f>
        <v/>
      </c>
      <c r="H34" s="122">
        <f>INDEX(02_UNIT_ECONOMICS_SKU!$Q:$Q,MATCH(LARGE(02_UNIT_ECONOMICS_SKU!$M$5:$M$1000,30),02_UNIT_ECONOMICS_SKU!$M$5:$M$1000,0)+4)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5" customWidth="1" style="98" min="1" max="1"/>
    <col width="38" customWidth="1" style="98" min="2" max="2"/>
    <col width="18" customWidth="1" style="98" min="3" max="3"/>
    <col width="5" customWidth="1" style="98" min="4" max="4"/>
    <col width="38" customWidth="1" style="98" min="5" max="5"/>
    <col width="18" customWidth="1" style="98" min="6" max="6"/>
  </cols>
  <sheetData>
    <row r="1" ht="28" customHeight="1" s="98">
      <c r="A1" s="207" t="inlineStr">
        <is>
          <t>05 · DASHBOARD SANTAVILA — visión 1 página</t>
        </is>
      </c>
    </row>
    <row r="2">
      <c r="A2" s="171" t="inlineStr">
        <is>
          <t>KPIs del modelo financiero. Editar valores en 00_SUPUESTOS para recalcular.</t>
        </is>
      </c>
    </row>
    <row r="4">
      <c r="B4" s="172" t="inlineStr">
        <is>
          <t>🛒 CATÁLOGO</t>
        </is>
      </c>
      <c r="E4" s="172" t="inlineStr">
        <is>
          <t>💰 P&amp;L MENSUAL — escenario BASE</t>
        </is>
      </c>
    </row>
    <row r="5">
      <c r="B5" s="208" t="inlineStr">
        <is>
          <t>Total SKUs en catálogo</t>
        </is>
      </c>
      <c r="C5" s="209">
        <f>COUNTA(02_UNIT_ECONOMICS_SKU!$B$5:$B$1000)</f>
        <v/>
      </c>
      <c r="E5" s="208" t="inlineStr">
        <is>
          <t>Ingresos brutos / mes (con IVA)</t>
        </is>
      </c>
      <c r="F5" s="210">
        <f>INDEX(01_PNL_SANTAVILA!$C:$C,MATCH("Ingresos brutos (con IVA)",01_PNL_SANTAVILA!$A:$A,0))</f>
        <v/>
      </c>
    </row>
    <row r="6">
      <c r="B6" s="208" t="inlineStr">
        <is>
          <t>Margen contrib. medio €/unidad</t>
        </is>
      </c>
      <c r="C6" s="210">
        <f>AVERAGE(02_UNIT_ECONOMICS_SKU!$M$5:$M$1000)</f>
        <v/>
      </c>
      <c r="E6" s="208" t="inlineStr">
        <is>
          <t>Margen contributivo / mes</t>
        </is>
      </c>
      <c r="F6" s="210">
        <f>INDEX(01_PNL_SANTAVILA!$C:$C,MATCH("= Margen contributivo (antes de marketing)",01_PNL_SANTAVILA!$A:$A,0))</f>
        <v/>
      </c>
    </row>
    <row r="7">
      <c r="B7" s="208" t="inlineStr">
        <is>
          <t>Margen contrib. medio %</t>
        </is>
      </c>
      <c r="C7" s="211">
        <f>AVERAGE(02_UNIT_ECONOMICS_SKU!$N$5:$N$1000)</f>
        <v/>
      </c>
      <c r="E7" s="208" t="inlineStr">
        <is>
          <t>Inversión marketing / mes</t>
        </is>
      </c>
      <c r="F7" s="210">
        <f>INDEX(01_PNL_SANTAVILA!$C:$C,MATCH("(-) Inversión marketing",01_PNL_SANTAVILA!$A:$A,0))</f>
        <v/>
      </c>
    </row>
    <row r="8">
      <c r="B8" s="208" t="inlineStr">
        <is>
          <t>% SKUs PUSH (margen alto)</t>
        </is>
      </c>
      <c r="C8" s="211">
        <f>COUNTIF(02_UNIT_ECONOMICS_SKU!$Q$5:$Q$1000,"*PUSH*")/COUNTA(02_UNIT_ECONOMICS_SKU!$B$5:$B$1000)</f>
        <v/>
      </c>
      <c r="E8" s="208" t="inlineStr">
        <is>
          <t>Beneficio operativo / mes</t>
        </is>
      </c>
      <c r="F8" s="203">
        <f>INDEX(01_PNL_SANTAVILA!$C:$C,MATCH("BENEFICIO OPERATIVO MENSUAL",01_PNL_SANTAVILA!$A:$A,0))</f>
        <v/>
      </c>
    </row>
    <row r="10">
      <c r="B10" s="172" t="inlineStr">
        <is>
          <t>📊 DISTRIBUCIÓN POR CATEGORÍA</t>
        </is>
      </c>
      <c r="E10" s="172" t="inlineStr">
        <is>
          <t>🎯 BREAK-EVEN</t>
        </is>
      </c>
    </row>
    <row r="11">
      <c r="B11" s="208" t="inlineStr">
        <is>
          <t>PUSH</t>
        </is>
      </c>
      <c r="C11" s="212">
        <f>COUNTIF(02_UNIT_ECONOMICS_SKU!$Q$5:$Q$1000,"PUSH")</f>
        <v/>
      </c>
      <c r="E11" s="208" t="inlineStr">
        <is>
          <t>Pedidos break-even (escenario base)</t>
        </is>
      </c>
      <c r="F11" s="189">
        <f>INDEX(01_PNL_SANTAVILA!$C:$C,MATCH("Pedidos break-even mensual (cubre fijos)",01_PNL_SANTAVILA!$A:$A,0))</f>
        <v/>
      </c>
    </row>
    <row r="12">
      <c r="B12" s="208" t="inlineStr">
        <is>
          <t>NEUTRAL</t>
        </is>
      </c>
      <c r="C12" s="213">
        <f>COUNTIF(02_UNIT_ECONOMICS_SKU!$Q$5:$Q$1000,"NEUTRAL")</f>
        <v/>
      </c>
      <c r="E12" s="208" t="inlineStr">
        <is>
          <t>Sesiones web necesarias / mes</t>
        </is>
      </c>
      <c r="F12" s="209">
        <f>INDEX(01_PNL_SANTAVILA!$C:$C,MATCH("Sesiones web necesarias / mes",01_PNL_SANTAVILA!$A:$A,0))</f>
        <v/>
      </c>
    </row>
    <row r="13">
      <c r="B13" s="208" t="inlineStr">
        <is>
          <t>WATCH</t>
        </is>
      </c>
      <c r="C13" s="214">
        <f>COUNTIF(02_UNIT_ECONOMICS_SKU!$Q$5:$Q$1000,"WATCH")</f>
        <v/>
      </c>
      <c r="E13" s="208" t="inlineStr">
        <is>
          <t>CPA medio (escenario base)</t>
        </is>
      </c>
      <c r="F13" s="210">
        <f>INDEX(01_PNL_SANTAVILA!$C:$C,MATCH("CPA medio (coste por adquisición de cliente)",01_PNL_SANTAVILA!$A:$A,0))</f>
        <v/>
      </c>
    </row>
    <row r="14">
      <c r="B14" s="208" t="inlineStr">
        <is>
          <t>NO ANUNCIAR</t>
        </is>
      </c>
      <c r="C14" s="215">
        <f>COUNTIF(02_UNIT_ECONOMICS_SKU!$Q$5:$Q$1000,"NO ANUNCIAR")</f>
        <v/>
      </c>
      <c r="E14" s="208" t="inlineStr">
        <is>
          <t>ROAS objetivo escenario BASE</t>
        </is>
      </c>
      <c r="F14" s="216">
        <f>ROAS_base</f>
        <v/>
      </c>
    </row>
    <row r="17">
      <c r="B17" s="172" t="inlineStr">
        <is>
          <t>🏆 TOP 5 PRODUCTOS POR MARGEN CONTRIBUTIVO €</t>
        </is>
      </c>
    </row>
    <row r="18">
      <c r="B18" s="103" t="inlineStr">
        <is>
          <t>#</t>
        </is>
      </c>
      <c r="C18" s="103" t="inlineStr">
        <is>
          <t>SKU</t>
        </is>
      </c>
      <c r="D18" s="103" t="inlineStr">
        <is>
          <t>Producto</t>
        </is>
      </c>
      <c r="E18" s="103" t="inlineStr">
        <is>
          <t>PVP €</t>
        </is>
      </c>
      <c r="F18" s="103" t="inlineStr">
        <is>
          <t>MC €</t>
        </is>
      </c>
      <c r="G18" s="103" t="inlineStr">
        <is>
          <t>MC %</t>
        </is>
      </c>
    </row>
    <row r="19">
      <c r="B19" s="217" t="n">
        <v>1</v>
      </c>
      <c r="C19" s="218">
        <f>INDEX(02_UNIT_ECONOMICS_SKU!$B:$B,MATCH(LARGE(02_UNIT_ECONOMICS_SKU!$M$5:$M$1000,1),02_UNIT_ECONOMICS_SKU!$M$5:$M$1000,0)+4)</f>
        <v/>
      </c>
      <c r="D19" s="218">
        <f>INDEX(02_UNIT_ECONOMICS_SKU!$C:$C,MATCH(LARGE(02_UNIT_ECONOMICS_SKU!$M$5:$M$1000,1),02_UNIT_ECONOMICS_SKU!$M$5:$M$1000,0)+4)</f>
        <v/>
      </c>
      <c r="E19" s="219">
        <f>INDEX(02_UNIT_ECONOMICS_SKU!$F:$F,MATCH(LARGE(02_UNIT_ECONOMICS_SKU!$M$5:$M$1000,1),02_UNIT_ECONOMICS_SKU!$M$5:$M$1000,0)+4)</f>
        <v/>
      </c>
      <c r="F19" s="219">
        <f>LARGE(02_UNIT_ECONOMICS_SKU!$M$5:$M$1000,1)</f>
        <v/>
      </c>
      <c r="G19" s="220">
        <f>INDEX(02_UNIT_ECONOMICS_SKU!$N:$N,MATCH(LARGE(02_UNIT_ECONOMICS_SKU!$M$5:$M$1000,1),02_UNIT_ECONOMICS_SKU!$M$5:$M$1000,0)+4)</f>
        <v/>
      </c>
    </row>
    <row r="20">
      <c r="B20" s="217" t="n">
        <v>2</v>
      </c>
      <c r="C20" s="218">
        <f>INDEX(02_UNIT_ECONOMICS_SKU!$B:$B,MATCH(LARGE(02_UNIT_ECONOMICS_SKU!$M$5:$M$1000,2),02_UNIT_ECONOMICS_SKU!$M$5:$M$1000,0)+4)</f>
        <v/>
      </c>
      <c r="D20" s="218">
        <f>INDEX(02_UNIT_ECONOMICS_SKU!$C:$C,MATCH(LARGE(02_UNIT_ECONOMICS_SKU!$M$5:$M$1000,2),02_UNIT_ECONOMICS_SKU!$M$5:$M$1000,0)+4)</f>
        <v/>
      </c>
      <c r="E20" s="219">
        <f>INDEX(02_UNIT_ECONOMICS_SKU!$F:$F,MATCH(LARGE(02_UNIT_ECONOMICS_SKU!$M$5:$M$1000,2),02_UNIT_ECONOMICS_SKU!$M$5:$M$1000,0)+4)</f>
        <v/>
      </c>
      <c r="F20" s="219">
        <f>LARGE(02_UNIT_ECONOMICS_SKU!$M$5:$M$1000,2)</f>
        <v/>
      </c>
      <c r="G20" s="220">
        <f>INDEX(02_UNIT_ECONOMICS_SKU!$N:$N,MATCH(LARGE(02_UNIT_ECONOMICS_SKU!$M$5:$M$1000,2),02_UNIT_ECONOMICS_SKU!$M$5:$M$1000,0)+4)</f>
        <v/>
      </c>
    </row>
    <row r="21">
      <c r="B21" s="217" t="n">
        <v>3</v>
      </c>
      <c r="C21" s="218">
        <f>INDEX(02_UNIT_ECONOMICS_SKU!$B:$B,MATCH(LARGE(02_UNIT_ECONOMICS_SKU!$M$5:$M$1000,3),02_UNIT_ECONOMICS_SKU!$M$5:$M$1000,0)+4)</f>
        <v/>
      </c>
      <c r="D21" s="218">
        <f>INDEX(02_UNIT_ECONOMICS_SKU!$C:$C,MATCH(LARGE(02_UNIT_ECONOMICS_SKU!$M$5:$M$1000,3),02_UNIT_ECONOMICS_SKU!$M$5:$M$1000,0)+4)</f>
        <v/>
      </c>
      <c r="E21" s="219">
        <f>INDEX(02_UNIT_ECONOMICS_SKU!$F:$F,MATCH(LARGE(02_UNIT_ECONOMICS_SKU!$M$5:$M$1000,3),02_UNIT_ECONOMICS_SKU!$M$5:$M$1000,0)+4)</f>
        <v/>
      </c>
      <c r="F21" s="219">
        <f>LARGE(02_UNIT_ECONOMICS_SKU!$M$5:$M$1000,3)</f>
        <v/>
      </c>
      <c r="G21" s="220">
        <f>INDEX(02_UNIT_ECONOMICS_SKU!$N:$N,MATCH(LARGE(02_UNIT_ECONOMICS_SKU!$M$5:$M$1000,3),02_UNIT_ECONOMICS_SKU!$M$5:$M$1000,0)+4)</f>
        <v/>
      </c>
    </row>
    <row r="22">
      <c r="B22" s="217" t="n">
        <v>4</v>
      </c>
      <c r="C22" s="218">
        <f>INDEX(02_UNIT_ECONOMICS_SKU!$B:$B,MATCH(LARGE(02_UNIT_ECONOMICS_SKU!$M$5:$M$1000,4),02_UNIT_ECONOMICS_SKU!$M$5:$M$1000,0)+4)</f>
        <v/>
      </c>
      <c r="D22" s="218">
        <f>INDEX(02_UNIT_ECONOMICS_SKU!$C:$C,MATCH(LARGE(02_UNIT_ECONOMICS_SKU!$M$5:$M$1000,4),02_UNIT_ECONOMICS_SKU!$M$5:$M$1000,0)+4)</f>
        <v/>
      </c>
      <c r="E22" s="219">
        <f>INDEX(02_UNIT_ECONOMICS_SKU!$F:$F,MATCH(LARGE(02_UNIT_ECONOMICS_SKU!$M$5:$M$1000,4),02_UNIT_ECONOMICS_SKU!$M$5:$M$1000,0)+4)</f>
        <v/>
      </c>
      <c r="F22" s="219">
        <f>LARGE(02_UNIT_ECONOMICS_SKU!$M$5:$M$1000,4)</f>
        <v/>
      </c>
      <c r="G22" s="220">
        <f>INDEX(02_UNIT_ECONOMICS_SKU!$N:$N,MATCH(LARGE(02_UNIT_ECONOMICS_SKU!$M$5:$M$1000,4),02_UNIT_ECONOMICS_SKU!$M$5:$M$1000,0)+4)</f>
        <v/>
      </c>
    </row>
    <row r="23">
      <c r="B23" s="217" t="n">
        <v>5</v>
      </c>
      <c r="C23" s="218">
        <f>INDEX(02_UNIT_ECONOMICS_SKU!$B:$B,MATCH(LARGE(02_UNIT_ECONOMICS_SKU!$M$5:$M$1000,5),02_UNIT_ECONOMICS_SKU!$M$5:$M$1000,0)+4)</f>
        <v/>
      </c>
      <c r="D23" s="218">
        <f>INDEX(02_UNIT_ECONOMICS_SKU!$C:$C,MATCH(LARGE(02_UNIT_ECONOMICS_SKU!$M$5:$M$1000,5),02_UNIT_ECONOMICS_SKU!$M$5:$M$1000,0)+4)</f>
        <v/>
      </c>
      <c r="E23" s="219">
        <f>INDEX(02_UNIT_ECONOMICS_SKU!$F:$F,MATCH(LARGE(02_UNIT_ECONOMICS_SKU!$M$5:$M$1000,5),02_UNIT_ECONOMICS_SKU!$M$5:$M$1000,0)+4)</f>
        <v/>
      </c>
      <c r="F23" s="219">
        <f>LARGE(02_UNIT_ECONOMICS_SKU!$M$5:$M$1000,5)</f>
        <v/>
      </c>
      <c r="G23" s="220">
        <f>INDEX(02_UNIT_ECONOMICS_SKU!$N:$N,MATCH(LARGE(02_UNIT_ECONOMICS_SKU!$M$5:$M$1000,5),02_UNIT_ECONOMICS_SKU!$M$5:$M$1000,0)+4)</f>
        <v/>
      </c>
    </row>
  </sheetData>
  <mergeCells count="7">
    <mergeCell ref="A2:F2"/>
    <mergeCell ref="E4:F4"/>
    <mergeCell ref="E10:F10"/>
    <mergeCell ref="A1:F1"/>
    <mergeCell ref="B10:C10"/>
    <mergeCell ref="B17:F17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2026-05-01T05:18:09Z</dcterms:created>
  <dcterms:modified xmlns:dcterms="http://purl.org/dc/terms/" xmlns:xsi="http://www.w3.org/2001/XMLSchema-instance" xsi:type="dcterms:W3CDTF">2026-05-08T15:56:19Z</dcterms:modified>
  <cp:lastModifiedBy>davilaquintana@gmail.com</cp:lastModifiedBy>
</cp:coreProperties>
</file>